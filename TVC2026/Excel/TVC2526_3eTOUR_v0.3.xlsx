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6.xml" ContentType="application/vnd.openxmlformats-officedocument.drawing+xml"/>
  <Override PartName="/xl/pivotTables/pivotTable12.xml" ContentType="application/vnd.openxmlformats-officedocument.spreadsheetml.pivotTable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ndr\OneDrive\Bureau\Ping_TVC\"/>
    </mc:Choice>
  </mc:AlternateContent>
  <xr:revisionPtr revIDLastSave="0" documentId="13_ncr:1_{2CF5F6A0-ED2C-448F-9B0D-BB6F026EAA6F}" xr6:coauthVersionLast="47" xr6:coauthVersionMax="47" xr10:uidLastSave="{00000000-0000-0000-0000-000000000000}"/>
  <bookViews>
    <workbookView xWindow="-110" yWindow="-110" windowWidth="19420" windowHeight="10300" tabRatio="809" activeTab="4" xr2:uid="{00000000-000D-0000-FFFF-FFFF00000000}"/>
  </bookViews>
  <sheets>
    <sheet name="Synthèse" sheetId="12" r:id="rId1"/>
    <sheet name="Poussins" sheetId="10" r:id="rId2"/>
    <sheet name="Minimes" sheetId="2" r:id="rId3"/>
    <sheet name="Benjamins" sheetId="1" r:id="rId4"/>
    <sheet name="Cadets-Juniors" sheetId="4" r:id="rId5"/>
    <sheet name="Feminines" sheetId="5" r:id="rId6"/>
    <sheet name="Tableaux Croisés" sheetId="8" r:id="rId7"/>
    <sheet name="Clubs-Classements" sheetId="3" r:id="rId8"/>
    <sheet name="Dossard" sheetId="11" r:id="rId9"/>
  </sheets>
  <externalReferences>
    <externalReference r:id="rId10"/>
  </externalReferences>
  <definedNames>
    <definedName name="_xlnm._FilterDatabase" localSheetId="3" hidden="1">Benjamins!$B$7:$P$219</definedName>
    <definedName name="_xlnm._FilterDatabase" localSheetId="4" hidden="1">'Cadets-Juniors'!$B$7:$P$121</definedName>
    <definedName name="_xlnm._FilterDatabase" localSheetId="7" hidden="1">'Clubs-Classements'!$B$7:$AA$18</definedName>
    <definedName name="_xlnm._FilterDatabase" localSheetId="8" hidden="1">Dossard!$A$1:$G$522</definedName>
    <definedName name="_xlnm._FilterDatabase" localSheetId="5" hidden="1">Feminines!$A$7:$P$86</definedName>
    <definedName name="_xlnm._FilterDatabase" localSheetId="2" hidden="1">Minimes!$B$7:$P$175</definedName>
    <definedName name="_xlnm._FilterDatabase" localSheetId="1" hidden="1">Poussins!$B$7:$P$117</definedName>
    <definedName name="DBenjamin" localSheetId="0">#REF!</definedName>
    <definedName name="DBenjamin">[1]Feuil2!$B$3</definedName>
    <definedName name="DCadet" localSheetId="0">#REF!</definedName>
    <definedName name="DCadet">[1]Feuil2!$B$5</definedName>
    <definedName name="DJunior" localSheetId="0">#REF!</definedName>
    <definedName name="DJunior">[1]Feuil2!$B$6</definedName>
    <definedName name="DMinime" localSheetId="0">#REF!</definedName>
    <definedName name="DMinime">[1]Feuil2!$B$4</definedName>
    <definedName name="DPoussin" localSheetId="0">#REF!</definedName>
    <definedName name="DPoussin">[1]Feuil2!$B$2</definedName>
    <definedName name="_xlnm.Print_Titles" localSheetId="3">Benjamins!$1:$7</definedName>
    <definedName name="_xlnm.Print_Titles" localSheetId="4">'Cadets-Juniors'!$1:$7</definedName>
    <definedName name="_xlnm.Print_Titles" localSheetId="5">Feminines!$1:$7</definedName>
    <definedName name="_xlnm.Print_Titles" localSheetId="2">Minimes!$1:$7</definedName>
    <definedName name="_xlnm.Print_Titles" localSheetId="1">Poussins!$1:$7</definedName>
    <definedName name="Liste_Clubs">'Clubs-Classements'!$AC$1:$AC$13</definedName>
    <definedName name="VAU">'Clubs-Classements'!$AC$1:$AC$5</definedName>
    <definedName name="_xlnm.Print_Area" localSheetId="3">Benjamins!$B$1:$P$219</definedName>
    <definedName name="_xlnm.Print_Area" localSheetId="4">'Cadets-Juniors'!$B$1:$P$121</definedName>
    <definedName name="_xlnm.Print_Area" localSheetId="5">Feminines!$B$1:$P$59</definedName>
    <definedName name="_xlnm.Print_Area" localSheetId="2">Minimes!$A$1:$P$176</definedName>
    <definedName name="_xlnm.Print_Area" localSheetId="1">Poussins!$B$1:$P$117</definedName>
    <definedName name="_xlnm.Print_Area" localSheetId="6">'Tableaux Croisés'!$A$40:$T$75</definedName>
  </definedNames>
  <calcPr calcId="191029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  <pivotCache cacheId="6" r:id="rId17"/>
    <pivotCache cacheId="7" r:id="rId18"/>
    <pivotCache cacheId="8" r:id="rId19"/>
    <pivotCache cacheId="9" r:id="rId2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13" i="4" l="1"/>
  <c r="P112" i="4"/>
  <c r="P195" i="1"/>
  <c r="N86" i="5"/>
  <c r="L86" i="5"/>
  <c r="H86" i="5"/>
  <c r="J86" i="5"/>
  <c r="G30" i="3" s="1"/>
  <c r="P69" i="5"/>
  <c r="P70" i="5"/>
  <c r="P124" i="1"/>
  <c r="P153" i="1"/>
  <c r="P79" i="1"/>
  <c r="P46" i="1"/>
  <c r="P54" i="1"/>
  <c r="P83" i="1"/>
  <c r="P89" i="1"/>
  <c r="P12" i="1"/>
  <c r="P144" i="1"/>
  <c r="P180" i="1"/>
  <c r="P105" i="1"/>
  <c r="P149" i="1"/>
  <c r="P175" i="1"/>
  <c r="P158" i="1"/>
  <c r="P169" i="1"/>
  <c r="P52" i="1"/>
  <c r="P61" i="1"/>
  <c r="P174" i="1"/>
  <c r="P152" i="1"/>
  <c r="P8" i="1"/>
  <c r="P13" i="1"/>
  <c r="P183" i="1"/>
  <c r="P155" i="1"/>
  <c r="P154" i="1"/>
  <c r="P127" i="1"/>
  <c r="P165" i="1"/>
  <c r="P85" i="1"/>
  <c r="P118" i="1"/>
  <c r="P23" i="1"/>
  <c r="P168" i="1"/>
  <c r="P151" i="1"/>
  <c r="P56" i="1"/>
  <c r="P179" i="1"/>
  <c r="P86" i="1"/>
  <c r="P55" i="1"/>
  <c r="P28" i="1"/>
  <c r="P194" i="1"/>
  <c r="P100" i="1"/>
  <c r="P16" i="1"/>
  <c r="P159" i="1"/>
  <c r="P119" i="1"/>
  <c r="P167" i="1"/>
  <c r="P156" i="1"/>
  <c r="P81" i="1"/>
  <c r="P14" i="1"/>
  <c r="P48" i="1"/>
  <c r="P27" i="1"/>
  <c r="P142" i="1"/>
  <c r="P30" i="1"/>
  <c r="P135" i="1"/>
  <c r="P26" i="1"/>
  <c r="P182" i="1"/>
  <c r="P20" i="1"/>
  <c r="P132" i="1"/>
  <c r="P29" i="1"/>
  <c r="P65" i="1"/>
  <c r="P82" i="1"/>
  <c r="P58" i="1"/>
  <c r="P69" i="1"/>
  <c r="P189" i="1"/>
  <c r="P97" i="1"/>
  <c r="P84" i="1"/>
  <c r="P43" i="1"/>
  <c r="P31" i="1"/>
  <c r="P51" i="1"/>
  <c r="P126" i="1"/>
  <c r="P103" i="1"/>
  <c r="P38" i="1"/>
  <c r="P42" i="1"/>
  <c r="P70" i="1"/>
  <c r="P47" i="1"/>
  <c r="P76" i="1"/>
  <c r="P94" i="1"/>
  <c r="P122" i="1"/>
  <c r="P9" i="1"/>
  <c r="P121" i="1"/>
  <c r="P93" i="1"/>
  <c r="P41" i="1"/>
  <c r="P113" i="1"/>
  <c r="P107" i="1"/>
  <c r="P44" i="1"/>
  <c r="P170" i="1"/>
  <c r="P68" i="1"/>
  <c r="P75" i="1"/>
  <c r="P181" i="1"/>
  <c r="P17" i="1"/>
  <c r="P60" i="1"/>
  <c r="P178" i="1"/>
  <c r="P24" i="1"/>
  <c r="P104" i="1"/>
  <c r="P137" i="1"/>
  <c r="P73" i="1"/>
  <c r="P10" i="1"/>
  <c r="P190" i="1"/>
  <c r="P15" i="1"/>
  <c r="P128" i="1"/>
  <c r="P134" i="1"/>
  <c r="P157" i="1"/>
  <c r="P123" i="1"/>
  <c r="P184" i="1"/>
  <c r="P133" i="1"/>
  <c r="P112" i="1"/>
  <c r="P96" i="1"/>
  <c r="P176" i="1"/>
  <c r="P143" i="1"/>
  <c r="P114" i="1"/>
  <c r="P92" i="1"/>
  <c r="P36" i="1"/>
  <c r="P102" i="1"/>
  <c r="P141" i="1"/>
  <c r="P148" i="1"/>
  <c r="P120" i="1"/>
  <c r="P188" i="1"/>
  <c r="P59" i="1"/>
  <c r="P80" i="1"/>
  <c r="P34" i="1"/>
  <c r="P39" i="1"/>
  <c r="P147" i="1"/>
  <c r="P21" i="1"/>
  <c r="P25" i="1"/>
  <c r="P33" i="1"/>
  <c r="P115" i="1"/>
  <c r="P171" i="1"/>
  <c r="P187" i="1"/>
  <c r="Y18" i="3"/>
  <c r="X18" i="3"/>
  <c r="W18" i="3"/>
  <c r="V18" i="3"/>
  <c r="U18" i="3"/>
  <c r="S18" i="3"/>
  <c r="R18" i="3"/>
  <c r="Q18" i="3"/>
  <c r="P18" i="3"/>
  <c r="O18" i="3"/>
  <c r="M18" i="3"/>
  <c r="L18" i="3"/>
  <c r="K18" i="3"/>
  <c r="J18" i="3"/>
  <c r="I18" i="3"/>
  <c r="G18" i="3"/>
  <c r="F18" i="3"/>
  <c r="E18" i="3"/>
  <c r="D18" i="3"/>
  <c r="C18" i="3"/>
  <c r="C17" i="3"/>
  <c r="Y15" i="3"/>
  <c r="X15" i="3"/>
  <c r="W15" i="3"/>
  <c r="V15" i="3"/>
  <c r="U15" i="3"/>
  <c r="S15" i="3"/>
  <c r="R15" i="3"/>
  <c r="Q15" i="3"/>
  <c r="P15" i="3"/>
  <c r="O15" i="3"/>
  <c r="M15" i="3"/>
  <c r="L15" i="3"/>
  <c r="K15" i="3"/>
  <c r="J15" i="3"/>
  <c r="I15" i="3"/>
  <c r="G15" i="3"/>
  <c r="F15" i="3"/>
  <c r="E15" i="3"/>
  <c r="D15" i="3"/>
  <c r="C15" i="3"/>
  <c r="Y12" i="3"/>
  <c r="X12" i="3"/>
  <c r="W12" i="3"/>
  <c r="V12" i="3"/>
  <c r="U12" i="3"/>
  <c r="S12" i="3"/>
  <c r="R12" i="3"/>
  <c r="Q12" i="3"/>
  <c r="P12" i="3"/>
  <c r="O12" i="3"/>
  <c r="M12" i="3"/>
  <c r="L12" i="3"/>
  <c r="K12" i="3"/>
  <c r="J12" i="3"/>
  <c r="I12" i="3"/>
  <c r="G12" i="3"/>
  <c r="F12" i="3"/>
  <c r="E12" i="3"/>
  <c r="D12" i="3"/>
  <c r="C12" i="3"/>
  <c r="Y11" i="3"/>
  <c r="X11" i="3"/>
  <c r="W11" i="3"/>
  <c r="V11" i="3"/>
  <c r="U11" i="3"/>
  <c r="S11" i="3"/>
  <c r="R11" i="3"/>
  <c r="Q11" i="3"/>
  <c r="P11" i="3"/>
  <c r="O11" i="3"/>
  <c r="M11" i="3"/>
  <c r="L11" i="3"/>
  <c r="K11" i="3"/>
  <c r="J11" i="3"/>
  <c r="I11" i="3"/>
  <c r="G11" i="3"/>
  <c r="F11" i="3"/>
  <c r="E11" i="3"/>
  <c r="D11" i="3"/>
  <c r="C11" i="3"/>
  <c r="Y14" i="3"/>
  <c r="X14" i="3"/>
  <c r="W14" i="3"/>
  <c r="V14" i="3"/>
  <c r="U14" i="3"/>
  <c r="S14" i="3"/>
  <c r="R14" i="3"/>
  <c r="Q14" i="3"/>
  <c r="P14" i="3"/>
  <c r="O14" i="3"/>
  <c r="M14" i="3"/>
  <c r="L14" i="3"/>
  <c r="K14" i="3"/>
  <c r="J14" i="3"/>
  <c r="I14" i="3"/>
  <c r="G14" i="3"/>
  <c r="F14" i="3"/>
  <c r="E14" i="3"/>
  <c r="D14" i="3"/>
  <c r="C14" i="3"/>
  <c r="Y13" i="3"/>
  <c r="X13" i="3"/>
  <c r="W13" i="3"/>
  <c r="V13" i="3"/>
  <c r="U13" i="3"/>
  <c r="S13" i="3"/>
  <c r="R13" i="3"/>
  <c r="Q13" i="3"/>
  <c r="P13" i="3"/>
  <c r="O13" i="3"/>
  <c r="M13" i="3"/>
  <c r="L13" i="3"/>
  <c r="K13" i="3"/>
  <c r="J13" i="3"/>
  <c r="I13" i="3"/>
  <c r="G13" i="3"/>
  <c r="F13" i="3"/>
  <c r="E13" i="3"/>
  <c r="D13" i="3"/>
  <c r="C13" i="3"/>
  <c r="Y9" i="3"/>
  <c r="X9" i="3"/>
  <c r="W9" i="3"/>
  <c r="V9" i="3"/>
  <c r="U9" i="3"/>
  <c r="S9" i="3"/>
  <c r="R9" i="3"/>
  <c r="Q9" i="3"/>
  <c r="P9" i="3"/>
  <c r="O9" i="3"/>
  <c r="M9" i="3"/>
  <c r="L9" i="3"/>
  <c r="K9" i="3"/>
  <c r="J9" i="3"/>
  <c r="I9" i="3"/>
  <c r="G9" i="3"/>
  <c r="F9" i="3"/>
  <c r="E9" i="3"/>
  <c r="D9" i="3"/>
  <c r="C9" i="3"/>
  <c r="Y10" i="3"/>
  <c r="X10" i="3"/>
  <c r="W10" i="3"/>
  <c r="V10" i="3"/>
  <c r="U10" i="3"/>
  <c r="S10" i="3"/>
  <c r="R10" i="3"/>
  <c r="Q10" i="3"/>
  <c r="P10" i="3"/>
  <c r="O10" i="3"/>
  <c r="M10" i="3"/>
  <c r="L10" i="3"/>
  <c r="K10" i="3"/>
  <c r="J10" i="3"/>
  <c r="I10" i="3"/>
  <c r="G10" i="3"/>
  <c r="F10" i="3"/>
  <c r="E10" i="3"/>
  <c r="D10" i="3"/>
  <c r="C10" i="3"/>
  <c r="C21" i="12"/>
  <c r="F7" i="12"/>
  <c r="E7" i="12"/>
  <c r="D7" i="12"/>
  <c r="E9" i="12" s="1"/>
  <c r="C7" i="12"/>
  <c r="B7" i="12"/>
  <c r="P24" i="2"/>
  <c r="P83" i="2"/>
  <c r="P84" i="2"/>
  <c r="P96" i="2"/>
  <c r="P38" i="2"/>
  <c r="P62" i="2"/>
  <c r="P91" i="2"/>
  <c r="P68" i="2"/>
  <c r="P36" i="2"/>
  <c r="P95" i="2"/>
  <c r="P50" i="2"/>
  <c r="P34" i="2"/>
  <c r="P93" i="2"/>
  <c r="P17" i="2"/>
  <c r="P133" i="2"/>
  <c r="P129" i="2"/>
  <c r="P59" i="2"/>
  <c r="P74" i="2"/>
  <c r="P46" i="2"/>
  <c r="P32" i="2"/>
  <c r="P54" i="2"/>
  <c r="P29" i="2"/>
  <c r="P127" i="2"/>
  <c r="P43" i="2"/>
  <c r="P122" i="2"/>
  <c r="P64" i="2"/>
  <c r="P145" i="2"/>
  <c r="P97" i="2"/>
  <c r="P81" i="2"/>
  <c r="P132" i="2"/>
  <c r="P111" i="2"/>
  <c r="P44" i="2"/>
  <c r="P139" i="2"/>
  <c r="P118" i="2"/>
  <c r="P128" i="2"/>
  <c r="P70" i="2"/>
  <c r="P101" i="2"/>
  <c r="P21" i="2"/>
  <c r="P48" i="2"/>
  <c r="P100" i="2"/>
  <c r="P85" i="2"/>
  <c r="P117" i="2"/>
  <c r="P89" i="2"/>
  <c r="P104" i="2"/>
  <c r="P55" i="2"/>
  <c r="P9" i="2"/>
  <c r="P49" i="2"/>
  <c r="P131" i="2"/>
  <c r="P99" i="2"/>
  <c r="P33" i="2"/>
  <c r="P60" i="2"/>
  <c r="P75" i="2"/>
  <c r="P71" i="2"/>
  <c r="P35" i="2"/>
  <c r="P130" i="2"/>
  <c r="P20" i="2"/>
  <c r="P18" i="2"/>
  <c r="P121" i="2"/>
  <c r="P26" i="2"/>
  <c r="P14" i="2"/>
  <c r="P124" i="2"/>
  <c r="P123" i="2"/>
  <c r="P28" i="2"/>
  <c r="P107" i="2"/>
  <c r="P106" i="2"/>
  <c r="P125" i="2"/>
  <c r="P114" i="2"/>
  <c r="P15" i="2"/>
  <c r="P77" i="2"/>
  <c r="P78" i="2"/>
  <c r="P30" i="2"/>
  <c r="P41" i="2"/>
  <c r="P102" i="2"/>
  <c r="P92" i="2"/>
  <c r="P144" i="2"/>
  <c r="P108" i="2"/>
  <c r="P31" i="2"/>
  <c r="P40" i="2"/>
  <c r="P143" i="2"/>
  <c r="P73" i="2"/>
  <c r="P124" i="4"/>
  <c r="P123" i="4"/>
  <c r="P122" i="4"/>
  <c r="P84" i="5"/>
  <c r="P83" i="5"/>
  <c r="P82" i="5"/>
  <c r="P81" i="5"/>
  <c r="P80" i="5"/>
  <c r="P79" i="5"/>
  <c r="P78" i="5"/>
  <c r="P77" i="5"/>
  <c r="P76" i="5"/>
  <c r="P75" i="5"/>
  <c r="P74" i="5"/>
  <c r="P73" i="5"/>
  <c r="P72" i="5"/>
  <c r="P71" i="5"/>
  <c r="P68" i="5"/>
  <c r="P66" i="5"/>
  <c r="P65" i="5"/>
  <c r="P64" i="5"/>
  <c r="P63" i="5"/>
  <c r="P62" i="5"/>
  <c r="P61" i="5"/>
  <c r="P60" i="5"/>
  <c r="P59" i="5"/>
  <c r="P58" i="5"/>
  <c r="P57" i="5"/>
  <c r="P56" i="5"/>
  <c r="E30" i="3"/>
  <c r="C8" i="3"/>
  <c r="P14" i="10"/>
  <c r="P70" i="10"/>
  <c r="P40" i="10"/>
  <c r="P32" i="10"/>
  <c r="P37" i="10"/>
  <c r="P10" i="10"/>
  <c r="P22" i="10"/>
  <c r="P28" i="10"/>
  <c r="P30" i="10"/>
  <c r="P64" i="10"/>
  <c r="P33" i="10"/>
  <c r="P86" i="10"/>
  <c r="P12" i="10"/>
  <c r="P49" i="10"/>
  <c r="P38" i="10"/>
  <c r="P53" i="10"/>
  <c r="P82" i="10"/>
  <c r="P77" i="10"/>
  <c r="P69" i="10"/>
  <c r="P29" i="10"/>
  <c r="P96" i="10"/>
  <c r="P89" i="10"/>
  <c r="P91" i="10"/>
  <c r="P84" i="10"/>
  <c r="P56" i="10"/>
  <c r="P24" i="10"/>
  <c r="P26" i="10"/>
  <c r="P34" i="10"/>
  <c r="P90" i="10"/>
  <c r="P73" i="10"/>
  <c r="P97" i="10"/>
  <c r="P25" i="10"/>
  <c r="P55" i="10"/>
  <c r="P95" i="10"/>
  <c r="P41" i="10"/>
  <c r="P79" i="10"/>
  <c r="P81" i="10"/>
  <c r="P17" i="10"/>
  <c r="P13" i="10"/>
  <c r="P63" i="10"/>
  <c r="P23" i="10"/>
  <c r="P9" i="10"/>
  <c r="P46" i="10"/>
  <c r="P47" i="10"/>
  <c r="P50" i="10"/>
  <c r="P93" i="10"/>
  <c r="P71" i="10"/>
  <c r="P80" i="10"/>
  <c r="P43" i="10"/>
  <c r="P31" i="10"/>
  <c r="P94" i="10"/>
  <c r="P85" i="10"/>
  <c r="P74" i="10"/>
  <c r="P76" i="10"/>
  <c r="P20" i="10"/>
  <c r="P59" i="10"/>
  <c r="P51" i="10"/>
  <c r="P68" i="10"/>
  <c r="P92" i="10"/>
  <c r="P83" i="10"/>
  <c r="P44" i="10"/>
  <c r="P88" i="10"/>
  <c r="P78" i="10"/>
  <c r="P62" i="10"/>
  <c r="P36" i="10"/>
  <c r="P54" i="10"/>
  <c r="P45" i="10"/>
  <c r="P52" i="10"/>
  <c r="P21" i="10"/>
  <c r="P75" i="10"/>
  <c r="P15" i="10"/>
  <c r="P35" i="10"/>
  <c r="P48" i="10"/>
  <c r="P58" i="10"/>
  <c r="P87" i="10"/>
  <c r="P57" i="10"/>
  <c r="P39" i="10"/>
  <c r="P61" i="10"/>
  <c r="P67" i="10"/>
  <c r="P11" i="10"/>
  <c r="P8" i="10"/>
  <c r="P27" i="10"/>
  <c r="P19" i="10"/>
  <c r="P16" i="10"/>
  <c r="P18" i="10"/>
  <c r="P60" i="10"/>
  <c r="P72" i="10"/>
  <c r="P65" i="10"/>
  <c r="P42" i="10"/>
  <c r="P66" i="10"/>
  <c r="P101" i="10"/>
  <c r="P102" i="10"/>
  <c r="N11" i="3" l="1"/>
  <c r="H11" i="3"/>
  <c r="Z9" i="3"/>
  <c r="P24" i="5"/>
  <c r="P48" i="5"/>
  <c r="P47" i="5"/>
  <c r="P46" i="5"/>
  <c r="P45" i="5"/>
  <c r="P44" i="5"/>
  <c r="Z15" i="3" l="1"/>
  <c r="N15" i="3"/>
  <c r="T15" i="3"/>
  <c r="H15" i="3"/>
  <c r="A1" i="8"/>
  <c r="P53" i="5"/>
  <c r="P37" i="5"/>
  <c r="P43" i="5"/>
  <c r="P27" i="5"/>
  <c r="P52" i="5"/>
  <c r="AA15" i="3" l="1"/>
  <c r="P56" i="4"/>
  <c r="P32" i="1"/>
  <c r="P12" i="5"/>
  <c r="P55" i="5"/>
  <c r="P85" i="5"/>
  <c r="P31" i="5"/>
  <c r="P35" i="5"/>
  <c r="P29" i="5"/>
  <c r="P38" i="5"/>
  <c r="P54" i="5"/>
  <c r="P19" i="5"/>
  <c r="P9" i="5"/>
  <c r="P50" i="4"/>
  <c r="P120" i="4"/>
  <c r="P10" i="4"/>
  <c r="P40" i="4"/>
  <c r="P16" i="4"/>
  <c r="P61" i="4"/>
  <c r="P30" i="4"/>
  <c r="P14" i="4"/>
  <c r="P135" i="4"/>
  <c r="P102" i="4"/>
  <c r="P78" i="4"/>
  <c r="P89" i="4"/>
  <c r="P55" i="4"/>
  <c r="P85" i="4"/>
  <c r="P29" i="4"/>
  <c r="P107" i="4"/>
  <c r="P82" i="4"/>
  <c r="P90" i="4"/>
  <c r="P132" i="4"/>
  <c r="P92" i="4"/>
  <c r="P94" i="4"/>
  <c r="P69" i="4"/>
  <c r="P106" i="4"/>
  <c r="P82" i="2"/>
  <c r="P80" i="2"/>
  <c r="P166" i="2"/>
  <c r="P13" i="2"/>
  <c r="P67" i="2"/>
  <c r="P153" i="2"/>
  <c r="P155" i="2"/>
  <c r="P90" i="2"/>
  <c r="P110" i="2"/>
  <c r="P57" i="2"/>
  <c r="P146" i="1"/>
  <c r="P209" i="1"/>
  <c r="P208" i="1"/>
  <c r="P131" i="1"/>
  <c r="P129" i="1"/>
  <c r="P216" i="1"/>
  <c r="P87" i="1"/>
  <c r="P99" i="1"/>
  <c r="P104" i="10"/>
  <c r="P109" i="10"/>
  <c r="P108" i="10"/>
  <c r="P22" i="2" l="1"/>
  <c r="P88" i="2"/>
  <c r="P45" i="2"/>
  <c r="P94" i="2"/>
  <c r="P157" i="2"/>
  <c r="P147" i="2"/>
  <c r="P171" i="2"/>
  <c r="P42" i="2"/>
  <c r="N5" i="5"/>
  <c r="L5" i="5"/>
  <c r="J5" i="5"/>
  <c r="H5" i="5"/>
  <c r="N5" i="4"/>
  <c r="L5" i="4"/>
  <c r="J5" i="4"/>
  <c r="H5" i="4"/>
  <c r="N5" i="1"/>
  <c r="L5" i="1"/>
  <c r="J5" i="1"/>
  <c r="H5" i="1"/>
  <c r="N5" i="2"/>
  <c r="L5" i="2"/>
  <c r="J5" i="2"/>
  <c r="H5" i="2"/>
  <c r="B1" i="3" l="1"/>
  <c r="B1" i="5"/>
  <c r="B1" i="4"/>
  <c r="B1" i="2"/>
  <c r="U17" i="3"/>
  <c r="V17" i="3"/>
  <c r="W17" i="3"/>
  <c r="X17" i="3"/>
  <c r="Y17" i="3"/>
  <c r="U16" i="3"/>
  <c r="V16" i="3"/>
  <c r="W16" i="3"/>
  <c r="X16" i="3"/>
  <c r="Y16" i="3"/>
  <c r="U8" i="3"/>
  <c r="V8" i="3"/>
  <c r="W8" i="3"/>
  <c r="X8" i="3"/>
  <c r="Y8" i="3"/>
  <c r="O17" i="3"/>
  <c r="P17" i="3"/>
  <c r="Q17" i="3"/>
  <c r="R17" i="3"/>
  <c r="S17" i="3"/>
  <c r="O16" i="3"/>
  <c r="P16" i="3"/>
  <c r="Q16" i="3"/>
  <c r="R16" i="3"/>
  <c r="S16" i="3"/>
  <c r="O8" i="3"/>
  <c r="P8" i="3"/>
  <c r="Q8" i="3"/>
  <c r="R8" i="3"/>
  <c r="S8" i="3"/>
  <c r="I17" i="3"/>
  <c r="J17" i="3"/>
  <c r="K17" i="3"/>
  <c r="L17" i="3"/>
  <c r="M17" i="3"/>
  <c r="I16" i="3"/>
  <c r="J16" i="3"/>
  <c r="K16" i="3"/>
  <c r="L16" i="3"/>
  <c r="M16" i="3"/>
  <c r="I8" i="3"/>
  <c r="J8" i="3"/>
  <c r="K8" i="3"/>
  <c r="L8" i="3"/>
  <c r="M8" i="3"/>
  <c r="D8" i="3"/>
  <c r="E8" i="3"/>
  <c r="F8" i="3"/>
  <c r="G8" i="3"/>
  <c r="C16" i="3"/>
  <c r="D16" i="3"/>
  <c r="E16" i="3"/>
  <c r="F16" i="3"/>
  <c r="G16" i="3"/>
  <c r="D17" i="3"/>
  <c r="E17" i="3"/>
  <c r="F17" i="3"/>
  <c r="G17" i="3"/>
  <c r="P50" i="5"/>
  <c r="C6" i="3"/>
  <c r="O6" i="3"/>
  <c r="U6" i="3"/>
  <c r="P17" i="5"/>
  <c r="P21" i="5"/>
  <c r="P42" i="5"/>
  <c r="P22" i="5"/>
  <c r="P10" i="5"/>
  <c r="P51" i="5"/>
  <c r="P39" i="5"/>
  <c r="P36" i="5"/>
  <c r="P28" i="5"/>
  <c r="P15" i="5"/>
  <c r="P32" i="5"/>
  <c r="P33" i="5"/>
  <c r="P14" i="5"/>
  <c r="P41" i="5"/>
  <c r="P16" i="5"/>
  <c r="P18" i="5"/>
  <c r="P13" i="5"/>
  <c r="P30" i="5"/>
  <c r="P40" i="5"/>
  <c r="P26" i="5"/>
  <c r="P25" i="5"/>
  <c r="P23" i="5"/>
  <c r="P11" i="5"/>
  <c r="P20" i="5"/>
  <c r="P8" i="5"/>
  <c r="P86" i="5" s="1"/>
  <c r="P49" i="5"/>
  <c r="P34" i="5"/>
  <c r="I30" i="3"/>
  <c r="K30" i="3"/>
  <c r="P37" i="4"/>
  <c r="P70" i="4"/>
  <c r="P46" i="4"/>
  <c r="P99" i="4"/>
  <c r="P100" i="4"/>
  <c r="P25" i="4"/>
  <c r="P36" i="4"/>
  <c r="P105" i="4"/>
  <c r="P114" i="4"/>
  <c r="P42" i="4"/>
  <c r="P67" i="4"/>
  <c r="P98" i="4"/>
  <c r="P117" i="4"/>
  <c r="P72" i="4"/>
  <c r="P88" i="4"/>
  <c r="P116" i="4"/>
  <c r="P86" i="4"/>
  <c r="P27" i="4"/>
  <c r="P22" i="4"/>
  <c r="P44" i="4"/>
  <c r="P65" i="4"/>
  <c r="P109" i="4"/>
  <c r="P111" i="4"/>
  <c r="P133" i="4"/>
  <c r="P26" i="4"/>
  <c r="P11" i="4"/>
  <c r="P64" i="4"/>
  <c r="P59" i="4"/>
  <c r="P121" i="4"/>
  <c r="P104" i="4"/>
  <c r="P131" i="4"/>
  <c r="P80" i="4"/>
  <c r="P49" i="4"/>
  <c r="P75" i="4"/>
  <c r="P20" i="4"/>
  <c r="P58" i="4"/>
  <c r="P96" i="4"/>
  <c r="P93" i="4"/>
  <c r="P35" i="4"/>
  <c r="P130" i="4"/>
  <c r="P76" i="4"/>
  <c r="P62" i="4"/>
  <c r="P83" i="4"/>
  <c r="P32" i="4"/>
  <c r="P23" i="4"/>
  <c r="P115" i="4"/>
  <c r="P91" i="4"/>
  <c r="P60" i="4"/>
  <c r="P18" i="4"/>
  <c r="P53" i="4"/>
  <c r="P128" i="4"/>
  <c r="P126" i="4"/>
  <c r="P34" i="4"/>
  <c r="P43" i="4"/>
  <c r="P31" i="4"/>
  <c r="P52" i="4"/>
  <c r="P21" i="4"/>
  <c r="P79" i="4"/>
  <c r="P74" i="4"/>
  <c r="P134" i="4"/>
  <c r="P47" i="4"/>
  <c r="P81" i="4"/>
  <c r="P127" i="4"/>
  <c r="P95" i="4"/>
  <c r="P87" i="4"/>
  <c r="P39" i="4"/>
  <c r="P13" i="4"/>
  <c r="P33" i="4"/>
  <c r="P51" i="4"/>
  <c r="P73" i="4"/>
  <c r="P118" i="4"/>
  <c r="P77" i="4"/>
  <c r="P17" i="4"/>
  <c r="P19" i="4"/>
  <c r="P48" i="4"/>
  <c r="P71" i="4"/>
  <c r="P103" i="4"/>
  <c r="P101" i="4"/>
  <c r="P38" i="4"/>
  <c r="P125" i="4"/>
  <c r="P57" i="4"/>
  <c r="P8" i="4"/>
  <c r="P129" i="4"/>
  <c r="P68" i="4"/>
  <c r="P41" i="4"/>
  <c r="P84" i="4"/>
  <c r="P45" i="4"/>
  <c r="P54" i="4"/>
  <c r="P28" i="4"/>
  <c r="P24" i="4"/>
  <c r="P63" i="4"/>
  <c r="P119" i="4"/>
  <c r="P15" i="4"/>
  <c r="P108" i="4"/>
  <c r="P66" i="4"/>
  <c r="P9" i="4"/>
  <c r="P110" i="4"/>
  <c r="P97" i="4"/>
  <c r="P12" i="4"/>
  <c r="H136" i="4"/>
  <c r="E29" i="3" s="1"/>
  <c r="J136" i="4"/>
  <c r="G29" i="3" s="1"/>
  <c r="L136" i="4"/>
  <c r="I29" i="3" s="1"/>
  <c r="N136" i="4"/>
  <c r="K29" i="3" s="1"/>
  <c r="P138" i="2"/>
  <c r="P126" i="2"/>
  <c r="P113" i="2"/>
  <c r="P16" i="2"/>
  <c r="P65" i="2"/>
  <c r="P154" i="2"/>
  <c r="P19" i="2"/>
  <c r="P161" i="2"/>
  <c r="P170" i="2"/>
  <c r="P164" i="2"/>
  <c r="P160" i="2"/>
  <c r="P136" i="2"/>
  <c r="P10" i="2"/>
  <c r="P141" i="2"/>
  <c r="P137" i="2"/>
  <c r="P142" i="2"/>
  <c r="P119" i="2"/>
  <c r="P72" i="2"/>
  <c r="P37" i="2"/>
  <c r="P165" i="2"/>
  <c r="P162" i="2"/>
  <c r="P12" i="2"/>
  <c r="P109" i="2"/>
  <c r="P140" i="2"/>
  <c r="P86" i="2"/>
  <c r="P98" i="2"/>
  <c r="P66" i="2"/>
  <c r="P146" i="2"/>
  <c r="P169" i="2"/>
  <c r="P47" i="2"/>
  <c r="P134" i="2"/>
  <c r="P63" i="2"/>
  <c r="P105" i="2"/>
  <c r="P112" i="2"/>
  <c r="P23" i="2"/>
  <c r="P27" i="2"/>
  <c r="P135" i="2"/>
  <c r="P61" i="2"/>
  <c r="P103" i="2"/>
  <c r="P76" i="2"/>
  <c r="P159" i="2"/>
  <c r="P116" i="2"/>
  <c r="P56" i="2"/>
  <c r="P79" i="2"/>
  <c r="P167" i="2"/>
  <c r="P120" i="2"/>
  <c r="P150" i="2"/>
  <c r="P158" i="2"/>
  <c r="P8" i="2"/>
  <c r="P156" i="2"/>
  <c r="P163" i="2"/>
  <c r="P58" i="2"/>
  <c r="P69" i="2"/>
  <c r="P25" i="2"/>
  <c r="P53" i="2"/>
  <c r="P168" i="2"/>
  <c r="P152" i="2"/>
  <c r="P39" i="2"/>
  <c r="P151" i="2"/>
  <c r="P52" i="2"/>
  <c r="P87" i="2"/>
  <c r="P11" i="2"/>
  <c r="P115" i="2"/>
  <c r="P51" i="2"/>
  <c r="P172" i="2"/>
  <c r="P173" i="2"/>
  <c r="P174" i="2"/>
  <c r="H175" i="2"/>
  <c r="E28" i="3" s="1"/>
  <c r="J175" i="2"/>
  <c r="G28" i="3" s="1"/>
  <c r="L175" i="2"/>
  <c r="I28" i="3" s="1"/>
  <c r="N175" i="2"/>
  <c r="K28" i="3" s="1"/>
  <c r="P130" i="1"/>
  <c r="P111" i="1"/>
  <c r="P108" i="1"/>
  <c r="P211" i="1"/>
  <c r="P191" i="1"/>
  <c r="P202" i="1"/>
  <c r="P88" i="1"/>
  <c r="P172" i="1"/>
  <c r="P204" i="1"/>
  <c r="P139" i="1"/>
  <c r="P101" i="1"/>
  <c r="P49" i="1"/>
  <c r="P40" i="1"/>
  <c r="P106" i="1"/>
  <c r="P210" i="1"/>
  <c r="P66" i="1"/>
  <c r="P213" i="1"/>
  <c r="P215" i="1"/>
  <c r="P11" i="1"/>
  <c r="P71" i="1"/>
  <c r="P205" i="1"/>
  <c r="P196" i="1"/>
  <c r="P140" i="1"/>
  <c r="P98" i="1"/>
  <c r="P50" i="1"/>
  <c r="P136" i="1"/>
  <c r="P77" i="1"/>
  <c r="P90" i="1"/>
  <c r="P164" i="1"/>
  <c r="P53" i="1"/>
  <c r="P116" i="1"/>
  <c r="P193" i="1"/>
  <c r="P201" i="1"/>
  <c r="P173" i="1"/>
  <c r="P163" i="1"/>
  <c r="P192" i="1"/>
  <c r="P125" i="1"/>
  <c r="P138" i="1"/>
  <c r="P110" i="1"/>
  <c r="P203" i="1"/>
  <c r="P185" i="1"/>
  <c r="P22" i="1"/>
  <c r="P166" i="1"/>
  <c r="P177" i="1"/>
  <c r="P35" i="1"/>
  <c r="P72" i="1"/>
  <c r="P57" i="1"/>
  <c r="P198" i="1"/>
  <c r="P64" i="1"/>
  <c r="P63" i="1"/>
  <c r="P160" i="1"/>
  <c r="P117" i="1"/>
  <c r="P206" i="1"/>
  <c r="P200" i="1"/>
  <c r="P197" i="1"/>
  <c r="P212" i="1"/>
  <c r="P161" i="1"/>
  <c r="P109" i="1"/>
  <c r="P62" i="1"/>
  <c r="P199" i="1"/>
  <c r="P19" i="1"/>
  <c r="P214" i="1"/>
  <c r="P162" i="1"/>
  <c r="P207" i="1"/>
  <c r="P67" i="1"/>
  <c r="P95" i="1"/>
  <c r="P18" i="1"/>
  <c r="P37" i="1"/>
  <c r="P45" i="1"/>
  <c r="P145" i="1"/>
  <c r="P74" i="1"/>
  <c r="P78" i="1"/>
  <c r="P150" i="1"/>
  <c r="P186" i="1"/>
  <c r="P91" i="1"/>
  <c r="P217" i="1"/>
  <c r="P218" i="1"/>
  <c r="H219" i="1"/>
  <c r="E27" i="3" s="1"/>
  <c r="J219" i="1"/>
  <c r="G27" i="3" s="1"/>
  <c r="L219" i="1"/>
  <c r="I27" i="3" s="1"/>
  <c r="N219" i="1"/>
  <c r="K27" i="3" s="1"/>
  <c r="P115" i="10"/>
  <c r="P105" i="10"/>
  <c r="P114" i="10"/>
  <c r="P112" i="10"/>
  <c r="P111" i="10"/>
  <c r="P110" i="10"/>
  <c r="P106" i="10"/>
  <c r="P116" i="10"/>
  <c r="P107" i="10"/>
  <c r="P113" i="10"/>
  <c r="P103" i="10"/>
  <c r="H117" i="10"/>
  <c r="E26" i="3" s="1"/>
  <c r="J117" i="10"/>
  <c r="G26" i="3" s="1"/>
  <c r="L117" i="10"/>
  <c r="I26" i="3" s="1"/>
  <c r="N117" i="10"/>
  <c r="K26" i="3" s="1"/>
  <c r="L30" i="3" l="1"/>
  <c r="H12" i="3"/>
  <c r="H8" i="3"/>
  <c r="N8" i="3"/>
  <c r="N12" i="3"/>
  <c r="N14" i="3"/>
  <c r="N17" i="3"/>
  <c r="N18" i="3"/>
  <c r="T10" i="3"/>
  <c r="T11" i="3"/>
  <c r="T16" i="3"/>
  <c r="T9" i="3"/>
  <c r="T13" i="3"/>
  <c r="Z8" i="3"/>
  <c r="Z12" i="3"/>
  <c r="Z14" i="3"/>
  <c r="Z17" i="3"/>
  <c r="Z18" i="3"/>
  <c r="N10" i="3"/>
  <c r="N16" i="3"/>
  <c r="N9" i="3"/>
  <c r="N13" i="3"/>
  <c r="T8" i="3"/>
  <c r="T12" i="3"/>
  <c r="T14" i="3"/>
  <c r="T17" i="3"/>
  <c r="T18" i="3"/>
  <c r="Z10" i="3"/>
  <c r="Z11" i="3"/>
  <c r="Z16" i="3"/>
  <c r="Z13" i="3"/>
  <c r="H10" i="3"/>
  <c r="H18" i="3"/>
  <c r="H17" i="3"/>
  <c r="H14" i="3"/>
  <c r="H13" i="3"/>
  <c r="H9" i="3"/>
  <c r="H16" i="3"/>
  <c r="P175" i="2"/>
  <c r="L28" i="3"/>
  <c r="L29" i="3"/>
  <c r="P136" i="4"/>
  <c r="I31" i="3"/>
  <c r="K31" i="3"/>
  <c r="P117" i="10"/>
  <c r="P219" i="1"/>
  <c r="L26" i="3"/>
  <c r="E31" i="3"/>
  <c r="L27" i="3"/>
  <c r="AA11" i="3" l="1"/>
  <c r="AA18" i="3"/>
  <c r="G31" i="3"/>
  <c r="AA12" i="3"/>
  <c r="AA17" i="3"/>
  <c r="AA8" i="3"/>
  <c r="AA9" i="3"/>
  <c r="AA14" i="3"/>
  <c r="AA16" i="3"/>
  <c r="AA13" i="3"/>
  <c r="AA10" i="3"/>
  <c r="L3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TVC tournoi</author>
  </authors>
  <commentList>
    <comment ref="O6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TVC tournoi: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<sst xmlns="http://schemas.openxmlformats.org/spreadsheetml/2006/main" count="5756" uniqueCount="870">
  <si>
    <t>NOM</t>
  </si>
  <si>
    <t>PRENOM</t>
  </si>
  <si>
    <t>1er Tour</t>
  </si>
  <si>
    <t>2nd Tour</t>
  </si>
  <si>
    <t>3ème Tour</t>
  </si>
  <si>
    <t>4ème Tour</t>
  </si>
  <si>
    <t>TOTAL</t>
  </si>
  <si>
    <t>Club</t>
  </si>
  <si>
    <t xml:space="preserve"> Naiss</t>
  </si>
  <si>
    <t>API</t>
  </si>
  <si>
    <t>USP</t>
  </si>
  <si>
    <t>ASM</t>
  </si>
  <si>
    <t>COU</t>
  </si>
  <si>
    <t>CC2</t>
  </si>
  <si>
    <t>TOTAL-CLUBS</t>
  </si>
  <si>
    <t>BENJ.</t>
  </si>
  <si>
    <t>MINI.</t>
  </si>
  <si>
    <t>CAD.-
JUNIO.</t>
  </si>
  <si>
    <t>FEM.</t>
  </si>
  <si>
    <t>TOTAL
CUMUL</t>
  </si>
  <si>
    <t>Benjamins</t>
  </si>
  <si>
    <t>Minimes</t>
  </si>
  <si>
    <t>Cadets-Juniors</t>
  </si>
  <si>
    <t>PARTICIPANTS</t>
  </si>
  <si>
    <t xml:space="preserve"> Tour 1</t>
  </si>
  <si>
    <t xml:space="preserve"> Tour 2</t>
  </si>
  <si>
    <t>Tour 3</t>
  </si>
  <si>
    <t>Tour 4</t>
  </si>
  <si>
    <t>pour differencier vos joueurs</t>
  </si>
  <si>
    <t>entrer votre code club :</t>
  </si>
  <si>
    <t>NB DE PARTICIPANTS</t>
  </si>
  <si>
    <t xml:space="preserve"> </t>
  </si>
  <si>
    <t>Points T1</t>
  </si>
  <si>
    <t>Points T2</t>
  </si>
  <si>
    <t>Points T3</t>
  </si>
  <si>
    <t>Points T4</t>
  </si>
  <si>
    <t>Total</t>
  </si>
  <si>
    <t>COS</t>
  </si>
  <si>
    <t xml:space="preserve">Distribution des Points </t>
  </si>
  <si>
    <t>Distribution Participation</t>
  </si>
  <si>
    <t>Tour</t>
  </si>
  <si>
    <t>Class.</t>
  </si>
  <si>
    <t>BENJAMINS (-11)</t>
  </si>
  <si>
    <t>MINIMES (-13)</t>
  </si>
  <si>
    <t>Benjamin</t>
  </si>
  <si>
    <t>Adrien</t>
  </si>
  <si>
    <t>Romain</t>
  </si>
  <si>
    <t>Thomas</t>
  </si>
  <si>
    <t>Alexandre</t>
  </si>
  <si>
    <t>Antoine</t>
  </si>
  <si>
    <t>Maxime</t>
  </si>
  <si>
    <t>CADETS-JUNIORS (-15 et -18)</t>
  </si>
  <si>
    <t>Quentin</t>
  </si>
  <si>
    <t>Tom</t>
  </si>
  <si>
    <t>ORS</t>
  </si>
  <si>
    <t>Nathan</t>
  </si>
  <si>
    <t>Mathis</t>
  </si>
  <si>
    <t>Feminine</t>
  </si>
  <si>
    <t>FEMININES (toutes catégories)</t>
  </si>
  <si>
    <t>Féminines</t>
  </si>
  <si>
    <t>Arthur</t>
  </si>
  <si>
    <t>Raphaël</t>
  </si>
  <si>
    <t>Lucas</t>
  </si>
  <si>
    <t>Louis</t>
  </si>
  <si>
    <t>Alexis</t>
  </si>
  <si>
    <t>ASV</t>
  </si>
  <si>
    <t>USBY</t>
  </si>
  <si>
    <t>Maxence</t>
  </si>
  <si>
    <t>Enzo</t>
  </si>
  <si>
    <t>Cadet/junior</t>
  </si>
  <si>
    <t>Axel</t>
  </si>
  <si>
    <t>Total général</t>
  </si>
  <si>
    <t>Killian</t>
  </si>
  <si>
    <t>Ethan</t>
  </si>
  <si>
    <t>WANG</t>
  </si>
  <si>
    <t>Sacha</t>
  </si>
  <si>
    <t>Tristan</t>
  </si>
  <si>
    <t>VAU</t>
  </si>
  <si>
    <t>Alban</t>
  </si>
  <si>
    <t>CAO</t>
  </si>
  <si>
    <t>Tout</t>
  </si>
  <si>
    <t>LAUNAY</t>
  </si>
  <si>
    <t>Eliott</t>
  </si>
  <si>
    <t>Victor</t>
  </si>
  <si>
    <t>Mael</t>
  </si>
  <si>
    <t>Charles</t>
  </si>
  <si>
    <t>Simon</t>
  </si>
  <si>
    <t>Yoan</t>
  </si>
  <si>
    <t>Luca</t>
  </si>
  <si>
    <t>Adam</t>
  </si>
  <si>
    <t>Mathys</t>
  </si>
  <si>
    <t>Jules</t>
  </si>
  <si>
    <t>Julien</t>
  </si>
  <si>
    <t>Hugo</t>
  </si>
  <si>
    <t>Gabriel</t>
  </si>
  <si>
    <t>Baptiste</t>
  </si>
  <si>
    <t>LEPRIEUR</t>
  </si>
  <si>
    <t>Nolan</t>
  </si>
  <si>
    <t>Corentin</t>
  </si>
  <si>
    <t>POUSSINS (-9)</t>
  </si>
  <si>
    <t>Poussins</t>
  </si>
  <si>
    <t>POUS.</t>
  </si>
  <si>
    <t>Nombre de Valeur</t>
  </si>
  <si>
    <t>Étiquettes de lignes</t>
  </si>
  <si>
    <t/>
  </si>
  <si>
    <t>Pr. T1</t>
  </si>
  <si>
    <t>Pr. T2</t>
  </si>
  <si>
    <t>Pr. T3</t>
  </si>
  <si>
    <t>Pr. T4</t>
  </si>
  <si>
    <t>Sexe</t>
  </si>
  <si>
    <t>F</t>
  </si>
  <si>
    <t>M</t>
  </si>
  <si>
    <t>Liam</t>
  </si>
  <si>
    <t>Noah</t>
  </si>
  <si>
    <t>Aaron</t>
  </si>
  <si>
    <t>Rayan</t>
  </si>
  <si>
    <t>DARNIEAUD</t>
  </si>
  <si>
    <t>Yoann</t>
  </si>
  <si>
    <t>FLAMENT</t>
  </si>
  <si>
    <t>PETIT</t>
  </si>
  <si>
    <t>Lilou</t>
  </si>
  <si>
    <t>HAFFRAY</t>
  </si>
  <si>
    <t>IACOUCCI</t>
  </si>
  <si>
    <t>Laura</t>
  </si>
  <si>
    <t>Raphael</t>
  </si>
  <si>
    <t>Ilan</t>
  </si>
  <si>
    <t>500</t>
  </si>
  <si>
    <t>MADRANGES</t>
  </si>
  <si>
    <t>Gary</t>
  </si>
  <si>
    <t>SEGUIN</t>
  </si>
  <si>
    <t>Evariste</t>
  </si>
  <si>
    <t>Esteban</t>
  </si>
  <si>
    <t>Camille</t>
  </si>
  <si>
    <t>TARISSE</t>
  </si>
  <si>
    <t>Owen</t>
  </si>
  <si>
    <t>JEANDOT</t>
  </si>
  <si>
    <t>Kilian</t>
  </si>
  <si>
    <t>Armand</t>
  </si>
  <si>
    <t>MORIN</t>
  </si>
  <si>
    <t>Amine</t>
  </si>
  <si>
    <t>Nicolas</t>
  </si>
  <si>
    <t>Louise</t>
  </si>
  <si>
    <t>Robin</t>
  </si>
  <si>
    <t>Anatole</t>
  </si>
  <si>
    <t>BITAN</t>
  </si>
  <si>
    <t>LACAZE</t>
  </si>
  <si>
    <t>CORDE</t>
  </si>
  <si>
    <t>HLAVACEK</t>
  </si>
  <si>
    <t>Oscar</t>
  </si>
  <si>
    <t>Paul</t>
  </si>
  <si>
    <t>Johan</t>
  </si>
  <si>
    <t>GENIAUT</t>
  </si>
  <si>
    <t>Valentin</t>
  </si>
  <si>
    <t>Samuel</t>
  </si>
  <si>
    <t>DURAND</t>
  </si>
  <si>
    <t>Amaury</t>
  </si>
  <si>
    <t>GOUJON</t>
  </si>
  <si>
    <t>Sasha</t>
  </si>
  <si>
    <t>TOURNOI DE LA VALLEE DE CHEVREUSE 2022-2023</t>
  </si>
  <si>
    <t>Issa</t>
  </si>
  <si>
    <t>POUPIN</t>
  </si>
  <si>
    <t>VOISIN</t>
  </si>
  <si>
    <t>Moussa</t>
  </si>
  <si>
    <t>Joseph</t>
  </si>
  <si>
    <t>PERONNE</t>
  </si>
  <si>
    <t>Aymeric</t>
  </si>
  <si>
    <t>GARCIA</t>
  </si>
  <si>
    <t>TIAO</t>
  </si>
  <si>
    <t>TEOFILO</t>
  </si>
  <si>
    <t>PESCHEUX-URRUTIA</t>
  </si>
  <si>
    <t>LEMAITRE</t>
  </si>
  <si>
    <t>LEONARD</t>
  </si>
  <si>
    <t>Matteo</t>
  </si>
  <si>
    <t>Eden</t>
  </si>
  <si>
    <t>RAT</t>
  </si>
  <si>
    <t>RIGAUD REYMOND</t>
  </si>
  <si>
    <t>WOLFF</t>
  </si>
  <si>
    <t>LEMARIE</t>
  </si>
  <si>
    <t>David</t>
  </si>
  <si>
    <t>Olivier</t>
  </si>
  <si>
    <t>LERUSTE</t>
  </si>
  <si>
    <t>Marius</t>
  </si>
  <si>
    <t>Jean</t>
  </si>
  <si>
    <t>Eloi</t>
  </si>
  <si>
    <t>STEPHAN</t>
  </si>
  <si>
    <t>Darren</t>
  </si>
  <si>
    <t>Leon</t>
  </si>
  <si>
    <t>Theo</t>
  </si>
  <si>
    <t>BEREZIAT</t>
  </si>
  <si>
    <t>Zachary</t>
  </si>
  <si>
    <t>Diego</t>
  </si>
  <si>
    <t>DALLERAC</t>
  </si>
  <si>
    <t>Caelan</t>
  </si>
  <si>
    <t>BEAUVINEAU</t>
  </si>
  <si>
    <t>BRAULT</t>
  </si>
  <si>
    <t>GIRARD</t>
  </si>
  <si>
    <t>HEZARD</t>
  </si>
  <si>
    <t>LEROY</t>
  </si>
  <si>
    <t>BALIGAND</t>
  </si>
  <si>
    <t>MIREBEAU</t>
  </si>
  <si>
    <t>MARTIN</t>
  </si>
  <si>
    <t>KILBINGER THOMAS</t>
  </si>
  <si>
    <t>Lilian</t>
  </si>
  <si>
    <t>Matheo</t>
  </si>
  <si>
    <t>Timote</t>
  </si>
  <si>
    <t>GELBARD</t>
  </si>
  <si>
    <t>MEUNIER</t>
  </si>
  <si>
    <t>D'HUART</t>
  </si>
  <si>
    <t>Gaetan</t>
  </si>
  <si>
    <t>VERGINE NASTASE</t>
  </si>
  <si>
    <t>Yanis</t>
  </si>
  <si>
    <t>MELKUMYAN</t>
  </si>
  <si>
    <t>Erik</t>
  </si>
  <si>
    <t>Andrea</t>
  </si>
  <si>
    <t>DESPRIN</t>
  </si>
  <si>
    <t>Emilien</t>
  </si>
  <si>
    <t>GOUDEY</t>
  </si>
  <si>
    <t>LEBERT</t>
  </si>
  <si>
    <t>Elliot</t>
  </si>
  <si>
    <t>LEGARSON</t>
  </si>
  <si>
    <t>Pierre</t>
  </si>
  <si>
    <t>ROSSI JURBERT</t>
  </si>
  <si>
    <t>Noelie</t>
  </si>
  <si>
    <t>TRICOT</t>
  </si>
  <si>
    <t>VELLUET</t>
  </si>
  <si>
    <t>Auxence</t>
  </si>
  <si>
    <t>VIALLET</t>
  </si>
  <si>
    <t>CATHERIN</t>
  </si>
  <si>
    <t>Alice</t>
  </si>
  <si>
    <t>DEJONC</t>
  </si>
  <si>
    <t>Lya</t>
  </si>
  <si>
    <t>GAJECKI</t>
  </si>
  <si>
    <t>Justin</t>
  </si>
  <si>
    <t>LECUYER</t>
  </si>
  <si>
    <t>MANCELLE HIMIDI</t>
  </si>
  <si>
    <t>Inaya</t>
  </si>
  <si>
    <t>RUHLMANN</t>
  </si>
  <si>
    <t>SEGRESTAN</t>
  </si>
  <si>
    <t>Tiago</t>
  </si>
  <si>
    <t>CORTES</t>
  </si>
  <si>
    <t>ROYER VARNAT</t>
  </si>
  <si>
    <t>Landry</t>
  </si>
  <si>
    <t>BARBIER</t>
  </si>
  <si>
    <t>LERNO</t>
  </si>
  <si>
    <t>Ellias</t>
  </si>
  <si>
    <t>GALAND</t>
  </si>
  <si>
    <t>Adel</t>
  </si>
  <si>
    <t>GAUTHIER</t>
  </si>
  <si>
    <t>Titouan</t>
  </si>
  <si>
    <t>Matten</t>
  </si>
  <si>
    <t>GARNIER</t>
  </si>
  <si>
    <t>DESRETTES</t>
  </si>
  <si>
    <t>Gabin</t>
  </si>
  <si>
    <t>HUCK</t>
  </si>
  <si>
    <t>STEFANINI</t>
  </si>
  <si>
    <t>Florent</t>
  </si>
  <si>
    <t>Abel</t>
  </si>
  <si>
    <t>POHIER</t>
  </si>
  <si>
    <t>REGNIER</t>
  </si>
  <si>
    <t>WERTHLE</t>
  </si>
  <si>
    <t>Michel</t>
  </si>
  <si>
    <t>BAUDOU</t>
  </si>
  <si>
    <t>Ilyan</t>
  </si>
  <si>
    <t>LEMOULT</t>
  </si>
  <si>
    <t>X</t>
  </si>
  <si>
    <t>CAUD</t>
  </si>
  <si>
    <t>Nael</t>
  </si>
  <si>
    <t>TOUKALI</t>
  </si>
  <si>
    <t>Imran</t>
  </si>
  <si>
    <t>LACROUX</t>
  </si>
  <si>
    <t>MICHEL</t>
  </si>
  <si>
    <t>ABBADI</t>
  </si>
  <si>
    <t>Neil</t>
  </si>
  <si>
    <t>x</t>
  </si>
  <si>
    <t>ALINE</t>
  </si>
  <si>
    <t>Calie</t>
  </si>
  <si>
    <t>Milan</t>
  </si>
  <si>
    <t>AMMAR KHODJA</t>
  </si>
  <si>
    <t>AMOURETTE</t>
  </si>
  <si>
    <t>ANDRIEUX</t>
  </si>
  <si>
    <t>AUDISIO</t>
  </si>
  <si>
    <t>AYRAULT</t>
  </si>
  <si>
    <t>BAMBA</t>
  </si>
  <si>
    <t>Mohamed-Adams</t>
  </si>
  <si>
    <t>BANU</t>
  </si>
  <si>
    <t>BEAUJOT</t>
  </si>
  <si>
    <t>BENHAMOU</t>
  </si>
  <si>
    <t>BERBONDE</t>
  </si>
  <si>
    <t>BESSON DRUI</t>
  </si>
  <si>
    <t>Basile</t>
  </si>
  <si>
    <t>BEUVELET</t>
  </si>
  <si>
    <t>BRAHMI</t>
  </si>
  <si>
    <t>Aghilas</t>
  </si>
  <si>
    <t>CAHNE HADJAF</t>
  </si>
  <si>
    <t>TTJ-BUC</t>
  </si>
  <si>
    <t>CELMA CHAPOT</t>
  </si>
  <si>
    <t>Nattan</t>
  </si>
  <si>
    <t>CHARLES</t>
  </si>
  <si>
    <t>Dorian</t>
  </si>
  <si>
    <t>Marceau</t>
  </si>
  <si>
    <t>CUNHA</t>
  </si>
  <si>
    <t>Mateo</t>
  </si>
  <si>
    <t>Curti</t>
  </si>
  <si>
    <t>DALLONI NIVET</t>
  </si>
  <si>
    <t>Tibo</t>
  </si>
  <si>
    <t>DEBSKI</t>
  </si>
  <si>
    <t>DELAYE MOCQUARD</t>
  </si>
  <si>
    <t>Evangeline</t>
  </si>
  <si>
    <t>Joscelin</t>
  </si>
  <si>
    <t>DELETRE</t>
  </si>
  <si>
    <t>Nessia</t>
  </si>
  <si>
    <t>DELORME AMARAL</t>
  </si>
  <si>
    <t>DIDELOT</t>
  </si>
  <si>
    <t>DRAME</t>
  </si>
  <si>
    <t>DUBOIS</t>
  </si>
  <si>
    <t>DUSSAUX COLLO</t>
  </si>
  <si>
    <t>EHLINGER</t>
  </si>
  <si>
    <t>EHONGO</t>
  </si>
  <si>
    <t>Lorenzo</t>
  </si>
  <si>
    <t>FABRY</t>
  </si>
  <si>
    <t>Julian</t>
  </si>
  <si>
    <t>FALINOWER</t>
  </si>
  <si>
    <t>FRONTERA</t>
  </si>
  <si>
    <t>GARIN</t>
  </si>
  <si>
    <t>GRANDIDIER</t>
  </si>
  <si>
    <t>GROSJEAN</t>
  </si>
  <si>
    <t>Jade</t>
  </si>
  <si>
    <t>HABERT</t>
  </si>
  <si>
    <t>HAMIDOUCHE</t>
  </si>
  <si>
    <t>HOUYERE</t>
  </si>
  <si>
    <t>Amandine</t>
  </si>
  <si>
    <t>KOHUT</t>
  </si>
  <si>
    <t>LALEU</t>
  </si>
  <si>
    <t>Alicia</t>
  </si>
  <si>
    <t>LAMPE</t>
  </si>
  <si>
    <t>Iris</t>
  </si>
  <si>
    <t>LANDRAGIN</t>
  </si>
  <si>
    <t>LAVILLE SANGRADO</t>
  </si>
  <si>
    <t>LEBAS</t>
  </si>
  <si>
    <t>Lucie</t>
  </si>
  <si>
    <t>LEFEVRE</t>
  </si>
  <si>
    <t>Leen</t>
  </si>
  <si>
    <t>LEPEU</t>
  </si>
  <si>
    <t>LOPEZ VARGAS</t>
  </si>
  <si>
    <t>LOUIS</t>
  </si>
  <si>
    <t>Ruben</t>
  </si>
  <si>
    <t>LUZURIER</t>
  </si>
  <si>
    <t>Marcel</t>
  </si>
  <si>
    <t>MOISSANT MAUDUIT</t>
  </si>
  <si>
    <t>Gauthier</t>
  </si>
  <si>
    <t>NEVERS</t>
  </si>
  <si>
    <t>NGUYEN</t>
  </si>
  <si>
    <t>NOUR LOUIS</t>
  </si>
  <si>
    <t>PAEZ</t>
  </si>
  <si>
    <t>Elena</t>
  </si>
  <si>
    <t>Sophie</t>
  </si>
  <si>
    <t>PEREIRA</t>
  </si>
  <si>
    <t>PERRAUDIN</t>
  </si>
  <si>
    <t>PITON</t>
  </si>
  <si>
    <t>RASKIN</t>
  </si>
  <si>
    <t>Sohan</t>
  </si>
  <si>
    <t>REKIK</t>
  </si>
  <si>
    <t>Isaac</t>
  </si>
  <si>
    <t>RETHO</t>
  </si>
  <si>
    <t>RIEL LEGROS</t>
  </si>
  <si>
    <t>Letty</t>
  </si>
  <si>
    <t>Eva</t>
  </si>
  <si>
    <t>ROUE</t>
  </si>
  <si>
    <t>SARLABOUT</t>
  </si>
  <si>
    <t>SCHMITT</t>
  </si>
  <si>
    <t>Loan</t>
  </si>
  <si>
    <t>SERRES</t>
  </si>
  <si>
    <t>Yuon</t>
  </si>
  <si>
    <t>SISMEIRO</t>
  </si>
  <si>
    <t>SOLER</t>
  </si>
  <si>
    <t>SORTAIS</t>
  </si>
  <si>
    <t>SURMON</t>
  </si>
  <si>
    <t>Charlie</t>
  </si>
  <si>
    <t>THIERY</t>
  </si>
  <si>
    <t>TOUJANI</t>
  </si>
  <si>
    <t>VIDAL</t>
  </si>
  <si>
    <t>WAQAQ</t>
  </si>
  <si>
    <t>Ayesha</t>
  </si>
  <si>
    <t>YVART</t>
  </si>
  <si>
    <t>ZHAO</t>
  </si>
  <si>
    <t>Emy</t>
  </si>
  <si>
    <t>Mia</t>
  </si>
  <si>
    <t>Dossard</t>
  </si>
  <si>
    <t>JOURDAN</t>
  </si>
  <si>
    <t>LAUGIER</t>
  </si>
  <si>
    <t>MARQUES</t>
  </si>
  <si>
    <t>POULAIN EMOND</t>
  </si>
  <si>
    <t>CHEN</t>
  </si>
  <si>
    <t>ALAUME</t>
  </si>
  <si>
    <t>N'SONGAN</t>
  </si>
  <si>
    <t>CADERE ROEHRIG</t>
  </si>
  <si>
    <t>PELETIER</t>
  </si>
  <si>
    <t>ZENIA</t>
  </si>
  <si>
    <t>GLEMET</t>
  </si>
  <si>
    <t>MACQUIGNEAU</t>
  </si>
  <si>
    <t>DELTHEIL</t>
  </si>
  <si>
    <t>FOURMY</t>
  </si>
  <si>
    <t>GIRAUD</t>
  </si>
  <si>
    <t>PERRIER DARGENT</t>
  </si>
  <si>
    <t>FERNANDES</t>
  </si>
  <si>
    <t>FAICHE</t>
  </si>
  <si>
    <t>REVERDY</t>
  </si>
  <si>
    <t>ISENBERG</t>
  </si>
  <si>
    <t>BELLIL NASCIET</t>
  </si>
  <si>
    <t>CANARD</t>
  </si>
  <si>
    <t>WILLEKENS SERVY</t>
  </si>
  <si>
    <t>CAILLERIE</t>
  </si>
  <si>
    <t>THOMASSON-MAESTRI</t>
  </si>
  <si>
    <t>Leelouane</t>
  </si>
  <si>
    <t>Fanny</t>
  </si>
  <si>
    <t>Emmy</t>
  </si>
  <si>
    <t>Loa</t>
  </si>
  <si>
    <t>Iris-Xiya</t>
  </si>
  <si>
    <t>Emma</t>
  </si>
  <si>
    <t>Lilia</t>
  </si>
  <si>
    <t>Karen</t>
  </si>
  <si>
    <t>Lauryn</t>
  </si>
  <si>
    <t>Lena</t>
  </si>
  <si>
    <t>Ombeline</t>
  </si>
  <si>
    <t>Auxane</t>
  </si>
  <si>
    <t>ALIX</t>
  </si>
  <si>
    <t>ADELE</t>
  </si>
  <si>
    <t>Flora</t>
  </si>
  <si>
    <t>Selma</t>
  </si>
  <si>
    <t>Laora</t>
  </si>
  <si>
    <t>Julie</t>
  </si>
  <si>
    <t>Olwen</t>
  </si>
  <si>
    <t>Franziska</t>
  </si>
  <si>
    <t>Nora</t>
  </si>
  <si>
    <t>ARMAND</t>
  </si>
  <si>
    <t>ASLAN</t>
  </si>
  <si>
    <t>BADUEL</t>
  </si>
  <si>
    <t>BAJARD</t>
  </si>
  <si>
    <t>BALOCHE FERNOUX</t>
  </si>
  <si>
    <t>BASSET</t>
  </si>
  <si>
    <t>BASSIR</t>
  </si>
  <si>
    <t>BAUDRY JAMINET</t>
  </si>
  <si>
    <t>BELHOUARI</t>
  </si>
  <si>
    <t>BELLENGER</t>
  </si>
  <si>
    <t>BENAZERAF</t>
  </si>
  <si>
    <t>BENTEGHEROUIT</t>
  </si>
  <si>
    <t>BERNARD AUBIN</t>
  </si>
  <si>
    <t>BEUCLER</t>
  </si>
  <si>
    <t>BICHON-KOUACHI</t>
  </si>
  <si>
    <t>BIZOU</t>
  </si>
  <si>
    <t>BOLLIG</t>
  </si>
  <si>
    <t>BORNE</t>
  </si>
  <si>
    <t>BOSC-VIRTON</t>
  </si>
  <si>
    <t>BOUDGUIGA</t>
  </si>
  <si>
    <t>BOULLEE</t>
  </si>
  <si>
    <t>BRUNEL</t>
  </si>
  <si>
    <t>BUGUET</t>
  </si>
  <si>
    <t>CARDON</t>
  </si>
  <si>
    <t>CARRE</t>
  </si>
  <si>
    <t>CHAPPERT</t>
  </si>
  <si>
    <t>CHÉRY</t>
  </si>
  <si>
    <t>CHOTTE-FATRAS</t>
  </si>
  <si>
    <t>CHOURAQUI</t>
  </si>
  <si>
    <t>COUFFIGNAL</t>
  </si>
  <si>
    <t>COURBIN</t>
  </si>
  <si>
    <t>COUSSEMENT</t>
  </si>
  <si>
    <t>CUIGNET</t>
  </si>
  <si>
    <t>D’HUART</t>
  </si>
  <si>
    <t>DAGOSTINO BOURAS</t>
  </si>
  <si>
    <t>DE OLIVEIRA</t>
  </si>
  <si>
    <t>DELAMARRE CERQUEIRA</t>
  </si>
  <si>
    <t>DESPLOS</t>
  </si>
  <si>
    <t>DOKHAN</t>
  </si>
  <si>
    <t>DOS SANTOS</t>
  </si>
  <si>
    <t>DOS SANTOS LEMOS</t>
  </si>
  <si>
    <t>DOSME</t>
  </si>
  <si>
    <t>DOUBLET DECABRAS</t>
  </si>
  <si>
    <t>DREANO PERSON</t>
  </si>
  <si>
    <t>DUMONT</t>
  </si>
  <si>
    <t>DUVAL</t>
  </si>
  <si>
    <t>EL MATOUI</t>
  </si>
  <si>
    <t>ELLAHI</t>
  </si>
  <si>
    <t>FELLOUS</t>
  </si>
  <si>
    <t>FOKIN</t>
  </si>
  <si>
    <t>FORT BARDAUD</t>
  </si>
  <si>
    <t>FRANCOIS</t>
  </si>
  <si>
    <t>FREGEFON</t>
  </si>
  <si>
    <t>GAILLARD</t>
  </si>
  <si>
    <t>GENDARME</t>
  </si>
  <si>
    <t>GENDRON CARALP</t>
  </si>
  <si>
    <t>GONZALEZ</t>
  </si>
  <si>
    <t>GOZZI</t>
  </si>
  <si>
    <t>GRAZIANI</t>
  </si>
  <si>
    <t>GUEDES</t>
  </si>
  <si>
    <t>GUILLOUX</t>
  </si>
  <si>
    <t>GUYARD</t>
  </si>
  <si>
    <t>HAMELIN</t>
  </si>
  <si>
    <t>HEURLEY</t>
  </si>
  <si>
    <t>HOLLETTE</t>
  </si>
  <si>
    <t>JACOBERGER</t>
  </si>
  <si>
    <t>JAHELMANN</t>
  </si>
  <si>
    <t>JANKOWIAK</t>
  </si>
  <si>
    <t>JEGU</t>
  </si>
  <si>
    <t>JOLYS</t>
  </si>
  <si>
    <t>KHALIL</t>
  </si>
  <si>
    <t>LACROIX MARTIN</t>
  </si>
  <si>
    <t>LAI</t>
  </si>
  <si>
    <t>LAMARQUE FABREGAS</t>
  </si>
  <si>
    <t>LARONZE</t>
  </si>
  <si>
    <t>Laurent</t>
  </si>
  <si>
    <t>LE BELLEC</t>
  </si>
  <si>
    <t>LE YANO</t>
  </si>
  <si>
    <t>LECOINTRE</t>
  </si>
  <si>
    <t>LEFAIT VANTREPOL</t>
  </si>
  <si>
    <t>LEGUEU</t>
  </si>
  <si>
    <t>LEMY PESSEY</t>
  </si>
  <si>
    <t>LEROY PAYET</t>
  </si>
  <si>
    <t>MAILLAUD</t>
  </si>
  <si>
    <t>MAJEED</t>
  </si>
  <si>
    <t>MANCEAU</t>
  </si>
  <si>
    <t>MANRY</t>
  </si>
  <si>
    <t>MANSBENDEL</t>
  </si>
  <si>
    <t>MARLIER</t>
  </si>
  <si>
    <t>MERLE</t>
  </si>
  <si>
    <t>MIKART</t>
  </si>
  <si>
    <t>MION</t>
  </si>
  <si>
    <t>MNAFEKH</t>
  </si>
  <si>
    <t>MORIN SUISSE</t>
  </si>
  <si>
    <t>MORISSE</t>
  </si>
  <si>
    <t>MZIOU</t>
  </si>
  <si>
    <t>NIOGRET</t>
  </si>
  <si>
    <t>NOURY</t>
  </si>
  <si>
    <t>PADOVANI</t>
  </si>
  <si>
    <t>PAYSAN</t>
  </si>
  <si>
    <t>PLASSART</t>
  </si>
  <si>
    <t>PLUMAIL</t>
  </si>
  <si>
    <t>PODA</t>
  </si>
  <si>
    <t>PRIARONE</t>
  </si>
  <si>
    <t>QU</t>
  </si>
  <si>
    <t>RAMALHO COIMBRA</t>
  </si>
  <si>
    <t>RASTOIX</t>
  </si>
  <si>
    <t>REFAIT</t>
  </si>
  <si>
    <t>RENAUX</t>
  </si>
  <si>
    <t>RINALDI</t>
  </si>
  <si>
    <t>RIOU BONTE</t>
  </si>
  <si>
    <t>RODOLFO</t>
  </si>
  <si>
    <t>ROUGEMAIILE</t>
  </si>
  <si>
    <t>ROZENBERG</t>
  </si>
  <si>
    <t>SAMOCKI</t>
  </si>
  <si>
    <t>SANTONI</t>
  </si>
  <si>
    <t>SEMO</t>
  </si>
  <si>
    <t>SIMONET</t>
  </si>
  <si>
    <t>SORBES</t>
  </si>
  <si>
    <t>SUZANO</t>
  </si>
  <si>
    <t>TESSERA</t>
  </si>
  <si>
    <t>TOUKOUROU</t>
  </si>
  <si>
    <t>TOUSSAINT</t>
  </si>
  <si>
    <t>TRAVERS</t>
  </si>
  <si>
    <t>VASSILIEFF</t>
  </si>
  <si>
    <t>VEDRENNE</t>
  </si>
  <si>
    <t>VOLATORE LAISNE</t>
  </si>
  <si>
    <t>WAAST-CROUS</t>
  </si>
  <si>
    <t>WEINNAM</t>
  </si>
  <si>
    <t>ACOLATSE</t>
  </si>
  <si>
    <t>MEZINE</t>
  </si>
  <si>
    <t>SINEGRE</t>
  </si>
  <si>
    <t>Merwan</t>
  </si>
  <si>
    <t>Edgar</t>
  </si>
  <si>
    <t>Ryan</t>
  </si>
  <si>
    <t>Sami</t>
  </si>
  <si>
    <t>Ely</t>
  </si>
  <si>
    <t>Andrew</t>
  </si>
  <si>
    <t>Aïden</t>
  </si>
  <si>
    <t>Adryan</t>
  </si>
  <si>
    <t>Enoah</t>
  </si>
  <si>
    <t>William</t>
  </si>
  <si>
    <t>Rafael</t>
  </si>
  <si>
    <t>Augustin</t>
  </si>
  <si>
    <t>Kyliann</t>
  </si>
  <si>
    <t>Nail</t>
  </si>
  <si>
    <t>Gauvin</t>
  </si>
  <si>
    <t>Lenzo</t>
  </si>
  <si>
    <t>Antonin</t>
  </si>
  <si>
    <t>Ibrahim</t>
  </si>
  <si>
    <t>Maloïs</t>
  </si>
  <si>
    <t>Alessio</t>
  </si>
  <si>
    <t>Younes</t>
  </si>
  <si>
    <t>Mohammad Hannan</t>
  </si>
  <si>
    <t>Jonah</t>
  </si>
  <si>
    <t>Lev</t>
  </si>
  <si>
    <t>Hélios</t>
  </si>
  <si>
    <t>Jean-Charles</t>
  </si>
  <si>
    <t>Lukas</t>
  </si>
  <si>
    <t>Lauris</t>
  </si>
  <si>
    <t>Fabien</t>
  </si>
  <si>
    <t>Martin</t>
  </si>
  <si>
    <t>Loïc</t>
  </si>
  <si>
    <t>Ewen</t>
  </si>
  <si>
    <t>Logan</t>
  </si>
  <si>
    <t>Merlin</t>
  </si>
  <si>
    <t>James</t>
  </si>
  <si>
    <t>Jordan</t>
  </si>
  <si>
    <t>Kendrick</t>
  </si>
  <si>
    <t>Swann</t>
  </si>
  <si>
    <t>Idriss</t>
  </si>
  <si>
    <t>George</t>
  </si>
  <si>
    <t>Mathias</t>
  </si>
  <si>
    <t>Skander</t>
  </si>
  <si>
    <t>Andy</t>
  </si>
  <si>
    <t>Marcus</t>
  </si>
  <si>
    <t>Leonel</t>
  </si>
  <si>
    <t>Tim</t>
  </si>
  <si>
    <t>Yaroslav</t>
  </si>
  <si>
    <t>Alix</t>
  </si>
  <si>
    <t>Leandro</t>
  </si>
  <si>
    <t>Isayah</t>
  </si>
  <si>
    <t>Nazireth</t>
  </si>
  <si>
    <t>Abdurrahman</t>
  </si>
  <si>
    <t>Thiago</t>
  </si>
  <si>
    <t>Matthias</t>
  </si>
  <si>
    <t>Ishaq</t>
  </si>
  <si>
    <t>519</t>
  </si>
  <si>
    <t>848</t>
  </si>
  <si>
    <t>502</t>
  </si>
  <si>
    <t>539</t>
  </si>
  <si>
    <t>532</t>
  </si>
  <si>
    <t>ACREMANN</t>
  </si>
  <si>
    <t>ADOUE</t>
  </si>
  <si>
    <t>ALVES</t>
  </si>
  <si>
    <t>Elio</t>
  </si>
  <si>
    <t>AZAMBOURG</t>
  </si>
  <si>
    <t>Hadrien</t>
  </si>
  <si>
    <t>BERTAUX</t>
  </si>
  <si>
    <t>BHATTI</t>
  </si>
  <si>
    <t>BIRYUKOV</t>
  </si>
  <si>
    <t>Aleksandr</t>
  </si>
  <si>
    <t>BOECKMAN</t>
  </si>
  <si>
    <t>BON</t>
  </si>
  <si>
    <t>BOSCHET MARECHAL</t>
  </si>
  <si>
    <t>BOURDEL</t>
  </si>
  <si>
    <t>BRANLE</t>
  </si>
  <si>
    <t>BRETTEVILLE</t>
  </si>
  <si>
    <t>BRUGEILLES</t>
  </si>
  <si>
    <t>BRUNI</t>
  </si>
  <si>
    <t>CARPENTIER</t>
  </si>
  <si>
    <t>CHAPPUIS</t>
  </si>
  <si>
    <t>CHARINI</t>
  </si>
  <si>
    <t>CORLAIX</t>
  </si>
  <si>
    <t>COSTA</t>
  </si>
  <si>
    <t>COULIN DEDENON</t>
  </si>
  <si>
    <t>COUVAL</t>
  </si>
  <si>
    <t>Elouann</t>
  </si>
  <si>
    <t>DECOCK</t>
  </si>
  <si>
    <t>DECODTS</t>
  </si>
  <si>
    <t>DEPLAIX</t>
  </si>
  <si>
    <t>DREUX</t>
  </si>
  <si>
    <t>ENJARY</t>
  </si>
  <si>
    <t>ESSID</t>
  </si>
  <si>
    <t>Mehdi</t>
  </si>
  <si>
    <t>FAVORSKIY</t>
  </si>
  <si>
    <t>FICHET</t>
  </si>
  <si>
    <t>Lysandre</t>
  </si>
  <si>
    <t>FUICA TEISSIER</t>
  </si>
  <si>
    <t>GABET</t>
  </si>
  <si>
    <t>GAILLY DAUGAS</t>
  </si>
  <si>
    <t>GALLAND</t>
  </si>
  <si>
    <t>Christophe</t>
  </si>
  <si>
    <t>GEFFRAY</t>
  </si>
  <si>
    <t>GUILLEMET</t>
  </si>
  <si>
    <t>Lohann</t>
  </si>
  <si>
    <t>HAIBOU</t>
  </si>
  <si>
    <t>HALPERN</t>
  </si>
  <si>
    <t>Ciaran</t>
  </si>
  <si>
    <t>HARTMANN</t>
  </si>
  <si>
    <t>Elian</t>
  </si>
  <si>
    <t>HAUTREUX</t>
  </si>
  <si>
    <t>HERRY</t>
  </si>
  <si>
    <t>Jason</t>
  </si>
  <si>
    <t>Timothee</t>
  </si>
  <si>
    <t>HUGUET MORLET</t>
  </si>
  <si>
    <t>ILLEMAY</t>
  </si>
  <si>
    <t>Jayson</t>
  </si>
  <si>
    <t>JOLY</t>
  </si>
  <si>
    <t>LAHMAMI</t>
  </si>
  <si>
    <t>Vadim</t>
  </si>
  <si>
    <t>LAURENCIN</t>
  </si>
  <si>
    <t>LAVERRE</t>
  </si>
  <si>
    <t>LE DEN FOUCHER</t>
  </si>
  <si>
    <t>Nolann</t>
  </si>
  <si>
    <t>LE ROUX</t>
  </si>
  <si>
    <t>LE ROY</t>
  </si>
  <si>
    <t>LEGENDRE</t>
  </si>
  <si>
    <t>Ben</t>
  </si>
  <si>
    <t>LEMONNIER-MORGAND</t>
  </si>
  <si>
    <t>LINARD</t>
  </si>
  <si>
    <t>LIU</t>
  </si>
  <si>
    <t>LOKI</t>
  </si>
  <si>
    <t>Feillet</t>
  </si>
  <si>
    <t>LOSEILLE</t>
  </si>
  <si>
    <t>MAEYENS</t>
  </si>
  <si>
    <t>MAKSIMOVIKJ</t>
  </si>
  <si>
    <t>MAUNAT</t>
  </si>
  <si>
    <t>MEBARKI</t>
  </si>
  <si>
    <t>MELKA</t>
  </si>
  <si>
    <t>MIJOTTE</t>
  </si>
  <si>
    <t>MIQUEL-ELCANO</t>
  </si>
  <si>
    <t>Calixte</t>
  </si>
  <si>
    <t>NICOLAS</t>
  </si>
  <si>
    <t>NOIRET</t>
  </si>
  <si>
    <t>ALEXIS</t>
  </si>
  <si>
    <t>OBECANOV</t>
  </si>
  <si>
    <t>Anton</t>
  </si>
  <si>
    <t>PADILLA</t>
  </si>
  <si>
    <t>Silas</t>
  </si>
  <si>
    <t>PATRON</t>
  </si>
  <si>
    <t>PAULIK</t>
  </si>
  <si>
    <t>PETTIT</t>
  </si>
  <si>
    <t>PUYRIGAUD</t>
  </si>
  <si>
    <t>RAZAFINDRABE</t>
  </si>
  <si>
    <t>Tsiry</t>
  </si>
  <si>
    <t>ROUX</t>
  </si>
  <si>
    <t>Teïas</t>
  </si>
  <si>
    <t>RUBIA</t>
  </si>
  <si>
    <t>RUPP</t>
  </si>
  <si>
    <t>Joshua</t>
  </si>
  <si>
    <t>SAINT-VENANT</t>
  </si>
  <si>
    <t>Manech</t>
  </si>
  <si>
    <t>SALERNO</t>
  </si>
  <si>
    <t>Elia</t>
  </si>
  <si>
    <t>SANCHEZ-ABELLAN</t>
  </si>
  <si>
    <t>SEQUEIRA</t>
  </si>
  <si>
    <t>SOBOL</t>
  </si>
  <si>
    <t>Aubin</t>
  </si>
  <si>
    <t>SZYMANSKI</t>
  </si>
  <si>
    <t>TAILLAN</t>
  </si>
  <si>
    <t>Matheis</t>
  </si>
  <si>
    <t>TEUTONICO</t>
  </si>
  <si>
    <t>Leonardo</t>
  </si>
  <si>
    <t>VEILLEUX</t>
  </si>
  <si>
    <t>VERGNAUD</t>
  </si>
  <si>
    <t>WEISSENBACHER</t>
  </si>
  <si>
    <t>Jonas</t>
  </si>
  <si>
    <t>YANG</t>
  </si>
  <si>
    <t>Franz</t>
  </si>
  <si>
    <t>ZIMMERMANN</t>
  </si>
  <si>
    <t>ALCIDE</t>
  </si>
  <si>
    <t>BERENBACH</t>
  </si>
  <si>
    <t>Fabian</t>
  </si>
  <si>
    <t>BONNISSEAU</t>
  </si>
  <si>
    <t>Tanguy</t>
  </si>
  <si>
    <t>CAUSSE</t>
  </si>
  <si>
    <t>DE BAENE</t>
  </si>
  <si>
    <t>DEMOISSON NARIYAMA</t>
  </si>
  <si>
    <t>DRAY</t>
  </si>
  <si>
    <t>FUHRMANN</t>
  </si>
  <si>
    <t>FUZIER</t>
  </si>
  <si>
    <t>GALTIER</t>
  </si>
  <si>
    <t>GEISEN</t>
  </si>
  <si>
    <t>GRAVIER</t>
  </si>
  <si>
    <t>Ian</t>
  </si>
  <si>
    <t>GUENARD LAMBERT</t>
  </si>
  <si>
    <t>769</t>
  </si>
  <si>
    <t>HERMANT GANDON</t>
  </si>
  <si>
    <t>HORTENSIA PERE</t>
  </si>
  <si>
    <t>Keliam</t>
  </si>
  <si>
    <t>KERGUILLEC</t>
  </si>
  <si>
    <t>Nohann</t>
  </si>
  <si>
    <t>LE SAUZE</t>
  </si>
  <si>
    <t>LEVEQUE</t>
  </si>
  <si>
    <t>Tobias</t>
  </si>
  <si>
    <t>LISCIA</t>
  </si>
  <si>
    <t>501</t>
  </si>
  <si>
    <t>Maoui</t>
  </si>
  <si>
    <t>Xavier</t>
  </si>
  <si>
    <t>MERCUZOT KEIZER</t>
  </si>
  <si>
    <t>NIEL</t>
  </si>
  <si>
    <t>822</t>
  </si>
  <si>
    <t>PIGENET</t>
  </si>
  <si>
    <t>POULAIN EDMOND</t>
  </si>
  <si>
    <t>PUYRIGAUD MARIE</t>
  </si>
  <si>
    <t>READ KOSZUL</t>
  </si>
  <si>
    <t>Louka</t>
  </si>
  <si>
    <t>THEZE</t>
  </si>
  <si>
    <t>TRAN QUOC</t>
  </si>
  <si>
    <t>TRAVAILLARD</t>
  </si>
  <si>
    <t>VANZO</t>
  </si>
  <si>
    <t>Antony</t>
  </si>
  <si>
    <t>WAAST CROUS</t>
  </si>
  <si>
    <t>1045</t>
  </si>
  <si>
    <t>XAYGNABOUN-MOUNIER</t>
  </si>
  <si>
    <t>TOURNOI DE LA VALLEE DE CHEVREUSE 2025-2026</t>
  </si>
  <si>
    <t>catégorie</t>
  </si>
  <si>
    <t>participants</t>
  </si>
  <si>
    <t>nb poules</t>
  </si>
  <si>
    <t>nb matchs poule</t>
  </si>
  <si>
    <t>nb matchs tableaux</t>
  </si>
  <si>
    <t>forfait/abandon</t>
  </si>
  <si>
    <t>poussins</t>
  </si>
  <si>
    <t>benjamins</t>
  </si>
  <si>
    <t>minimes</t>
  </si>
  <si>
    <t>cadetsjuniors</t>
  </si>
  <si>
    <t>féminines</t>
  </si>
  <si>
    <t>nb total matchs</t>
  </si>
  <si>
    <t>prévision</t>
  </si>
  <si>
    <t>TVC2</t>
  </si>
  <si>
    <t>PIETTE</t>
  </si>
  <si>
    <t>MAURIS</t>
  </si>
  <si>
    <t>TEFERE AGA</t>
  </si>
  <si>
    <t>LEMEUR</t>
  </si>
  <si>
    <t>LAURENT</t>
  </si>
  <si>
    <t>RIVIERE</t>
  </si>
  <si>
    <t>DUMAS</t>
  </si>
  <si>
    <t>PERES</t>
  </si>
  <si>
    <t>Timeo</t>
  </si>
  <si>
    <t>Clement</t>
  </si>
  <si>
    <t>Sael</t>
  </si>
  <si>
    <t>Leo</t>
  </si>
  <si>
    <t>Salome</t>
  </si>
  <si>
    <t>PARET</t>
  </si>
  <si>
    <t>Bruno</t>
  </si>
  <si>
    <t>Leandre</t>
  </si>
  <si>
    <t>Timoe</t>
  </si>
  <si>
    <t>Nathanael</t>
  </si>
  <si>
    <t>GAILLOT</t>
  </si>
  <si>
    <t>Constant</t>
  </si>
  <si>
    <t>Come</t>
  </si>
  <si>
    <t>Noe</t>
  </si>
  <si>
    <t>RIGAUD</t>
  </si>
  <si>
    <t>CHAUVIN</t>
  </si>
  <si>
    <t>Raphaelle</t>
  </si>
  <si>
    <t>Matei</t>
  </si>
  <si>
    <t>Romeo</t>
  </si>
  <si>
    <t>Chloe</t>
  </si>
  <si>
    <t>Kalisto</t>
  </si>
  <si>
    <t>Antoie</t>
  </si>
  <si>
    <t>DELFOSSE</t>
  </si>
  <si>
    <t>BLOND BERGER</t>
  </si>
  <si>
    <t>AUBERT</t>
  </si>
  <si>
    <t>Benoit</t>
  </si>
  <si>
    <t>Celestin</t>
  </si>
  <si>
    <t>Timothe</t>
  </si>
  <si>
    <t>PIERRE-CULAND</t>
  </si>
  <si>
    <t>Alex</t>
  </si>
  <si>
    <t>Celia</t>
  </si>
  <si>
    <t>Leny</t>
  </si>
  <si>
    <t>Adele</t>
  </si>
  <si>
    <t>BIELANDE</t>
  </si>
  <si>
    <t>Amelie</t>
  </si>
  <si>
    <t>SOURIAU</t>
  </si>
  <si>
    <t>PEYRONNET</t>
  </si>
  <si>
    <t>Tam</t>
  </si>
  <si>
    <t>Livia</t>
  </si>
  <si>
    <t>Aurelien</t>
  </si>
  <si>
    <t>Remi</t>
  </si>
  <si>
    <t>Jeremie</t>
  </si>
  <si>
    <t>Marie</t>
  </si>
  <si>
    <t>HAMANN</t>
  </si>
  <si>
    <t>Yam</t>
  </si>
  <si>
    <t>RAVONINJOHARY</t>
  </si>
  <si>
    <t>TOURON</t>
  </si>
  <si>
    <t>ZILLES</t>
  </si>
  <si>
    <t>CASTAGNE</t>
  </si>
  <si>
    <t>CASTET DE BIAUGUE</t>
  </si>
  <si>
    <t>Arsene</t>
  </si>
  <si>
    <t>DAMIENS</t>
  </si>
  <si>
    <t>Sarah</t>
  </si>
  <si>
    <t>DETHEIL</t>
  </si>
  <si>
    <t>Amance</t>
  </si>
  <si>
    <t>FIEVRE</t>
  </si>
  <si>
    <t>Lenny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</si>
</sst>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164" formatCode="d/m/yyyy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0"/>
      <color indexed="9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  <charset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</font>
    <font>
      <i/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434343"/>
      <name val="Calibri"/>
      <family val="2"/>
      <scheme val="minor"/>
    </font>
    <font>
      <sz val="11"/>
      <color rgb="FF22222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9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CCCCCC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FFFFF"/>
      </patternFill>
    </fill>
    <fill>
      <patternFill patternType="solid">
        <fgColor theme="7" tint="0.39988402966399123"/>
        <bgColor rgb="FF999999"/>
      </patternFill>
    </fill>
    <fill>
      <patternFill patternType="solid">
        <fgColor rgb="FF00B0F0"/>
        <bgColor rgb="FF33CCCC"/>
      </patternFill>
    </fill>
    <fill>
      <patternFill patternType="solid">
        <fgColor rgb="FFFFFF00"/>
        <bgColor rgb="FFFFCC00"/>
      </patternFill>
    </fill>
    <fill>
      <patternFill patternType="solid">
        <fgColor theme="5" tint="0.39979247413556324"/>
        <bgColor rgb="FFB3A2C7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8F9FA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999999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ck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2" fillId="0" borderId="0"/>
    <xf numFmtId="0" fontId="20" fillId="0" borderId="0"/>
    <xf numFmtId="0" fontId="17" fillId="0" borderId="0"/>
    <xf numFmtId="0" fontId="21" fillId="0" borderId="0"/>
    <xf numFmtId="0" fontId="23" fillId="0" borderId="0"/>
  </cellStyleXfs>
  <cellXfs count="64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3" fillId="2" borderId="0" xfId="0" applyFont="1" applyFill="1"/>
    <xf numFmtId="0" fontId="4" fillId="3" borderId="0" xfId="0" applyFont="1" applyFill="1"/>
    <xf numFmtId="0" fontId="0" fillId="3" borderId="0" xfId="0" applyFill="1"/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4" fillId="2" borderId="0" xfId="0" applyFont="1" applyFill="1"/>
    <xf numFmtId="0" fontId="0" fillId="0" borderId="0" xfId="0" quotePrefix="1"/>
    <xf numFmtId="0" fontId="0" fillId="0" borderId="4" xfId="0" applyBorder="1"/>
    <xf numFmtId="16" fontId="0" fillId="0" borderId="0" xfId="0" quotePrefix="1" applyNumberFormat="1"/>
    <xf numFmtId="0" fontId="0" fillId="0" borderId="6" xfId="0" applyBorder="1"/>
    <xf numFmtId="0" fontId="2" fillId="4" borderId="3" xfId="0" applyFont="1" applyFill="1" applyBorder="1"/>
    <xf numFmtId="0" fontId="2" fillId="4" borderId="5" xfId="0" applyFont="1" applyFill="1" applyBorder="1"/>
    <xf numFmtId="0" fontId="0" fillId="0" borderId="6" xfId="0" applyBorder="1" applyAlignment="1">
      <alignment horizontal="center"/>
    </xf>
    <xf numFmtId="0" fontId="0" fillId="0" borderId="0" xfId="0" quotePrefix="1" applyAlignment="1">
      <alignment horizontal="left"/>
    </xf>
    <xf numFmtId="0" fontId="0" fillId="0" borderId="4" xfId="0" applyBorder="1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/>
    <xf numFmtId="0" fontId="2" fillId="3" borderId="0" xfId="0" applyFont="1" applyFill="1" applyAlignment="1">
      <alignment horizontal="right"/>
    </xf>
    <xf numFmtId="0" fontId="2" fillId="0" borderId="6" xfId="0" applyFont="1" applyBorder="1"/>
    <xf numFmtId="0" fontId="9" fillId="0" borderId="8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9" fillId="0" borderId="12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9" fillId="0" borderId="2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0" xfId="0" applyAlignment="1">
      <alignment horizontal="right"/>
    </xf>
    <xf numFmtId="0" fontId="2" fillId="5" borderId="17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2" fillId="0" borderId="2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8" xfId="0" quotePrefix="1" applyBorder="1"/>
    <xf numFmtId="0" fontId="9" fillId="0" borderId="24" xfId="0" applyFont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6" xfId="0" applyBorder="1" applyAlignment="1">
      <alignment vertical="center" wrapText="1"/>
    </xf>
    <xf numFmtId="0" fontId="7" fillId="3" borderId="0" xfId="0" applyFont="1" applyFill="1" applyAlignment="1">
      <alignment vertical="center"/>
    </xf>
    <xf numFmtId="0" fontId="0" fillId="0" borderId="27" xfId="0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2" fillId="0" borderId="22" xfId="0" applyFont="1" applyBorder="1" applyAlignment="1">
      <alignment horizontal="center" vertical="center" wrapText="1"/>
    </xf>
    <xf numFmtId="0" fontId="9" fillId="4" borderId="24" xfId="0" quotePrefix="1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/>
    </xf>
    <xf numFmtId="0" fontId="8" fillId="0" borderId="2" xfId="0" applyFont="1" applyBorder="1" applyAlignment="1">
      <alignment vertical="center"/>
    </xf>
    <xf numFmtId="0" fontId="9" fillId="0" borderId="7" xfId="0" applyFont="1" applyBorder="1" applyAlignment="1">
      <alignment horizontal="center"/>
    </xf>
    <xf numFmtId="0" fontId="8" fillId="0" borderId="31" xfId="0" applyFont="1" applyBorder="1" applyAlignment="1">
      <alignment vertical="center"/>
    </xf>
    <xf numFmtId="14" fontId="10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9" fillId="2" borderId="32" xfId="0" applyFont="1" applyFill="1" applyBorder="1" applyAlignment="1">
      <alignment vertical="center"/>
    </xf>
    <xf numFmtId="0" fontId="0" fillId="2" borderId="33" xfId="0" applyFill="1" applyBorder="1" applyAlignment="1">
      <alignment vertical="center"/>
    </xf>
    <xf numFmtId="0" fontId="2" fillId="2" borderId="32" xfId="0" applyFont="1" applyFill="1" applyBorder="1" applyAlignment="1">
      <alignment vertical="center"/>
    </xf>
    <xf numFmtId="0" fontId="2" fillId="2" borderId="34" xfId="0" applyFont="1" applyFill="1" applyBorder="1" applyAlignment="1">
      <alignment vertical="center"/>
    </xf>
    <xf numFmtId="0" fontId="2" fillId="2" borderId="35" xfId="0" applyFont="1" applyFill="1" applyBorder="1" applyAlignment="1">
      <alignment vertical="center"/>
    </xf>
    <xf numFmtId="0" fontId="0" fillId="6" borderId="0" xfId="0" applyFill="1"/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36" xfId="0" applyBorder="1" applyAlignment="1">
      <alignment vertical="center"/>
    </xf>
    <xf numFmtId="0" fontId="0" fillId="0" borderId="37" xfId="0" applyBorder="1"/>
    <xf numFmtId="0" fontId="0" fillId="0" borderId="23" xfId="0" applyBorder="1" applyAlignment="1">
      <alignment vertical="center"/>
    </xf>
    <xf numFmtId="0" fontId="2" fillId="4" borderId="17" xfId="0" applyFont="1" applyFill="1" applyBorder="1"/>
    <xf numFmtId="0" fontId="10" fillId="0" borderId="0" xfId="0" applyFont="1" applyAlignment="1">
      <alignment vertical="center"/>
    </xf>
    <xf numFmtId="0" fontId="0" fillId="0" borderId="41" xfId="0" applyBorder="1" applyAlignment="1">
      <alignment horizontal="center"/>
    </xf>
    <xf numFmtId="0" fontId="0" fillId="0" borderId="17" xfId="0" applyBorder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0" fillId="0" borderId="2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3" xfId="0" applyBorder="1" applyAlignment="1">
      <alignment vertical="center"/>
    </xf>
    <xf numFmtId="0" fontId="9" fillId="0" borderId="20" xfId="0" applyFont="1" applyBorder="1" applyAlignment="1">
      <alignment vertical="center"/>
    </xf>
    <xf numFmtId="0" fontId="15" fillId="0" borderId="0" xfId="0" applyFont="1"/>
    <xf numFmtId="0" fontId="0" fillId="0" borderId="22" xfId="0" applyBorder="1"/>
    <xf numFmtId="0" fontId="0" fillId="0" borderId="46" xfId="0" applyBorder="1"/>
    <xf numFmtId="0" fontId="0" fillId="0" borderId="38" xfId="0" applyBorder="1"/>
    <xf numFmtId="0" fontId="0" fillId="0" borderId="18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32" xfId="0" pivotButton="1" applyBorder="1"/>
    <xf numFmtId="0" fontId="0" fillId="0" borderId="38" xfId="0" pivotButton="1" applyBorder="1"/>
    <xf numFmtId="0" fontId="0" fillId="0" borderId="46" xfId="0" applyBorder="1" applyAlignment="1">
      <alignment horizontal="left"/>
    </xf>
    <xf numFmtId="0" fontId="0" fillId="0" borderId="38" xfId="0" applyBorder="1" applyAlignment="1">
      <alignment horizontal="left"/>
    </xf>
    <xf numFmtId="0" fontId="0" fillId="0" borderId="48" xfId="0" pivotButton="1" applyBorder="1"/>
    <xf numFmtId="0" fontId="0" fillId="0" borderId="49" xfId="0" pivotButton="1" applyBorder="1"/>
    <xf numFmtId="0" fontId="0" fillId="0" borderId="49" xfId="0" applyBorder="1"/>
    <xf numFmtId="0" fontId="0" fillId="0" borderId="22" xfId="0" applyBorder="1" applyAlignment="1">
      <alignment horizontal="left"/>
    </xf>
    <xf numFmtId="0" fontId="0" fillId="0" borderId="17" xfId="0" pivotButton="1" applyBorder="1"/>
    <xf numFmtId="0" fontId="16" fillId="4" borderId="48" xfId="0" applyFont="1" applyFill="1" applyBorder="1"/>
    <xf numFmtId="0" fontId="15" fillId="0" borderId="0" xfId="0" applyFont="1" applyAlignment="1">
      <alignment horizontal="center"/>
    </xf>
    <xf numFmtId="0" fontId="0" fillId="0" borderId="49" xfId="0" pivotButton="1" applyBorder="1" applyAlignment="1">
      <alignment horizontal="center"/>
    </xf>
    <xf numFmtId="0" fontId="0" fillId="0" borderId="19" xfId="0" applyBorder="1"/>
    <xf numFmtId="0" fontId="3" fillId="0" borderId="0" xfId="0" applyFont="1" applyAlignment="1">
      <alignment horizontal="center"/>
    </xf>
    <xf numFmtId="0" fontId="16" fillId="4" borderId="17" xfId="0" applyFont="1" applyFill="1" applyBorder="1"/>
    <xf numFmtId="0" fontId="7" fillId="3" borderId="17" xfId="0" applyFont="1" applyFill="1" applyBorder="1" applyAlignment="1">
      <alignment horizontal="left"/>
    </xf>
    <xf numFmtId="0" fontId="7" fillId="3" borderId="17" xfId="0" applyFont="1" applyFill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0" borderId="40" xfId="0" applyBorder="1" applyAlignment="1">
      <alignment horizontal="center"/>
    </xf>
    <xf numFmtId="0" fontId="20" fillId="0" borderId="0" xfId="2"/>
    <xf numFmtId="0" fontId="22" fillId="8" borderId="0" xfId="2" applyFont="1" applyFill="1"/>
    <xf numFmtId="0" fontId="20" fillId="0" borderId="61" xfId="2" applyBorder="1"/>
    <xf numFmtId="0" fontId="20" fillId="0" borderId="62" xfId="2" applyBorder="1"/>
    <xf numFmtId="0" fontId="20" fillId="0" borderId="63" xfId="2" applyBorder="1"/>
    <xf numFmtId="0" fontId="20" fillId="0" borderId="64" xfId="2" applyBorder="1"/>
    <xf numFmtId="0" fontId="20" fillId="0" borderId="65" xfId="2" applyBorder="1"/>
    <xf numFmtId="0" fontId="20" fillId="0" borderId="66" xfId="2" applyBorder="1"/>
    <xf numFmtId="0" fontId="20" fillId="0" borderId="67" xfId="2" applyBorder="1"/>
    <xf numFmtId="0" fontId="20" fillId="0" borderId="68" xfId="2" applyBorder="1"/>
    <xf numFmtId="0" fontId="20" fillId="0" borderId="69" xfId="2" applyBorder="1"/>
    <xf numFmtId="0" fontId="17" fillId="0" borderId="0" xfId="2" applyFont="1"/>
    <xf numFmtId="0" fontId="16" fillId="4" borderId="50" xfId="0" applyFont="1" applyFill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/>
    <xf numFmtId="0" fontId="0" fillId="0" borderId="49" xfId="0" applyBorder="1" applyAlignment="1">
      <alignment horizontal="center"/>
    </xf>
    <xf numFmtId="0" fontId="0" fillId="0" borderId="33" xfId="0" applyBorder="1" applyAlignment="1">
      <alignment horizontal="center"/>
    </xf>
    <xf numFmtId="0" fontId="7" fillId="3" borderId="0" xfId="0" applyFont="1" applyFill="1" applyAlignment="1">
      <alignment horizontal="center"/>
    </xf>
    <xf numFmtId="0" fontId="16" fillId="4" borderId="84" xfId="0" applyFont="1" applyFill="1" applyBorder="1" applyAlignment="1">
      <alignment horizontal="center"/>
    </xf>
    <xf numFmtId="0" fontId="16" fillId="4" borderId="49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2" fillId="0" borderId="46" xfId="0" applyFont="1" applyBorder="1" applyAlignment="1">
      <alignment horizontal="left"/>
    </xf>
    <xf numFmtId="0" fontId="2" fillId="0" borderId="38" xfId="0" applyFont="1" applyBorder="1" applyAlignment="1">
      <alignment horizontal="left"/>
    </xf>
    <xf numFmtId="0" fontId="16" fillId="4" borderId="48" xfId="0" applyFont="1" applyFill="1" applyBorder="1" applyAlignment="1">
      <alignment horizontal="center"/>
    </xf>
    <xf numFmtId="0" fontId="16" fillId="4" borderId="52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/>
    <xf numFmtId="0" fontId="20" fillId="15" borderId="0" xfId="2" applyFill="1"/>
    <xf numFmtId="0" fontId="0" fillId="0" borderId="91" xfId="0" applyBorder="1" applyAlignment="1">
      <alignment horizontal="center"/>
    </xf>
    <xf numFmtId="0" fontId="10" fillId="0" borderId="91" xfId="0" applyFont="1" applyBorder="1"/>
    <xf numFmtId="0" fontId="0" fillId="0" borderId="91" xfId="0" applyBorder="1"/>
    <xf numFmtId="0" fontId="0" fillId="0" borderId="91" xfId="0" applyBorder="1" applyAlignment="1">
      <alignment horizontal="right"/>
    </xf>
    <xf numFmtId="0" fontId="5" fillId="0" borderId="91" xfId="0" applyFont="1" applyBorder="1" applyAlignment="1">
      <alignment horizontal="center"/>
    </xf>
    <xf numFmtId="0" fontId="7" fillId="3" borderId="101" xfId="0" applyFont="1" applyFill="1" applyBorder="1" applyAlignment="1">
      <alignment horizontal="left"/>
    </xf>
    <xf numFmtId="14" fontId="18" fillId="12" borderId="56" xfId="0" applyNumberFormat="1" applyFont="1" applyFill="1" applyBorder="1" applyAlignment="1">
      <alignment horizontal="center"/>
    </xf>
    <xf numFmtId="14" fontId="1" fillId="0" borderId="56" xfId="0" applyNumberFormat="1" applyFont="1" applyBorder="1" applyAlignment="1">
      <alignment horizontal="center"/>
    </xf>
    <xf numFmtId="0" fontId="24" fillId="4" borderId="24" xfId="0" applyFont="1" applyFill="1" applyBorder="1"/>
    <xf numFmtId="0" fontId="1" fillId="0" borderId="1" xfId="0" applyFont="1" applyBorder="1"/>
    <xf numFmtId="0" fontId="26" fillId="9" borderId="56" xfId="0" applyFont="1" applyFill="1" applyBorder="1" applyAlignment="1">
      <alignment horizontal="center" vertical="center" wrapText="1"/>
    </xf>
    <xf numFmtId="14" fontId="25" fillId="0" borderId="57" xfId="0" applyNumberFormat="1" applyFont="1" applyBorder="1" applyAlignment="1" applyProtection="1">
      <alignment horizontal="center"/>
      <protection locked="0"/>
    </xf>
    <xf numFmtId="0" fontId="25" fillId="0" borderId="51" xfId="0" applyFont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49" fontId="1" fillId="0" borderId="57" xfId="0" applyNumberFormat="1" applyFont="1" applyBorder="1" applyAlignment="1">
      <alignment horizontal="left"/>
    </xf>
    <xf numFmtId="49" fontId="1" fillId="0" borderId="55" xfId="0" applyNumberFormat="1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25" fillId="9" borderId="57" xfId="0" applyFont="1" applyFill="1" applyBorder="1"/>
    <xf numFmtId="0" fontId="25" fillId="9" borderId="55" xfId="0" applyFont="1" applyFill="1" applyBorder="1"/>
    <xf numFmtId="0" fontId="1" fillId="0" borderId="56" xfId="0" applyFont="1" applyBorder="1" applyAlignment="1">
      <alignment horizontal="center"/>
    </xf>
    <xf numFmtId="14" fontId="25" fillId="9" borderId="57" xfId="0" applyNumberFormat="1" applyFont="1" applyFill="1" applyBorder="1" applyAlignment="1">
      <alignment horizontal="center"/>
    </xf>
    <xf numFmtId="0" fontId="25" fillId="9" borderId="16" xfId="0" applyFont="1" applyFill="1" applyBorder="1" applyAlignment="1">
      <alignment horizontal="center"/>
    </xf>
    <xf numFmtId="0" fontId="25" fillId="0" borderId="57" xfId="0" applyFont="1" applyBorder="1"/>
    <xf numFmtId="0" fontId="25" fillId="0" borderId="55" xfId="0" applyFont="1" applyBorder="1"/>
    <xf numFmtId="14" fontId="25" fillId="0" borderId="57" xfId="0" applyNumberFormat="1" applyFont="1" applyBorder="1" applyAlignment="1">
      <alignment horizontal="center" vertical="center"/>
    </xf>
    <xf numFmtId="14" fontId="1" fillId="0" borderId="57" xfId="0" applyNumberFormat="1" applyFont="1" applyBorder="1" applyAlignment="1">
      <alignment horizontal="center"/>
    </xf>
    <xf numFmtId="0" fontId="1" fillId="0" borderId="57" xfId="0" applyFont="1" applyBorder="1" applyAlignment="1">
      <alignment horizontal="left" wrapText="1"/>
    </xf>
    <xf numFmtId="0" fontId="1" fillId="0" borderId="56" xfId="0" applyFont="1" applyBorder="1"/>
    <xf numFmtId="0" fontId="25" fillId="9" borderId="56" xfId="0" applyFont="1" applyFill="1" applyBorder="1"/>
    <xf numFmtId="14" fontId="25" fillId="9" borderId="56" xfId="0" applyNumberFormat="1" applyFont="1" applyFill="1" applyBorder="1" applyAlignment="1">
      <alignment horizontal="center"/>
    </xf>
    <xf numFmtId="0" fontId="25" fillId="0" borderId="56" xfId="0" applyFont="1" applyBorder="1" applyAlignment="1">
      <alignment horizontal="center"/>
    </xf>
    <xf numFmtId="0" fontId="25" fillId="9" borderId="56" xfId="0" applyFont="1" applyFill="1" applyBorder="1" applyAlignment="1">
      <alignment horizontal="center"/>
    </xf>
    <xf numFmtId="0" fontId="24" fillId="0" borderId="70" xfId="0" applyFont="1" applyBorder="1" applyAlignment="1">
      <alignment horizontal="center"/>
    </xf>
    <xf numFmtId="0" fontId="25" fillId="0" borderId="73" xfId="0" applyFont="1" applyBorder="1" applyAlignment="1">
      <alignment horizontal="center"/>
    </xf>
    <xf numFmtId="14" fontId="25" fillId="9" borderId="56" xfId="0" applyNumberFormat="1" applyFont="1" applyFill="1" applyBorder="1" applyAlignment="1">
      <alignment horizontal="center" vertical="center" wrapText="1"/>
    </xf>
    <xf numFmtId="0" fontId="27" fillId="0" borderId="56" xfId="0" applyFont="1" applyBorder="1"/>
    <xf numFmtId="0" fontId="25" fillId="0" borderId="56" xfId="0" applyFont="1" applyBorder="1" applyAlignment="1">
      <alignment horizontal="left"/>
    </xf>
    <xf numFmtId="0" fontId="1" fillId="0" borderId="56" xfId="0" applyFont="1" applyBorder="1" applyAlignment="1">
      <alignment horizontal="left"/>
    </xf>
    <xf numFmtId="14" fontId="25" fillId="0" borderId="56" xfId="0" applyNumberFormat="1" applyFont="1" applyBorder="1" applyAlignment="1" applyProtection="1">
      <alignment horizontal="center"/>
      <protection locked="0"/>
    </xf>
    <xf numFmtId="49" fontId="1" fillId="0" borderId="56" xfId="0" applyNumberFormat="1" applyFont="1" applyBorder="1" applyAlignment="1">
      <alignment horizontal="left"/>
    </xf>
    <xf numFmtId="0" fontId="25" fillId="0" borderId="56" xfId="0" applyFont="1" applyBorder="1"/>
    <xf numFmtId="0" fontId="1" fillId="0" borderId="56" xfId="0" applyFont="1" applyBorder="1" applyAlignment="1">
      <alignment horizontal="left" wrapText="1"/>
    </xf>
    <xf numFmtId="0" fontId="1" fillId="9" borderId="56" xfId="0" applyFont="1" applyFill="1" applyBorder="1" applyAlignment="1">
      <alignment horizontal="left" wrapText="1"/>
    </xf>
    <xf numFmtId="14" fontId="25" fillId="0" borderId="56" xfId="0" applyNumberFormat="1" applyFont="1" applyBorder="1" applyAlignment="1">
      <alignment horizontal="center" vertical="center"/>
    </xf>
    <xf numFmtId="0" fontId="25" fillId="9" borderId="56" xfId="0" applyFont="1" applyFill="1" applyBorder="1" applyAlignment="1">
      <alignment horizontal="left"/>
    </xf>
    <xf numFmtId="14" fontId="25" fillId="0" borderId="56" xfId="0" applyNumberFormat="1" applyFont="1" applyBorder="1" applyAlignment="1">
      <alignment horizontal="center"/>
    </xf>
    <xf numFmtId="14" fontId="25" fillId="0" borderId="56" xfId="0" applyNumberFormat="1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wrapText="1"/>
    </xf>
    <xf numFmtId="0" fontId="1" fillId="0" borderId="73" xfId="0" applyFont="1" applyBorder="1" applyAlignment="1">
      <alignment horizontal="center"/>
    </xf>
    <xf numFmtId="0" fontId="28" fillId="0" borderId="73" xfId="0" applyFont="1" applyBorder="1" applyAlignment="1">
      <alignment horizontal="center"/>
    </xf>
    <xf numFmtId="14" fontId="29" fillId="0" borderId="56" xfId="0" applyNumberFormat="1" applyFont="1" applyBorder="1" applyAlignment="1">
      <alignment horizontal="center" vertical="center"/>
    </xf>
    <xf numFmtId="0" fontId="25" fillId="16" borderId="56" xfId="0" applyFont="1" applyFill="1" applyBorder="1"/>
    <xf numFmtId="6" fontId="25" fillId="16" borderId="56" xfId="0" applyNumberFormat="1" applyFont="1" applyFill="1" applyBorder="1" applyAlignment="1">
      <alignment horizontal="center"/>
    </xf>
    <xf numFmtId="14" fontId="25" fillId="16" borderId="56" xfId="0" applyNumberFormat="1" applyFont="1" applyFill="1" applyBorder="1" applyAlignment="1">
      <alignment horizontal="center"/>
    </xf>
    <xf numFmtId="0" fontId="1" fillId="16" borderId="56" xfId="0" applyFont="1" applyFill="1" applyBorder="1" applyAlignment="1">
      <alignment horizontal="center"/>
    </xf>
    <xf numFmtId="0" fontId="25" fillId="16" borderId="73" xfId="0" applyFont="1" applyFill="1" applyBorder="1" applyAlignment="1">
      <alignment horizontal="center"/>
    </xf>
    <xf numFmtId="0" fontId="24" fillId="16" borderId="72" xfId="0" applyFont="1" applyFill="1" applyBorder="1" applyAlignment="1">
      <alignment horizontal="center"/>
    </xf>
    <xf numFmtId="0" fontId="24" fillId="4" borderId="29" xfId="0" applyFont="1" applyFill="1" applyBorder="1"/>
    <xf numFmtId="0" fontId="24" fillId="4" borderId="30" xfId="0" applyFont="1" applyFill="1" applyBorder="1"/>
    <xf numFmtId="0" fontId="24" fillId="4" borderId="11" xfId="0" applyFont="1" applyFill="1" applyBorder="1" applyAlignment="1">
      <alignment horizontal="center"/>
    </xf>
    <xf numFmtId="16" fontId="24" fillId="0" borderId="29" xfId="0" applyNumberFormat="1" applyFont="1" applyBorder="1" applyAlignment="1">
      <alignment horizontal="center"/>
    </xf>
    <xf numFmtId="0" fontId="24" fillId="0" borderId="9" xfId="0" applyFont="1" applyBorder="1" applyAlignment="1">
      <alignment horizontal="center"/>
    </xf>
    <xf numFmtId="16" fontId="24" fillId="0" borderId="94" xfId="0" applyNumberFormat="1" applyFont="1" applyBorder="1" applyAlignment="1">
      <alignment horizontal="center"/>
    </xf>
    <xf numFmtId="0" fontId="30" fillId="3" borderId="19" xfId="0" applyFont="1" applyFill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25" fillId="9" borderId="47" xfId="0" applyFont="1" applyFill="1" applyBorder="1"/>
    <xf numFmtId="0" fontId="25" fillId="9" borderId="26" xfId="0" applyFont="1" applyFill="1" applyBorder="1"/>
    <xf numFmtId="0" fontId="1" fillId="0" borderId="26" xfId="0" applyFont="1" applyBorder="1" applyAlignment="1">
      <alignment horizontal="center"/>
    </xf>
    <xf numFmtId="14" fontId="25" fillId="9" borderId="26" xfId="0" applyNumberFormat="1" applyFont="1" applyFill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5" fillId="0" borderId="82" xfId="0" applyFont="1" applyBorder="1" applyAlignment="1">
      <alignment horizontal="center"/>
    </xf>
    <xf numFmtId="0" fontId="24" fillId="0" borderId="70" xfId="0" applyFont="1" applyBorder="1" applyAlignment="1">
      <alignment horizontal="center" vertical="center"/>
    </xf>
    <xf numFmtId="0" fontId="25" fillId="0" borderId="82" xfId="0" applyFont="1" applyBorder="1" applyAlignment="1">
      <alignment horizontal="center" vertical="center"/>
    </xf>
    <xf numFmtId="0" fontId="25" fillId="0" borderId="83" xfId="0" applyFont="1" applyBorder="1" applyAlignment="1">
      <alignment horizontal="center"/>
    </xf>
    <xf numFmtId="0" fontId="25" fillId="0" borderId="71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5" fillId="9" borderId="72" xfId="0" applyFont="1" applyFill="1" applyBorder="1" applyAlignment="1">
      <alignment horizontal="center"/>
    </xf>
    <xf numFmtId="0" fontId="25" fillId="9" borderId="80" xfId="0" applyFont="1" applyFill="1" applyBorder="1" applyAlignment="1">
      <alignment horizontal="center"/>
    </xf>
    <xf numFmtId="0" fontId="25" fillId="0" borderId="73" xfId="0" applyFont="1" applyBorder="1" applyAlignment="1">
      <alignment horizontal="center" vertical="center"/>
    </xf>
    <xf numFmtId="0" fontId="25" fillId="0" borderId="70" xfId="0" applyFont="1" applyBorder="1" applyAlignment="1">
      <alignment horizontal="center"/>
    </xf>
    <xf numFmtId="0" fontId="25" fillId="0" borderId="72" xfId="0" applyFont="1" applyBorder="1" applyAlignment="1">
      <alignment horizontal="center"/>
    </xf>
    <xf numFmtId="0" fontId="1" fillId="0" borderId="72" xfId="0" applyFont="1" applyBorder="1" applyAlignment="1">
      <alignment horizontal="center"/>
    </xf>
    <xf numFmtId="0" fontId="1" fillId="0" borderId="80" xfId="0" applyFont="1" applyBorder="1" applyAlignment="1">
      <alignment horizontal="center"/>
    </xf>
    <xf numFmtId="0" fontId="25" fillId="0" borderId="80" xfId="0" applyFont="1" applyBorder="1" applyAlignment="1">
      <alignment horizontal="center"/>
    </xf>
    <xf numFmtId="49" fontId="1" fillId="0" borderId="80" xfId="0" applyNumberFormat="1" applyFont="1" applyBorder="1" applyAlignment="1">
      <alignment horizontal="center"/>
    </xf>
    <xf numFmtId="0" fontId="24" fillId="0" borderId="72" xfId="0" applyFont="1" applyBorder="1" applyAlignment="1">
      <alignment horizontal="center"/>
    </xf>
    <xf numFmtId="0" fontId="1" fillId="0" borderId="80" xfId="0" applyFont="1" applyBorder="1" applyAlignment="1">
      <alignment horizontal="center" wrapText="1"/>
    </xf>
    <xf numFmtId="14" fontId="29" fillId="0" borderId="56" xfId="0" applyNumberFormat="1" applyFont="1" applyBorder="1" applyAlignment="1">
      <alignment horizontal="center" vertical="center" wrapText="1"/>
    </xf>
    <xf numFmtId="0" fontId="24" fillId="0" borderId="70" xfId="0" applyFont="1" applyBorder="1"/>
    <xf numFmtId="0" fontId="25" fillId="0" borderId="73" xfId="0" applyFont="1" applyBorder="1"/>
    <xf numFmtId="0" fontId="1" fillId="9" borderId="56" xfId="0" applyFont="1" applyFill="1" applyBorder="1" applyAlignment="1">
      <alignment horizontal="left"/>
    </xf>
    <xf numFmtId="0" fontId="25" fillId="9" borderId="56" xfId="0" applyFont="1" applyFill="1" applyBorder="1" applyAlignment="1">
      <alignment horizontal="left" vertical="center"/>
    </xf>
    <xf numFmtId="0" fontId="25" fillId="0" borderId="56" xfId="0" applyFont="1" applyBorder="1" applyAlignment="1">
      <alignment horizontal="left" vertical="center"/>
    </xf>
    <xf numFmtId="6" fontId="25" fillId="0" borderId="53" xfId="0" applyNumberFormat="1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49" fontId="25" fillId="0" borderId="80" xfId="0" applyNumberFormat="1" applyFont="1" applyBorder="1" applyAlignment="1">
      <alignment horizontal="center"/>
    </xf>
    <xf numFmtId="0" fontId="25" fillId="9" borderId="51" xfId="0" applyFont="1" applyFill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0" borderId="73" xfId="0" applyFont="1" applyBorder="1" applyAlignment="1">
      <alignment horizontal="center"/>
    </xf>
    <xf numFmtId="16" fontId="24" fillId="0" borderId="72" xfId="0" applyNumberFormat="1" applyFont="1" applyBorder="1" applyAlignment="1">
      <alignment horizontal="center"/>
    </xf>
    <xf numFmtId="16" fontId="24" fillId="0" borderId="70" xfId="0" applyNumberFormat="1" applyFont="1" applyBorder="1" applyAlignment="1">
      <alignment horizontal="center"/>
    </xf>
    <xf numFmtId="0" fontId="1" fillId="0" borderId="102" xfId="0" applyFont="1" applyBorder="1" applyAlignment="1">
      <alignment horizontal="center"/>
    </xf>
    <xf numFmtId="0" fontId="25" fillId="0" borderId="96" xfId="0" applyFont="1" applyBorder="1"/>
    <xf numFmtId="0" fontId="1" fillId="0" borderId="96" xfId="0" applyFont="1" applyBorder="1" applyAlignment="1">
      <alignment horizontal="center"/>
    </xf>
    <xf numFmtId="14" fontId="25" fillId="0" borderId="96" xfId="0" applyNumberFormat="1" applyFont="1" applyBorder="1" applyAlignment="1">
      <alignment horizontal="center" vertical="center"/>
    </xf>
    <xf numFmtId="0" fontId="25" fillId="9" borderId="96" xfId="0" applyFont="1" applyFill="1" applyBorder="1" applyAlignment="1">
      <alignment horizontal="center"/>
    </xf>
    <xf numFmtId="49" fontId="25" fillId="0" borderId="103" xfId="0" applyNumberFormat="1" applyFont="1" applyBorder="1" applyAlignment="1">
      <alignment horizontal="center"/>
    </xf>
    <xf numFmtId="0" fontId="25" fillId="0" borderId="31" xfId="0" applyFont="1" applyBorder="1" applyAlignment="1">
      <alignment horizontal="center"/>
    </xf>
    <xf numFmtId="0" fontId="25" fillId="0" borderId="104" xfId="0" applyFont="1" applyBorder="1" applyAlignment="1">
      <alignment horizontal="center"/>
    </xf>
    <xf numFmtId="0" fontId="25" fillId="0" borderId="102" xfId="0" applyFont="1" applyBorder="1" applyAlignment="1">
      <alignment horizontal="center"/>
    </xf>
    <xf numFmtId="0" fontId="25" fillId="0" borderId="95" xfId="0" applyFont="1" applyBorder="1" applyAlignment="1">
      <alignment horizontal="center"/>
    </xf>
    <xf numFmtId="0" fontId="25" fillId="0" borderId="100" xfId="0" applyFont="1" applyBorder="1" applyAlignment="1">
      <alignment horizontal="center"/>
    </xf>
    <xf numFmtId="0" fontId="25" fillId="0" borderId="0" xfId="0" applyFont="1"/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right"/>
    </xf>
    <xf numFmtId="0" fontId="25" fillId="0" borderId="47" xfId="0" applyFont="1" applyBorder="1" applyAlignment="1">
      <alignment horizontal="center"/>
    </xf>
    <xf numFmtId="0" fontId="25" fillId="0" borderId="75" xfId="0" applyFont="1" applyBorder="1" applyAlignment="1">
      <alignment horizontal="center"/>
    </xf>
    <xf numFmtId="0" fontId="24" fillId="4" borderId="24" xfId="0" applyFont="1" applyFill="1" applyBorder="1" applyAlignment="1">
      <alignment horizontal="center"/>
    </xf>
    <xf numFmtId="0" fontId="24" fillId="4" borderId="41" xfId="0" applyFont="1" applyFill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5" fillId="9" borderId="2" xfId="0" applyFont="1" applyFill="1" applyBorder="1" applyAlignment="1">
      <alignment horizontal="center" vertical="center"/>
    </xf>
    <xf numFmtId="0" fontId="25" fillId="9" borderId="87" xfId="0" applyFont="1" applyFill="1" applyBorder="1"/>
    <xf numFmtId="0" fontId="25" fillId="9" borderId="51" xfId="0" applyFont="1" applyFill="1" applyBorder="1"/>
    <xf numFmtId="14" fontId="25" fillId="9" borderId="54" xfId="0" applyNumberFormat="1" applyFont="1" applyFill="1" applyBorder="1" applyAlignment="1">
      <alignment horizontal="center"/>
    </xf>
    <xf numFmtId="0" fontId="19" fillId="13" borderId="2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5" fillId="0" borderId="78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25" fillId="0" borderId="13" xfId="0" applyFont="1" applyBorder="1" applyAlignment="1">
      <alignment horizontal="center"/>
    </xf>
    <xf numFmtId="0" fontId="25" fillId="0" borderId="39" xfId="0" applyFont="1" applyBorder="1" applyAlignment="1">
      <alignment horizontal="center"/>
    </xf>
    <xf numFmtId="0" fontId="25" fillId="0" borderId="2" xfId="0" applyFont="1" applyBorder="1" applyAlignment="1">
      <alignment horizontal="center" vertical="center"/>
    </xf>
    <xf numFmtId="0" fontId="1" fillId="0" borderId="55" xfId="0" applyFont="1" applyBorder="1" applyAlignment="1">
      <alignment horizontal="left" wrapText="1"/>
    </xf>
    <xf numFmtId="0" fontId="1" fillId="0" borderId="51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24" fillId="13" borderId="2" xfId="0" applyFont="1" applyFill="1" applyBorder="1" applyAlignment="1">
      <alignment horizontal="center"/>
    </xf>
    <xf numFmtId="0" fontId="25" fillId="0" borderId="57" xfId="0" applyFont="1" applyBorder="1" applyAlignment="1">
      <alignment horizontal="left"/>
    </xf>
    <xf numFmtId="0" fontId="25" fillId="0" borderId="55" xfId="0" applyFont="1" applyBorder="1" applyAlignment="1">
      <alignment horizontal="left"/>
    </xf>
    <xf numFmtId="14" fontId="25" fillId="0" borderId="57" xfId="0" applyNumberFormat="1" applyFont="1" applyBorder="1" applyAlignment="1">
      <alignment horizontal="center"/>
    </xf>
    <xf numFmtId="14" fontId="25" fillId="9" borderId="57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/>
    </xf>
    <xf numFmtId="0" fontId="26" fillId="9" borderId="1" xfId="0" applyFont="1" applyFill="1" applyBorder="1" applyAlignment="1">
      <alignment horizontal="center" vertical="center" wrapText="1"/>
    </xf>
    <xf numFmtId="14" fontId="25" fillId="0" borderId="1" xfId="0" applyNumberFormat="1" applyFont="1" applyBorder="1" applyAlignment="1" applyProtection="1">
      <alignment horizontal="center"/>
      <protection locked="0"/>
    </xf>
    <xf numFmtId="0" fontId="25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5" fillId="0" borderId="1" xfId="0" applyFont="1" applyBorder="1"/>
    <xf numFmtId="0" fontId="1" fillId="0" borderId="1" xfId="0" applyFont="1" applyBorder="1" applyAlignment="1">
      <alignment horizontal="center"/>
    </xf>
    <xf numFmtId="14" fontId="25" fillId="0" borderId="1" xfId="0" applyNumberFormat="1" applyFont="1" applyBorder="1" applyAlignment="1">
      <alignment horizontal="center" vertical="center"/>
    </xf>
    <xf numFmtId="0" fontId="25" fillId="9" borderId="1" xfId="0" applyFont="1" applyFill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5" fillId="0" borderId="15" xfId="0" applyFont="1" applyBorder="1" applyAlignment="1">
      <alignment horizontal="center"/>
    </xf>
    <xf numFmtId="0" fontId="25" fillId="9" borderId="1" xfId="0" applyFont="1" applyFill="1" applyBorder="1"/>
    <xf numFmtId="14" fontId="25" fillId="9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/>
    </xf>
    <xf numFmtId="0" fontId="25" fillId="9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26" fillId="9" borderId="1" xfId="0" applyFont="1" applyFill="1" applyBorder="1" applyAlignment="1">
      <alignment horizontal="left" vertical="center" wrapText="1"/>
    </xf>
    <xf numFmtId="14" fontId="25" fillId="9" borderId="1" xfId="0" applyNumberFormat="1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27" fillId="0" borderId="1" xfId="0" applyFont="1" applyBorder="1"/>
    <xf numFmtId="0" fontId="25" fillId="11" borderId="1" xfId="0" applyFont="1" applyFill="1" applyBorder="1" applyAlignment="1">
      <alignment horizontal="center"/>
    </xf>
    <xf numFmtId="0" fontId="26" fillId="10" borderId="1" xfId="0" applyFont="1" applyFill="1" applyBorder="1" applyAlignment="1">
      <alignment vertical="center" wrapText="1"/>
    </xf>
    <xf numFmtId="164" fontId="1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25" fillId="9" borderId="1" xfId="0" applyFont="1" applyFill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1" fillId="9" borderId="1" xfId="0" applyFont="1" applyFill="1" applyBorder="1" applyAlignment="1">
      <alignment horizontal="left" wrapText="1"/>
    </xf>
    <xf numFmtId="14" fontId="25" fillId="9" borderId="1" xfId="0" applyNumberFormat="1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vertical="center" wrapText="1"/>
    </xf>
    <xf numFmtId="0" fontId="26" fillId="9" borderId="15" xfId="0" applyFont="1" applyFill="1" applyBorder="1" applyAlignment="1">
      <alignment vertical="center" wrapText="1"/>
    </xf>
    <xf numFmtId="14" fontId="18" fillId="0" borderId="1" xfId="0" applyNumberFormat="1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49" fontId="1" fillId="0" borderId="15" xfId="0" applyNumberFormat="1" applyFont="1" applyBorder="1" applyAlignment="1">
      <alignment horizontal="center"/>
    </xf>
    <xf numFmtId="0" fontId="26" fillId="10" borderId="2" xfId="0" applyFont="1" applyFill="1" applyBorder="1" applyAlignment="1">
      <alignment horizontal="center" vertical="center" wrapText="1"/>
    </xf>
    <xf numFmtId="14" fontId="29" fillId="9" borderId="1" xfId="0" applyNumberFormat="1" applyFont="1" applyFill="1" applyBorder="1" applyAlignment="1">
      <alignment horizontal="center" vertical="center"/>
    </xf>
    <xf numFmtId="0" fontId="25" fillId="0" borderId="2" xfId="0" applyFont="1" applyBorder="1"/>
    <xf numFmtId="0" fontId="24" fillId="0" borderId="1" xfId="0" applyFont="1" applyBorder="1"/>
    <xf numFmtId="6" fontId="25" fillId="0" borderId="1" xfId="0" applyNumberFormat="1" applyFont="1" applyBorder="1" applyAlignment="1">
      <alignment horizontal="center"/>
    </xf>
    <xf numFmtId="14" fontId="25" fillId="0" borderId="1" xfId="0" applyNumberFormat="1" applyFont="1" applyBorder="1" applyAlignment="1">
      <alignment horizontal="center"/>
    </xf>
    <xf numFmtId="0" fontId="25" fillId="0" borderId="18" xfId="0" applyFont="1" applyBorder="1"/>
    <xf numFmtId="0" fontId="25" fillId="0" borderId="53" xfId="0" applyFont="1" applyBorder="1"/>
    <xf numFmtId="0" fontId="1" fillId="0" borderId="53" xfId="0" applyFont="1" applyBorder="1" applyAlignment="1">
      <alignment horizontal="center"/>
    </xf>
    <xf numFmtId="0" fontId="25" fillId="0" borderId="86" xfId="0" applyFont="1" applyBorder="1" applyAlignment="1">
      <alignment horizontal="center"/>
    </xf>
    <xf numFmtId="0" fontId="24" fillId="0" borderId="57" xfId="0" applyFont="1" applyBorder="1"/>
    <xf numFmtId="6" fontId="25" fillId="0" borderId="56" xfId="0" applyNumberFormat="1" applyFont="1" applyBorder="1" applyAlignment="1">
      <alignment horizontal="center"/>
    </xf>
    <xf numFmtId="0" fontId="25" fillId="0" borderId="92" xfId="0" applyFont="1" applyBorder="1"/>
    <xf numFmtId="0" fontId="24" fillId="0" borderId="98" xfId="0" applyFont="1" applyBorder="1"/>
    <xf numFmtId="0" fontId="25" fillId="0" borderId="99" xfId="0" applyFont="1" applyBorder="1"/>
    <xf numFmtId="6" fontId="25" fillId="0" borderId="90" xfId="0" applyNumberFormat="1" applyFont="1" applyBorder="1" applyAlignment="1">
      <alignment horizontal="center"/>
    </xf>
    <xf numFmtId="14" fontId="25" fillId="0" borderId="98" xfId="0" applyNumberFormat="1" applyFont="1" applyBorder="1" applyAlignment="1">
      <alignment horizontal="center"/>
    </xf>
    <xf numFmtId="0" fontId="25" fillId="0" borderId="60" xfId="0" applyFont="1" applyBorder="1" applyAlignment="1">
      <alignment horizontal="center"/>
    </xf>
    <xf numFmtId="0" fontId="25" fillId="0" borderId="35" xfId="0" applyFont="1" applyBorder="1" applyAlignment="1">
      <alignment horizontal="center"/>
    </xf>
    <xf numFmtId="0" fontId="24" fillId="0" borderId="92" xfId="0" applyFont="1" applyBorder="1" applyAlignment="1">
      <alignment horizontal="center"/>
    </xf>
    <xf numFmtId="0" fontId="25" fillId="0" borderId="93" xfId="0" applyFont="1" applyBorder="1" applyAlignment="1">
      <alignment horizontal="center"/>
    </xf>
    <xf numFmtId="0" fontId="24" fillId="0" borderId="95" xfId="0" applyFont="1" applyBorder="1" applyAlignment="1">
      <alignment horizontal="center"/>
    </xf>
    <xf numFmtId="0" fontId="25" fillId="0" borderId="97" xfId="0" applyFont="1" applyBorder="1" applyAlignment="1">
      <alignment horizontal="center"/>
    </xf>
    <xf numFmtId="14" fontId="29" fillId="9" borderId="56" xfId="0" applyNumberFormat="1" applyFont="1" applyFill="1" applyBorder="1" applyAlignment="1">
      <alignment horizontal="center" vertical="center"/>
    </xf>
    <xf numFmtId="0" fontId="24" fillId="4" borderId="94" xfId="0" applyFont="1" applyFill="1" applyBorder="1"/>
    <xf numFmtId="0" fontId="24" fillId="4" borderId="30" xfId="0" applyFont="1" applyFill="1" applyBorder="1" applyAlignment="1">
      <alignment horizontal="center"/>
    </xf>
    <xf numFmtId="0" fontId="24" fillId="4" borderId="28" xfId="0" applyFont="1" applyFill="1" applyBorder="1" applyAlignment="1">
      <alignment horizontal="center"/>
    </xf>
    <xf numFmtId="0" fontId="24" fillId="0" borderId="40" xfId="0" applyFont="1" applyBorder="1" applyAlignment="1">
      <alignment horizontal="center"/>
    </xf>
    <xf numFmtId="0" fontId="25" fillId="0" borderId="87" xfId="0" applyFont="1" applyBorder="1" applyAlignment="1">
      <alignment vertical="center"/>
    </xf>
    <xf numFmtId="0" fontId="25" fillId="0" borderId="51" xfId="0" applyFont="1" applyBorder="1" applyAlignment="1">
      <alignment vertical="center"/>
    </xf>
    <xf numFmtId="0" fontId="1" fillId="0" borderId="51" xfId="0" applyFont="1" applyBorder="1" applyAlignment="1">
      <alignment horizontal="center" vertical="center"/>
    </xf>
    <xf numFmtId="14" fontId="25" fillId="0" borderId="54" xfId="0" applyNumberFormat="1" applyFont="1" applyBorder="1" applyAlignment="1">
      <alignment horizontal="center" vertical="center"/>
    </xf>
    <xf numFmtId="0" fontId="25" fillId="0" borderId="51" xfId="0" applyFont="1" applyBorder="1" applyAlignment="1">
      <alignment horizontal="center" vertical="center"/>
    </xf>
    <xf numFmtId="0" fontId="25" fillId="9" borderId="7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49" fontId="1" fillId="0" borderId="87" xfId="0" applyNumberFormat="1" applyFont="1" applyBorder="1" applyAlignment="1">
      <alignment horizontal="left" vertical="center"/>
    </xf>
    <xf numFmtId="49" fontId="1" fillId="0" borderId="51" xfId="0" applyNumberFormat="1" applyFont="1" applyBorder="1" applyAlignment="1">
      <alignment horizontal="left" vertical="center"/>
    </xf>
    <xf numFmtId="0" fontId="26" fillId="9" borderId="51" xfId="0" applyFont="1" applyFill="1" applyBorder="1" applyAlignment="1">
      <alignment horizontal="center" vertical="center" wrapText="1"/>
    </xf>
    <xf numFmtId="14" fontId="25" fillId="0" borderId="54" xfId="0" applyNumberFormat="1" applyFont="1" applyBorder="1" applyAlignment="1" applyProtection="1">
      <alignment horizontal="center" vertical="center"/>
      <protection locked="0"/>
    </xf>
    <xf numFmtId="49" fontId="1" fillId="0" borderId="7" xfId="0" applyNumberFormat="1" applyFont="1" applyBorder="1" applyAlignment="1">
      <alignment horizontal="center" vertical="center"/>
    </xf>
    <xf numFmtId="0" fontId="19" fillId="13" borderId="2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5" fillId="9" borderId="87" xfId="0" applyFont="1" applyFill="1" applyBorder="1" applyAlignment="1">
      <alignment vertical="center"/>
    </xf>
    <xf numFmtId="0" fontId="25" fillId="9" borderId="51" xfId="0" applyFont="1" applyFill="1" applyBorder="1" applyAlignment="1">
      <alignment vertical="center"/>
    </xf>
    <xf numFmtId="14" fontId="25" fillId="9" borderId="54" xfId="0" applyNumberFormat="1" applyFont="1" applyFill="1" applyBorder="1" applyAlignment="1">
      <alignment horizontal="center" vertical="center"/>
    </xf>
    <xf numFmtId="0" fontId="24" fillId="13" borderId="2" xfId="0" applyFont="1" applyFill="1" applyBorder="1" applyAlignment="1">
      <alignment horizontal="center" vertical="center"/>
    </xf>
    <xf numFmtId="0" fontId="1" fillId="0" borderId="87" xfId="0" applyFont="1" applyBorder="1" applyAlignment="1">
      <alignment horizontal="left" vertical="center"/>
    </xf>
    <xf numFmtId="0" fontId="1" fillId="0" borderId="51" xfId="0" applyFont="1" applyBorder="1" applyAlignment="1">
      <alignment horizontal="left" vertical="center"/>
    </xf>
    <xf numFmtId="14" fontId="1" fillId="0" borderId="54" xfId="0" applyNumberFormat="1" applyFont="1" applyBorder="1" applyAlignment="1">
      <alignment horizontal="center" vertical="center"/>
    </xf>
    <xf numFmtId="0" fontId="25" fillId="9" borderId="70" xfId="0" applyFont="1" applyFill="1" applyBorder="1" applyAlignment="1">
      <alignment horizontal="left" vertical="center"/>
    </xf>
    <xf numFmtId="14" fontId="25" fillId="0" borderId="56" xfId="0" applyNumberFormat="1" applyFont="1" applyBorder="1" applyAlignment="1" applyProtection="1">
      <alignment horizontal="center" vertical="center"/>
      <protection locked="0"/>
    </xf>
    <xf numFmtId="0" fontId="25" fillId="0" borderId="56" xfId="0" applyFont="1" applyBorder="1" applyAlignment="1">
      <alignment horizontal="center" vertical="center"/>
    </xf>
    <xf numFmtId="0" fontId="25" fillId="9" borderId="70" xfId="0" applyFont="1" applyFill="1" applyBorder="1" applyAlignment="1">
      <alignment vertical="center"/>
    </xf>
    <xf numFmtId="0" fontId="25" fillId="9" borderId="0" xfId="0" applyFont="1" applyFill="1" applyAlignment="1">
      <alignment vertical="center"/>
    </xf>
    <xf numFmtId="0" fontId="1" fillId="0" borderId="56" xfId="0" applyFont="1" applyBorder="1" applyAlignment="1">
      <alignment horizontal="center" vertical="center"/>
    </xf>
    <xf numFmtId="0" fontId="25" fillId="9" borderId="56" xfId="0" applyFont="1" applyFill="1" applyBorder="1" applyAlignment="1">
      <alignment vertical="center"/>
    </xf>
    <xf numFmtId="14" fontId="25" fillId="9" borderId="56" xfId="0" applyNumberFormat="1" applyFont="1" applyFill="1" applyBorder="1" applyAlignment="1">
      <alignment horizontal="center" vertical="center"/>
    </xf>
    <xf numFmtId="0" fontId="1" fillId="0" borderId="83" xfId="0" applyFont="1" applyBorder="1" applyAlignment="1">
      <alignment horizontal="left" vertical="center"/>
    </xf>
    <xf numFmtId="0" fontId="1" fillId="0" borderId="60" xfId="0" applyFont="1" applyBorder="1" applyAlignment="1">
      <alignment horizontal="left" vertical="center"/>
    </xf>
    <xf numFmtId="0" fontId="26" fillId="9" borderId="60" xfId="0" applyFont="1" applyFill="1" applyBorder="1" applyAlignment="1">
      <alignment horizontal="center" vertical="center" wrapText="1"/>
    </xf>
    <xf numFmtId="14" fontId="25" fillId="0" borderId="60" xfId="0" applyNumberFormat="1" applyFont="1" applyBorder="1" applyAlignment="1" applyProtection="1">
      <alignment horizontal="center" vertical="center"/>
      <protection locked="0"/>
    </xf>
    <xf numFmtId="0" fontId="25" fillId="0" borderId="60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25" fillId="0" borderId="70" xfId="0" applyFont="1" applyBorder="1" applyAlignment="1">
      <alignment vertical="center"/>
    </xf>
    <xf numFmtId="0" fontId="25" fillId="0" borderId="56" xfId="0" applyFont="1" applyBorder="1" applyAlignment="1">
      <alignment vertical="center"/>
    </xf>
    <xf numFmtId="0" fontId="19" fillId="0" borderId="2" xfId="0" applyFont="1" applyBorder="1" applyAlignment="1">
      <alignment horizontal="center" vertical="center"/>
    </xf>
    <xf numFmtId="49" fontId="1" fillId="0" borderId="70" xfId="0" applyNumberFormat="1" applyFont="1" applyBorder="1" applyAlignment="1">
      <alignment horizontal="left" vertical="center"/>
    </xf>
    <xf numFmtId="49" fontId="1" fillId="0" borderId="56" xfId="0" applyNumberFormat="1" applyFont="1" applyBorder="1" applyAlignment="1">
      <alignment horizontal="left" vertical="center"/>
    </xf>
    <xf numFmtId="0" fontId="1" fillId="0" borderId="70" xfId="0" applyFont="1" applyBorder="1" applyAlignment="1">
      <alignment horizontal="left" vertical="center" wrapText="1"/>
    </xf>
    <xf numFmtId="0" fontId="1" fillId="9" borderId="56" xfId="0" applyFont="1" applyFill="1" applyBorder="1" applyAlignment="1">
      <alignment horizontal="left" vertical="center" wrapText="1"/>
    </xf>
    <xf numFmtId="0" fontId="1" fillId="0" borderId="70" xfId="0" applyFont="1" applyBorder="1" applyAlignment="1">
      <alignment horizontal="left" vertical="center"/>
    </xf>
    <xf numFmtId="0" fontId="1" fillId="0" borderId="56" xfId="0" applyFont="1" applyBorder="1" applyAlignment="1">
      <alignment horizontal="left" vertical="center"/>
    </xf>
    <xf numFmtId="14" fontId="1" fillId="0" borderId="56" xfId="0" applyNumberFormat="1" applyFont="1" applyBorder="1" applyAlignment="1">
      <alignment horizontal="center" vertical="center"/>
    </xf>
    <xf numFmtId="0" fontId="1" fillId="0" borderId="5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25" fillId="11" borderId="56" xfId="0" applyFont="1" applyFill="1" applyBorder="1" applyAlignment="1">
      <alignment horizontal="center"/>
    </xf>
    <xf numFmtId="0" fontId="25" fillId="9" borderId="7" xfId="0" applyFont="1" applyFill="1" applyBorder="1" applyAlignment="1">
      <alignment horizontal="center"/>
    </xf>
    <xf numFmtId="0" fontId="26" fillId="0" borderId="70" xfId="0" applyFont="1" applyBorder="1" applyAlignment="1">
      <alignment horizontal="left" vertical="center" wrapText="1"/>
    </xf>
    <xf numFmtId="0" fontId="26" fillId="9" borderId="56" xfId="0" applyFont="1" applyFill="1" applyBorder="1" applyAlignment="1">
      <alignment horizontal="left" vertical="center" wrapText="1"/>
    </xf>
    <xf numFmtId="1" fontId="26" fillId="9" borderId="7" xfId="0" applyNumberFormat="1" applyFont="1" applyFill="1" applyBorder="1" applyAlignment="1">
      <alignment horizontal="right" vertical="center" wrapText="1"/>
    </xf>
    <xf numFmtId="0" fontId="26" fillId="0" borderId="70" xfId="0" applyFont="1" applyBorder="1" applyAlignment="1">
      <alignment vertical="center" wrapText="1"/>
    </xf>
    <xf numFmtId="0" fontId="26" fillId="10" borderId="56" xfId="0" applyFont="1" applyFill="1" applyBorder="1" applyAlignment="1">
      <alignment vertical="center" wrapText="1"/>
    </xf>
    <xf numFmtId="14" fontId="18" fillId="0" borderId="56" xfId="0" applyNumberFormat="1" applyFont="1" applyBorder="1" applyAlignment="1">
      <alignment horizontal="center" vertical="center"/>
    </xf>
    <xf numFmtId="14" fontId="26" fillId="0" borderId="56" xfId="0" applyNumberFormat="1" applyFont="1" applyBorder="1" applyAlignment="1">
      <alignment horizontal="center" vertical="center" wrapText="1"/>
    </xf>
    <xf numFmtId="0" fontId="26" fillId="9" borderId="70" xfId="0" applyFont="1" applyFill="1" applyBorder="1" applyAlignment="1">
      <alignment horizontal="left" vertical="center" wrapText="1"/>
    </xf>
    <xf numFmtId="14" fontId="29" fillId="9" borderId="56" xfId="0" applyNumberFormat="1" applyFont="1" applyFill="1" applyBorder="1" applyAlignment="1">
      <alignment horizontal="center" vertical="center" wrapText="1"/>
    </xf>
    <xf numFmtId="0" fontId="25" fillId="14" borderId="2" xfId="0" applyFont="1" applyFill="1" applyBorder="1" applyAlignment="1">
      <alignment horizontal="center" vertical="center"/>
    </xf>
    <xf numFmtId="0" fontId="25" fillId="0" borderId="70" xfId="0" applyFont="1" applyBorder="1"/>
    <xf numFmtId="6" fontId="25" fillId="0" borderId="56" xfId="0" applyNumberFormat="1" applyFont="1" applyBorder="1" applyAlignment="1">
      <alignment horizontal="center" vertical="top"/>
    </xf>
    <xf numFmtId="14" fontId="25" fillId="7" borderId="56" xfId="0" applyNumberFormat="1" applyFont="1" applyFill="1" applyBorder="1" applyAlignment="1">
      <alignment horizontal="center"/>
    </xf>
    <xf numFmtId="49" fontId="25" fillId="0" borderId="7" xfId="0" applyNumberFormat="1" applyFont="1" applyBorder="1" applyAlignment="1">
      <alignment horizontal="center"/>
    </xf>
    <xf numFmtId="0" fontId="25" fillId="0" borderId="56" xfId="0" applyFont="1" applyBorder="1" applyAlignment="1">
      <alignment horizontal="center" vertical="top"/>
    </xf>
    <xf numFmtId="14" fontId="25" fillId="0" borderId="56" xfId="0" quotePrefix="1" applyNumberFormat="1" applyFont="1" applyBorder="1" applyAlignment="1" applyProtection="1">
      <alignment horizontal="center"/>
      <protection locked="0"/>
    </xf>
    <xf numFmtId="0" fontId="25" fillId="0" borderId="51" xfId="0" applyFont="1" applyBorder="1" applyAlignment="1">
      <alignment horizontal="center" vertical="top"/>
    </xf>
    <xf numFmtId="14" fontId="25" fillId="0" borderId="54" xfId="0" quotePrefix="1" applyNumberFormat="1" applyFont="1" applyBorder="1" applyAlignment="1" applyProtection="1">
      <alignment horizontal="center"/>
      <protection locked="0"/>
    </xf>
    <xf numFmtId="0" fontId="25" fillId="0" borderId="87" xfId="0" applyFont="1" applyBorder="1"/>
    <xf numFmtId="0" fontId="25" fillId="0" borderId="51" xfId="0" applyFont="1" applyBorder="1"/>
    <xf numFmtId="0" fontId="25" fillId="0" borderId="95" xfId="0" applyFont="1" applyBorder="1"/>
    <xf numFmtId="0" fontId="25" fillId="0" borderId="96" xfId="0" applyFont="1" applyBorder="1" applyAlignment="1">
      <alignment horizontal="center" vertical="top"/>
    </xf>
    <xf numFmtId="14" fontId="25" fillId="0" borderId="96" xfId="0" applyNumberFormat="1" applyFont="1" applyBorder="1" applyAlignment="1">
      <alignment horizontal="center"/>
    </xf>
    <xf numFmtId="49" fontId="25" fillId="0" borderId="93" xfId="0" applyNumberFormat="1" applyFont="1" applyBorder="1" applyAlignment="1">
      <alignment horizontal="center"/>
    </xf>
    <xf numFmtId="0" fontId="24" fillId="4" borderId="88" xfId="0" applyFont="1" applyFill="1" applyBorder="1" applyAlignment="1">
      <alignment horizontal="center"/>
    </xf>
    <xf numFmtId="0" fontId="24" fillId="4" borderId="89" xfId="0" applyFont="1" applyFill="1" applyBorder="1"/>
    <xf numFmtId="0" fontId="24" fillId="4" borderId="89" xfId="0" applyFont="1" applyFill="1" applyBorder="1" applyAlignment="1">
      <alignment horizontal="center"/>
    </xf>
    <xf numFmtId="0" fontId="24" fillId="4" borderId="81" xfId="0" applyFont="1" applyFill="1" applyBorder="1" applyAlignment="1">
      <alignment horizontal="center"/>
    </xf>
    <xf numFmtId="16" fontId="24" fillId="0" borderId="88" xfId="0" applyNumberFormat="1" applyFont="1" applyBorder="1" applyAlignment="1">
      <alignment horizontal="center"/>
    </xf>
    <xf numFmtId="0" fontId="24" fillId="0" borderId="19" xfId="0" applyFont="1" applyBorder="1" applyAlignment="1">
      <alignment horizontal="center"/>
    </xf>
    <xf numFmtId="0" fontId="24" fillId="0" borderId="17" xfId="0" applyFont="1" applyBorder="1" applyAlignment="1">
      <alignment horizontal="center"/>
    </xf>
    <xf numFmtId="0" fontId="25" fillId="0" borderId="21" xfId="2" applyFont="1" applyBorder="1" applyAlignment="1">
      <alignment horizontal="center"/>
    </xf>
    <xf numFmtId="0" fontId="1" fillId="0" borderId="53" xfId="2" applyFont="1" applyBorder="1" applyAlignment="1">
      <alignment horizontal="left" wrapText="1"/>
    </xf>
    <xf numFmtId="0" fontId="26" fillId="9" borderId="53" xfId="2" applyFont="1" applyFill="1" applyBorder="1" applyAlignment="1">
      <alignment horizontal="center" vertical="center" wrapText="1"/>
    </xf>
    <xf numFmtId="14" fontId="25" fillId="0" borderId="53" xfId="0" applyNumberFormat="1" applyFont="1" applyBorder="1" applyAlignment="1" applyProtection="1">
      <alignment horizontal="center" vertical="center"/>
      <protection locked="0"/>
    </xf>
    <xf numFmtId="0" fontId="25" fillId="0" borderId="53" xfId="0" applyFont="1" applyBorder="1" applyAlignment="1">
      <alignment horizontal="center"/>
    </xf>
    <xf numFmtId="0" fontId="1" fillId="0" borderId="75" xfId="0" applyFont="1" applyBorder="1" applyAlignment="1">
      <alignment horizontal="center"/>
    </xf>
    <xf numFmtId="0" fontId="24" fillId="13" borderId="21" xfId="0" applyFont="1" applyFill="1" applyBorder="1" applyAlignment="1">
      <alignment horizontal="center"/>
    </xf>
    <xf numFmtId="0" fontId="25" fillId="0" borderId="76" xfId="0" applyFont="1" applyBorder="1" applyAlignment="1">
      <alignment horizontal="center"/>
    </xf>
    <xf numFmtId="0" fontId="25" fillId="0" borderId="72" xfId="2" applyFont="1" applyBorder="1" applyAlignment="1">
      <alignment horizontal="center"/>
    </xf>
    <xf numFmtId="0" fontId="25" fillId="9" borderId="56" xfId="2" applyFont="1" applyFill="1" applyBorder="1" applyAlignment="1">
      <alignment horizontal="left"/>
    </xf>
    <xf numFmtId="0" fontId="25" fillId="0" borderId="56" xfId="2" applyFont="1" applyBorder="1" applyAlignment="1">
      <alignment horizontal="left"/>
    </xf>
    <xf numFmtId="0" fontId="26" fillId="9" borderId="56" xfId="2" applyFont="1" applyFill="1" applyBorder="1" applyAlignment="1">
      <alignment horizontal="center" vertical="center" wrapText="1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5" fillId="0" borderId="74" xfId="0" applyFont="1" applyBorder="1" applyAlignment="1">
      <alignment horizontal="center"/>
    </xf>
    <xf numFmtId="0" fontId="25" fillId="9" borderId="56" xfId="2" applyFont="1" applyFill="1" applyBorder="1"/>
    <xf numFmtId="0" fontId="25" fillId="9" borderId="73" xfId="0" applyFont="1" applyFill="1" applyBorder="1" applyAlignment="1">
      <alignment horizontal="center"/>
    </xf>
    <xf numFmtId="0" fontId="26" fillId="10" borderId="72" xfId="0" applyFont="1" applyFill="1" applyBorder="1" applyAlignment="1">
      <alignment horizontal="center" vertical="center" wrapText="1"/>
    </xf>
    <xf numFmtId="0" fontId="24" fillId="13" borderId="72" xfId="0" applyFont="1" applyFill="1" applyBorder="1" applyAlignment="1">
      <alignment horizontal="center"/>
    </xf>
    <xf numFmtId="0" fontId="25" fillId="0" borderId="56" xfId="2" applyFont="1" applyBorder="1"/>
    <xf numFmtId="0" fontId="24" fillId="0" borderId="71" xfId="0" applyFont="1" applyBorder="1" applyAlignment="1">
      <alignment horizontal="center"/>
    </xf>
    <xf numFmtId="0" fontId="25" fillId="0" borderId="77" xfId="0" applyFont="1" applyBorder="1" applyAlignment="1">
      <alignment horizontal="center"/>
    </xf>
    <xf numFmtId="0" fontId="19" fillId="0" borderId="71" xfId="0" applyFont="1" applyBorder="1" applyAlignment="1">
      <alignment horizontal="center"/>
    </xf>
    <xf numFmtId="0" fontId="1" fillId="0" borderId="77" xfId="0" applyFont="1" applyBorder="1" applyAlignment="1">
      <alignment horizontal="center"/>
    </xf>
    <xf numFmtId="0" fontId="1" fillId="0" borderId="72" xfId="2" applyFont="1" applyBorder="1" applyAlignment="1">
      <alignment horizontal="center"/>
    </xf>
    <xf numFmtId="49" fontId="1" fillId="0" borderId="56" xfId="2" applyNumberFormat="1" applyFont="1" applyBorder="1" applyAlignment="1">
      <alignment horizontal="left"/>
    </xf>
    <xf numFmtId="0" fontId="1" fillId="0" borderId="56" xfId="2" applyFont="1" applyBorder="1" applyAlignment="1">
      <alignment horizontal="left"/>
    </xf>
    <xf numFmtId="14" fontId="26" fillId="10" borderId="56" xfId="0" applyNumberFormat="1" applyFont="1" applyFill="1" applyBorder="1" applyAlignment="1">
      <alignment horizontal="center" vertical="center" wrapText="1"/>
    </xf>
    <xf numFmtId="1" fontId="26" fillId="9" borderId="73" xfId="0" applyNumberFormat="1" applyFont="1" applyFill="1" applyBorder="1" applyAlignment="1">
      <alignment horizontal="center" vertical="center" wrapText="1"/>
    </xf>
    <xf numFmtId="0" fontId="24" fillId="13" borderId="71" xfId="0" applyFont="1" applyFill="1" applyBorder="1" applyAlignment="1">
      <alignment horizontal="center"/>
    </xf>
    <xf numFmtId="0" fontId="19" fillId="0" borderId="72" xfId="0" applyFont="1" applyBorder="1" applyAlignment="1">
      <alignment horizontal="center"/>
    </xf>
    <xf numFmtId="0" fontId="19" fillId="13" borderId="72" xfId="0" applyFont="1" applyFill="1" applyBorder="1" applyAlignment="1">
      <alignment horizontal="center"/>
    </xf>
    <xf numFmtId="0" fontId="24" fillId="0" borderId="79" xfId="0" applyFont="1" applyBorder="1" applyAlignment="1">
      <alignment horizontal="center"/>
    </xf>
    <xf numFmtId="0" fontId="25" fillId="0" borderId="58" xfId="0" applyFont="1" applyBorder="1" applyAlignment="1">
      <alignment horizontal="center"/>
    </xf>
    <xf numFmtId="0" fontId="24" fillId="13" borderId="79" xfId="0" applyFont="1" applyFill="1" applyBorder="1" applyAlignment="1">
      <alignment horizontal="center"/>
    </xf>
    <xf numFmtId="0" fontId="1" fillId="0" borderId="56" xfId="2" applyFont="1" applyBorder="1" applyAlignment="1">
      <alignment horizontal="left" wrapText="1"/>
    </xf>
    <xf numFmtId="0" fontId="19" fillId="0" borderId="79" xfId="0" applyFont="1" applyBorder="1" applyAlignment="1">
      <alignment horizontal="center"/>
    </xf>
    <xf numFmtId="0" fontId="31" fillId="0" borderId="58" xfId="0" applyFont="1" applyBorder="1" applyAlignment="1">
      <alignment horizontal="center"/>
    </xf>
    <xf numFmtId="0" fontId="1" fillId="0" borderId="73" xfId="0" applyFont="1" applyBorder="1" applyAlignment="1">
      <alignment horizontal="center" wrapText="1"/>
    </xf>
    <xf numFmtId="0" fontId="26" fillId="10" borderId="79" xfId="0" applyFont="1" applyFill="1" applyBorder="1" applyAlignment="1">
      <alignment horizontal="center" vertical="center" wrapText="1"/>
    </xf>
    <xf numFmtId="0" fontId="19" fillId="0" borderId="73" xfId="0" applyFont="1" applyBorder="1" applyAlignment="1">
      <alignment horizontal="center"/>
    </xf>
    <xf numFmtId="49" fontId="1" fillId="0" borderId="73" xfId="0" applyNumberFormat="1" applyFont="1" applyBorder="1" applyAlignment="1">
      <alignment horizontal="center"/>
    </xf>
    <xf numFmtId="0" fontId="1" fillId="9" borderId="56" xfId="2" applyFont="1" applyFill="1" applyBorder="1" applyAlignment="1">
      <alignment horizontal="left" wrapText="1"/>
    </xf>
    <xf numFmtId="0" fontId="1" fillId="9" borderId="56" xfId="2" applyFont="1" applyFill="1" applyBorder="1" applyAlignment="1">
      <alignment horizontal="center"/>
    </xf>
    <xf numFmtId="0" fontId="25" fillId="9" borderId="56" xfId="2" applyFont="1" applyFill="1" applyBorder="1" applyAlignment="1">
      <alignment horizontal="left" vertical="center"/>
    </xf>
    <xf numFmtId="0" fontId="25" fillId="0" borderId="56" xfId="2" applyFont="1" applyBorder="1" applyAlignment="1">
      <alignment horizontal="left" vertical="center"/>
    </xf>
    <xf numFmtId="0" fontId="1" fillId="0" borderId="56" xfId="2" applyFont="1" applyBorder="1" applyAlignment="1">
      <alignment horizontal="center"/>
    </xf>
    <xf numFmtId="0" fontId="25" fillId="9" borderId="75" xfId="0" applyFont="1" applyFill="1" applyBorder="1" applyAlignment="1">
      <alignment horizontal="center"/>
    </xf>
    <xf numFmtId="0" fontId="26" fillId="10" borderId="71" xfId="0" applyFont="1" applyFill="1" applyBorder="1" applyAlignment="1">
      <alignment horizontal="center" vertical="center" wrapText="1"/>
    </xf>
    <xf numFmtId="49" fontId="1" fillId="0" borderId="70" xfId="2" applyNumberFormat="1" applyFont="1" applyBorder="1" applyAlignment="1">
      <alignment horizontal="left"/>
    </xf>
    <xf numFmtId="14" fontId="25" fillId="0" borderId="59" xfId="0" applyNumberFormat="1" applyFont="1" applyBorder="1" applyAlignment="1">
      <alignment horizontal="center"/>
    </xf>
    <xf numFmtId="14" fontId="25" fillId="0" borderId="16" xfId="0" applyNumberFormat="1" applyFont="1" applyBorder="1" applyAlignment="1">
      <alignment horizontal="center"/>
    </xf>
    <xf numFmtId="49" fontId="25" fillId="0" borderId="75" xfId="0" applyNumberFormat="1" applyFont="1" applyBorder="1" applyAlignment="1">
      <alignment horizontal="center"/>
    </xf>
    <xf numFmtId="14" fontId="25" fillId="0" borderId="53" xfId="0" applyNumberFormat="1" applyFont="1" applyBorder="1" applyAlignment="1">
      <alignment horizontal="center"/>
    </xf>
    <xf numFmtId="49" fontId="25" fillId="0" borderId="73" xfId="0" applyNumberFormat="1" applyFont="1" applyBorder="1" applyAlignment="1">
      <alignment horizontal="center"/>
    </xf>
    <xf numFmtId="0" fontId="25" fillId="0" borderId="60" xfId="0" applyFont="1" applyBorder="1"/>
    <xf numFmtId="0" fontId="25" fillId="0" borderId="83" xfId="0" applyFont="1" applyBorder="1"/>
    <xf numFmtId="14" fontId="25" fillId="0" borderId="60" xfId="0" applyNumberFormat="1" applyFont="1" applyBorder="1" applyAlignment="1">
      <alignment horizontal="center"/>
    </xf>
    <xf numFmtId="49" fontId="25" fillId="0" borderId="77" xfId="0" applyNumberFormat="1" applyFont="1" applyBorder="1" applyAlignment="1">
      <alignment horizontal="center"/>
    </xf>
    <xf numFmtId="0" fontId="26" fillId="0" borderId="56" xfId="0" applyFont="1" applyBorder="1" applyAlignment="1">
      <alignment horizontal="center" vertical="center" wrapText="1"/>
    </xf>
    <xf numFmtId="0" fontId="26" fillId="0" borderId="56" xfId="0" applyFont="1" applyBorder="1" applyAlignment="1">
      <alignment vertical="center" wrapText="1"/>
    </xf>
    <xf numFmtId="0" fontId="24" fillId="4" borderId="24" xfId="0" quotePrefix="1" applyFont="1" applyFill="1" applyBorder="1"/>
    <xf numFmtId="0" fontId="24" fillId="4" borderId="24" xfId="0" quotePrefix="1" applyFont="1" applyFill="1" applyBorder="1" applyAlignment="1">
      <alignment horizontal="center"/>
    </xf>
    <xf numFmtId="0" fontId="24" fillId="0" borderId="28" xfId="0" applyFont="1" applyBorder="1" applyAlignment="1">
      <alignment horizontal="center"/>
    </xf>
    <xf numFmtId="0" fontId="25" fillId="0" borderId="72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25" fillId="16" borderId="96" xfId="0" applyFont="1" applyFill="1" applyBorder="1"/>
    <xf numFmtId="6" fontId="25" fillId="16" borderId="96" xfId="0" applyNumberFormat="1" applyFont="1" applyFill="1" applyBorder="1" applyAlignment="1">
      <alignment horizontal="center"/>
    </xf>
    <xf numFmtId="14" fontId="25" fillId="16" borderId="96" xfId="0" applyNumberFormat="1" applyFont="1" applyFill="1" applyBorder="1" applyAlignment="1">
      <alignment horizontal="center"/>
    </xf>
    <xf numFmtId="0" fontId="1" fillId="16" borderId="96" xfId="0" applyFont="1" applyFill="1" applyBorder="1" applyAlignment="1">
      <alignment horizontal="center"/>
    </xf>
    <xf numFmtId="0" fontId="25" fillId="16" borderId="104" xfId="0" applyFont="1" applyFill="1" applyBorder="1" applyAlignment="1">
      <alignment horizontal="center"/>
    </xf>
    <xf numFmtId="0" fontId="25" fillId="16" borderId="80" xfId="0" applyFont="1" applyFill="1" applyBorder="1" applyAlignment="1">
      <alignment horizontal="center"/>
    </xf>
    <xf numFmtId="0" fontId="25" fillId="16" borderId="103" xfId="0" applyFont="1" applyFill="1" applyBorder="1" applyAlignment="1">
      <alignment horizontal="center"/>
    </xf>
    <xf numFmtId="0" fontId="0" fillId="0" borderId="48" xfId="0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25" fillId="16" borderId="82" xfId="0" applyFont="1" applyFill="1" applyBorder="1" applyAlignment="1">
      <alignment horizontal="center"/>
    </xf>
    <xf numFmtId="0" fontId="25" fillId="16" borderId="97" xfId="0" applyFont="1" applyFill="1" applyBorder="1" applyAlignment="1">
      <alignment horizontal="center"/>
    </xf>
    <xf numFmtId="0" fontId="25" fillId="16" borderId="72" xfId="0" applyFont="1" applyFill="1" applyBorder="1" applyAlignment="1">
      <alignment horizontal="center"/>
    </xf>
    <xf numFmtId="0" fontId="25" fillId="16" borderId="102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80" xfId="0" applyFont="1" applyBorder="1" applyAlignment="1">
      <alignment horizontal="center" vertical="center"/>
    </xf>
    <xf numFmtId="0" fontId="25" fillId="0" borderId="80" xfId="0" applyFont="1" applyBorder="1" applyAlignment="1">
      <alignment horizontal="center" vertical="center"/>
    </xf>
    <xf numFmtId="0" fontId="24" fillId="16" borderId="102" xfId="0" applyFont="1" applyFill="1" applyBorder="1" applyAlignment="1">
      <alignment horizontal="center"/>
    </xf>
    <xf numFmtId="0" fontId="19" fillId="0" borderId="72" xfId="0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0" fontId="24" fillId="0" borderId="72" xfId="0" applyFont="1" applyBorder="1" applyAlignment="1">
      <alignment horizontal="center" vertical="center"/>
    </xf>
    <xf numFmtId="49" fontId="1" fillId="0" borderId="80" xfId="0" applyNumberFormat="1" applyFont="1" applyBorder="1" applyAlignment="1">
      <alignment horizontal="center" vertical="center"/>
    </xf>
    <xf numFmtId="1" fontId="26" fillId="0" borderId="80" xfId="0" applyNumberFormat="1" applyFont="1" applyBorder="1" applyAlignment="1">
      <alignment horizontal="right" vertical="center" wrapText="1"/>
    </xf>
    <xf numFmtId="0" fontId="24" fillId="4" borderId="29" xfId="0" quotePrefix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5" fillId="0" borderId="70" xfId="0" applyFont="1" applyBorder="1" applyAlignment="1">
      <alignment horizontal="left"/>
    </xf>
    <xf numFmtId="0" fontId="1" fillId="0" borderId="70" xfId="0" applyFont="1" applyBorder="1" applyAlignment="1">
      <alignment horizontal="left"/>
    </xf>
    <xf numFmtId="0" fontId="1" fillId="0" borderId="70" xfId="0" applyFont="1" applyBorder="1" applyAlignment="1">
      <alignment horizontal="left" wrapText="1"/>
    </xf>
    <xf numFmtId="0" fontId="25" fillId="9" borderId="70" xfId="0" applyFont="1" applyFill="1" applyBorder="1"/>
    <xf numFmtId="0" fontId="25" fillId="9" borderId="87" xfId="0" applyFont="1" applyFill="1" applyBorder="1" applyAlignment="1">
      <alignment horizontal="left"/>
    </xf>
    <xf numFmtId="0" fontId="25" fillId="9" borderId="70" xfId="0" applyFont="1" applyFill="1" applyBorder="1" applyAlignment="1">
      <alignment horizontal="left"/>
    </xf>
    <xf numFmtId="49" fontId="1" fillId="0" borderId="70" xfId="0" applyNumberFormat="1" applyFont="1" applyBorder="1" applyAlignment="1">
      <alignment horizontal="left"/>
    </xf>
    <xf numFmtId="0" fontId="25" fillId="0" borderId="51" xfId="0" applyFont="1" applyBorder="1" applyAlignment="1">
      <alignment horizontal="left"/>
    </xf>
    <xf numFmtId="14" fontId="25" fillId="0" borderId="57" xfId="0" applyNumberFormat="1" applyFont="1" applyBorder="1" applyAlignment="1">
      <alignment horizontal="center" vertical="center" wrapText="1"/>
    </xf>
    <xf numFmtId="14" fontId="29" fillId="0" borderId="1" xfId="0" applyNumberFormat="1" applyFont="1" applyBorder="1" applyAlignment="1">
      <alignment horizontal="center" vertical="center" wrapText="1"/>
    </xf>
    <xf numFmtId="14" fontId="25" fillId="0" borderId="1" xfId="0" applyNumberFormat="1" applyFont="1" applyBorder="1" applyAlignment="1">
      <alignment horizontal="center" vertical="center" wrapText="1"/>
    </xf>
    <xf numFmtId="14" fontId="25" fillId="0" borderId="54" xfId="0" applyNumberFormat="1" applyFont="1" applyBorder="1" applyAlignment="1" applyProtection="1">
      <alignment horizontal="center"/>
      <protection locked="0"/>
    </xf>
    <xf numFmtId="14" fontId="18" fillId="12" borderId="1" xfId="0" applyNumberFormat="1" applyFont="1" applyFill="1" applyBorder="1" applyAlignment="1">
      <alignment horizontal="center"/>
    </xf>
    <xf numFmtId="0" fontId="25" fillId="9" borderId="1" xfId="0" applyFont="1" applyFill="1" applyBorder="1" applyAlignment="1">
      <alignment horizontal="center"/>
    </xf>
    <xf numFmtId="0" fontId="25" fillId="9" borderId="15" xfId="0" applyFont="1" applyFill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49" fontId="1" fillId="0" borderId="7" xfId="0" applyNumberFormat="1" applyFont="1" applyBorder="1" applyAlignment="1">
      <alignment horizontal="center"/>
    </xf>
    <xf numFmtId="0" fontId="25" fillId="9" borderId="53" xfId="2" applyFont="1" applyFill="1" applyBorder="1"/>
    <xf numFmtId="14" fontId="25" fillId="9" borderId="53" xfId="0" applyNumberFormat="1" applyFont="1" applyFill="1" applyBorder="1" applyAlignment="1">
      <alignment horizontal="center" vertical="center"/>
    </xf>
    <xf numFmtId="0" fontId="25" fillId="9" borderId="53" xfId="0" applyFont="1" applyFill="1" applyBorder="1" applyAlignment="1">
      <alignment horizontal="center"/>
    </xf>
    <xf numFmtId="0" fontId="26" fillId="0" borderId="56" xfId="0" applyFont="1" applyBorder="1" applyAlignment="1">
      <alignment horizontal="left" vertical="center" wrapText="1"/>
    </xf>
    <xf numFmtId="1" fontId="26" fillId="9" borderId="73" xfId="0" applyNumberFormat="1" applyFont="1" applyFill="1" applyBorder="1" applyAlignment="1">
      <alignment horizontal="right" vertical="center" wrapText="1"/>
    </xf>
    <xf numFmtId="0" fontId="25" fillId="10" borderId="56" xfId="0" applyFont="1" applyFill="1" applyBorder="1" applyAlignment="1">
      <alignment vertical="center" wrapText="1"/>
    </xf>
    <xf numFmtId="0" fontId="26" fillId="9" borderId="73" xfId="0" applyFont="1" applyFill="1" applyBorder="1" applyAlignment="1">
      <alignment vertical="center" wrapText="1"/>
    </xf>
    <xf numFmtId="0" fontId="25" fillId="9" borderId="72" xfId="0" applyFont="1" applyFill="1" applyBorder="1" applyAlignment="1">
      <alignment horizontal="center" vertical="center"/>
    </xf>
    <xf numFmtId="0" fontId="25" fillId="9" borderId="73" xfId="0" applyFont="1" applyFill="1" applyBorder="1" applyAlignment="1">
      <alignment horizontal="center" vertical="center"/>
    </xf>
    <xf numFmtId="49" fontId="1" fillId="0" borderId="73" xfId="0" applyNumberFormat="1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25" fillId="14" borderId="72" xfId="0" applyFont="1" applyFill="1" applyBorder="1" applyAlignment="1">
      <alignment horizontal="center" vertical="center"/>
    </xf>
    <xf numFmtId="0" fontId="25" fillId="0" borderId="2" xfId="2" applyFont="1" applyBorder="1" applyAlignment="1">
      <alignment horizontal="center"/>
    </xf>
    <xf numFmtId="49" fontId="1" fillId="0" borderId="87" xfId="2" applyNumberFormat="1" applyFont="1" applyBorder="1" applyAlignment="1">
      <alignment horizontal="left"/>
    </xf>
    <xf numFmtId="49" fontId="1" fillId="0" borderId="51" xfId="2" applyNumberFormat="1" applyFont="1" applyBorder="1" applyAlignment="1">
      <alignment horizontal="left"/>
    </xf>
    <xf numFmtId="0" fontId="26" fillId="9" borderId="51" xfId="2" applyFont="1" applyFill="1" applyBorder="1" applyAlignment="1">
      <alignment horizontal="center" vertical="center" wrapText="1"/>
    </xf>
    <xf numFmtId="0" fontId="25" fillId="9" borderId="87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left" vertical="center"/>
    </xf>
    <xf numFmtId="49" fontId="1" fillId="0" borderId="87" xfId="0" applyNumberFormat="1" applyFont="1" applyBorder="1" applyAlignment="1">
      <alignment horizontal="left"/>
    </xf>
    <xf numFmtId="49" fontId="1" fillId="0" borderId="51" xfId="0" applyNumberFormat="1" applyFont="1" applyBorder="1" applyAlignment="1">
      <alignment horizontal="left"/>
    </xf>
    <xf numFmtId="0" fontId="1" fillId="0" borderId="87" xfId="2" applyFont="1" applyBorder="1" applyAlignment="1">
      <alignment horizontal="left" wrapText="1"/>
    </xf>
    <xf numFmtId="0" fontId="1" fillId="9" borderId="51" xfId="2" applyFont="1" applyFill="1" applyBorder="1" applyAlignment="1">
      <alignment horizontal="left" wrapText="1"/>
    </xf>
    <xf numFmtId="0" fontId="1" fillId="0" borderId="70" xfId="2" applyFont="1" applyBorder="1" applyAlignment="1">
      <alignment horizontal="left" wrapText="1"/>
    </xf>
    <xf numFmtId="0" fontId="25" fillId="9" borderId="70" xfId="0" applyFont="1" applyFill="1" applyBorder="1" applyAlignment="1">
      <alignment horizontal="left" vertical="center" wrapText="1"/>
    </xf>
    <xf numFmtId="0" fontId="25" fillId="9" borderId="56" xfId="0" applyFont="1" applyFill="1" applyBorder="1" applyAlignment="1">
      <alignment horizontal="left" vertical="center" wrapText="1"/>
    </xf>
    <xf numFmtId="0" fontId="1" fillId="0" borderId="70" xfId="2" applyFont="1" applyBorder="1" applyAlignment="1">
      <alignment horizontal="left"/>
    </xf>
    <xf numFmtId="0" fontId="25" fillId="0" borderId="70" xfId="2" applyFont="1" applyBorder="1"/>
    <xf numFmtId="0" fontId="25" fillId="9" borderId="70" xfId="2" applyFont="1" applyFill="1" applyBorder="1" applyAlignment="1">
      <alignment horizontal="left"/>
    </xf>
    <xf numFmtId="14" fontId="18" fillId="0" borderId="56" xfId="0" applyNumberFormat="1" applyFont="1" applyBorder="1" applyAlignment="1">
      <alignment horizontal="center"/>
    </xf>
    <xf numFmtId="0" fontId="1" fillId="0" borderId="70" xfId="0" applyFont="1" applyBorder="1"/>
    <xf numFmtId="0" fontId="25" fillId="9" borderId="80" xfId="0" applyFont="1" applyFill="1" applyBorder="1" applyAlignment="1">
      <alignment horizontal="center" vertical="center"/>
    </xf>
    <xf numFmtId="0" fontId="25" fillId="9" borderId="57" xfId="0" applyFont="1" applyFill="1" applyBorder="1" applyAlignment="1">
      <alignment vertical="center"/>
    </xf>
    <xf numFmtId="0" fontId="25" fillId="9" borderId="55" xfId="0" applyFont="1" applyFill="1" applyBorder="1" applyAlignment="1">
      <alignment vertical="center"/>
    </xf>
    <xf numFmtId="0" fontId="25" fillId="0" borderId="16" xfId="0" applyFont="1" applyBorder="1" applyAlignment="1">
      <alignment horizontal="center" vertical="center"/>
    </xf>
    <xf numFmtId="0" fontId="1" fillId="0" borderId="57" xfId="0" applyFont="1" applyBorder="1" applyAlignment="1">
      <alignment horizontal="left" vertical="center"/>
    </xf>
    <xf numFmtId="0" fontId="1" fillId="0" borderId="55" xfId="0" applyFont="1" applyBorder="1" applyAlignment="1">
      <alignment horizontal="left" vertical="center"/>
    </xf>
    <xf numFmtId="14" fontId="25" fillId="0" borderId="57" xfId="0" applyNumberFormat="1" applyFont="1" applyBorder="1" applyAlignment="1" applyProtection="1">
      <alignment horizontal="center" vertical="center"/>
      <protection locked="0"/>
    </xf>
    <xf numFmtId="0" fontId="1" fillId="0" borderId="16" xfId="0" applyFont="1" applyBorder="1" applyAlignment="1">
      <alignment horizontal="center" vertical="center"/>
    </xf>
    <xf numFmtId="0" fontId="1" fillId="0" borderId="57" xfId="0" applyFont="1" applyBorder="1" applyAlignment="1">
      <alignment horizontal="left" vertical="center" wrapText="1"/>
    </xf>
    <xf numFmtId="0" fontId="1" fillId="0" borderId="55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57" xfId="2" applyFont="1" applyBorder="1" applyAlignment="1">
      <alignment horizontal="left" wrapText="1"/>
    </xf>
    <xf numFmtId="0" fontId="1" fillId="0" borderId="55" xfId="2" applyFont="1" applyBorder="1" applyAlignment="1">
      <alignment horizontal="left" wrapText="1"/>
    </xf>
    <xf numFmtId="0" fontId="1" fillId="9" borderId="55" xfId="0" applyFont="1" applyFill="1" applyBorder="1" applyAlignment="1">
      <alignment horizontal="left" vertical="center" wrapText="1"/>
    </xf>
    <xf numFmtId="0" fontId="1" fillId="0" borderId="1" xfId="2" applyFont="1" applyBorder="1" applyAlignment="1">
      <alignment horizontal="left" wrapText="1"/>
    </xf>
    <xf numFmtId="0" fontId="26" fillId="9" borderId="1" xfId="2" applyFont="1" applyFill="1" applyBorder="1" applyAlignment="1">
      <alignment horizontal="center" vertical="center" wrapText="1"/>
    </xf>
    <xf numFmtId="0" fontId="25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5" fillId="9" borderId="15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14" fontId="25" fillId="0" borderId="1" xfId="0" applyNumberFormat="1" applyFont="1" applyBorder="1" applyAlignment="1" applyProtection="1">
      <alignment horizontal="center" vertical="center"/>
      <protection locked="0"/>
    </xf>
    <xf numFmtId="49" fontId="1" fillId="0" borderId="15" xfId="0" applyNumberFormat="1" applyFont="1" applyBorder="1" applyAlignment="1">
      <alignment horizontal="center" vertical="center"/>
    </xf>
    <xf numFmtId="49" fontId="1" fillId="0" borderId="1" xfId="2" applyNumberFormat="1" applyFont="1" applyBorder="1" applyAlignment="1">
      <alignment horizontal="left"/>
    </xf>
    <xf numFmtId="0" fontId="25" fillId="0" borderId="1" xfId="2" applyFon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25" fillId="0" borderId="1" xfId="2" applyFont="1" applyBorder="1"/>
    <xf numFmtId="0" fontId="25" fillId="9" borderId="1" xfId="0" applyFont="1" applyFill="1" applyBorder="1" applyAlignment="1">
      <alignment vertical="center"/>
    </xf>
    <xf numFmtId="0" fontId="25" fillId="0" borderId="15" xfId="0" applyFont="1" applyBorder="1" applyAlignment="1">
      <alignment horizontal="center" vertical="center"/>
    </xf>
    <xf numFmtId="0" fontId="1" fillId="0" borderId="1" xfId="2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14" fontId="29" fillId="9" borderId="1" xfId="0" applyNumberFormat="1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80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14" fontId="26" fillId="0" borderId="1" xfId="0" applyNumberFormat="1" applyFont="1" applyBorder="1" applyAlignment="1">
      <alignment horizontal="center" vertical="center" wrapText="1"/>
    </xf>
    <xf numFmtId="1" fontId="26" fillId="9" borderId="80" xfId="0" applyNumberFormat="1" applyFont="1" applyFill="1" applyBorder="1" applyAlignment="1">
      <alignment horizontal="right" vertical="center" wrapText="1"/>
    </xf>
    <xf numFmtId="14" fontId="1" fillId="0" borderId="1" xfId="0" applyNumberFormat="1" applyFont="1" applyBorder="1" applyAlignment="1">
      <alignment horizontal="center" vertical="center"/>
    </xf>
    <xf numFmtId="164" fontId="1" fillId="0" borderId="56" xfId="0" applyNumberFormat="1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49" fontId="1" fillId="0" borderId="47" xfId="0" applyNumberFormat="1" applyFont="1" applyBorder="1" applyAlignment="1">
      <alignment horizontal="left" vertical="center"/>
    </xf>
    <xf numFmtId="49" fontId="1" fillId="0" borderId="26" xfId="0" applyNumberFormat="1" applyFont="1" applyBorder="1" applyAlignment="1">
      <alignment horizontal="left" vertical="center"/>
    </xf>
    <xf numFmtId="0" fontId="26" fillId="9" borderId="26" xfId="0" applyFont="1" applyFill="1" applyBorder="1" applyAlignment="1">
      <alignment horizontal="center" vertical="center" wrapText="1"/>
    </xf>
    <xf numFmtId="14" fontId="25" fillId="0" borderId="26" xfId="0" applyNumberFormat="1" applyFont="1" applyBorder="1" applyAlignment="1" applyProtection="1">
      <alignment horizontal="center" vertical="center"/>
      <protection locked="0"/>
    </xf>
    <xf numFmtId="49" fontId="1" fillId="0" borderId="16" xfId="0" applyNumberFormat="1" applyFont="1" applyBorder="1" applyAlignment="1">
      <alignment horizontal="center" vertical="center"/>
    </xf>
    <xf numFmtId="0" fontId="25" fillId="0" borderId="85" xfId="0" applyFont="1" applyBorder="1"/>
    <xf numFmtId="0" fontId="25" fillId="15" borderId="72" xfId="2" applyFont="1" applyFill="1" applyBorder="1" applyAlignment="1">
      <alignment horizontal="center"/>
    </xf>
    <xf numFmtId="49" fontId="1" fillId="15" borderId="73" xfId="0" applyNumberFormat="1" applyFont="1" applyFill="1" applyBorder="1" applyAlignment="1">
      <alignment horizontal="center"/>
    </xf>
    <xf numFmtId="0" fontId="24" fillId="15" borderId="72" xfId="0" applyFont="1" applyFill="1" applyBorder="1" applyAlignment="1">
      <alignment horizontal="center"/>
    </xf>
    <xf numFmtId="0" fontId="25" fillId="15" borderId="72" xfId="0" applyFont="1" applyFill="1" applyBorder="1" applyAlignment="1">
      <alignment horizontal="center" vertical="center"/>
    </xf>
    <xf numFmtId="0" fontId="0" fillId="0" borderId="56" xfId="0" applyBorder="1"/>
    <xf numFmtId="0" fontId="25" fillId="15" borderId="73" xfId="0" applyFont="1" applyFill="1" applyBorder="1" applyAlignment="1">
      <alignment horizontal="center"/>
    </xf>
    <xf numFmtId="0" fontId="1" fillId="15" borderId="72" xfId="0" applyFont="1" applyFill="1" applyBorder="1" applyAlignment="1">
      <alignment horizontal="center" vertical="center"/>
    </xf>
    <xf numFmtId="0" fontId="1" fillId="15" borderId="72" xfId="0" applyFont="1" applyFill="1" applyBorder="1" applyAlignment="1">
      <alignment horizontal="center"/>
    </xf>
    <xf numFmtId="0" fontId="25" fillId="17" borderId="80" xfId="0" applyFont="1" applyFill="1" applyBorder="1" applyAlignment="1">
      <alignment horizontal="center"/>
    </xf>
    <xf numFmtId="0" fontId="25" fillId="15" borderId="80" xfId="0" applyFont="1" applyFill="1" applyBorder="1" applyAlignment="1">
      <alignment horizontal="center"/>
    </xf>
    <xf numFmtId="0" fontId="2" fillId="4" borderId="42" xfId="0" applyFont="1" applyFill="1" applyBorder="1" applyAlignment="1">
      <alignment horizontal="center"/>
    </xf>
    <xf numFmtId="0" fontId="2" fillId="4" borderId="40" xfId="0" applyFont="1" applyFill="1" applyBorder="1" applyAlignment="1">
      <alignment horizontal="center"/>
    </xf>
    <xf numFmtId="15" fontId="0" fillId="0" borderId="18" xfId="0" quotePrefix="1" applyNumberFormat="1" applyBorder="1"/>
    <xf numFmtId="0" fontId="0" fillId="0" borderId="4" xfId="0" applyBorder="1"/>
    <xf numFmtId="15" fontId="0" fillId="0" borderId="46" xfId="0" applyNumberFormat="1" applyBorder="1"/>
    <xf numFmtId="0" fontId="4" fillId="3" borderId="0" xfId="0" quotePrefix="1" applyFont="1" applyFill="1"/>
    <xf numFmtId="0" fontId="0" fillId="0" borderId="0" xfId="0"/>
    <xf numFmtId="0" fontId="4" fillId="3" borderId="0" xfId="0" applyFont="1" applyFill="1"/>
    <xf numFmtId="0" fontId="4" fillId="2" borderId="0" xfId="0" applyFont="1" applyFill="1"/>
    <xf numFmtId="0" fontId="0" fillId="0" borderId="41" xfId="0" applyBorder="1" applyAlignment="1">
      <alignment horizontal="center"/>
    </xf>
    <xf numFmtId="0" fontId="0" fillId="0" borderId="40" xfId="0" applyBorder="1" applyAlignment="1">
      <alignment horizontal="center"/>
    </xf>
    <xf numFmtId="15" fontId="0" fillId="0" borderId="20" xfId="0" quotePrefix="1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6">
    <cellStyle name="Excel Built-in Normal" xfId="1" xr:uid="{00000000-0005-0000-0000-000000000000}"/>
    <cellStyle name="Excel Built-in Normal 2" xfId="5" xr:uid="{3463ECC8-82F8-47B3-A422-B046C7DB45FA}"/>
    <cellStyle name="Normal" xfId="0" builtinId="0"/>
    <cellStyle name="Normal 2" xfId="3" xr:uid="{077C81D5-150A-4ECA-A278-686454122752}"/>
    <cellStyle name="Normal 3" xfId="4" xr:uid="{47071410-3744-424F-895A-3527DFAE12D9}"/>
    <cellStyle name="Normal 4" xfId="2" xr:uid="{C86E9180-2EA4-407B-979F-663497897128}"/>
  </cellStyles>
  <dxfs count="449"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sz val="11"/>
        <color rgb="FF339933"/>
        <name val="Aptos Narrow"/>
        <family val="2"/>
        <charset val="1"/>
      </font>
    </dxf>
    <dxf>
      <font>
        <b/>
        <sz val="11"/>
        <color rgb="FF339933"/>
        <name val="Aptos Narrow"/>
        <family val="2"/>
        <charset val="1"/>
      </font>
    </dxf>
    <dxf>
      <font>
        <b/>
        <sz val="11"/>
        <color rgb="FF339933"/>
        <name val="Aptos Narrow"/>
        <family val="2"/>
        <charset val="1"/>
      </font>
    </dxf>
    <dxf>
      <font>
        <b/>
        <sz val="11"/>
        <color rgb="FFFF0000"/>
        <name val="Aptos Narrow"/>
        <family val="2"/>
        <charset val="1"/>
      </font>
    </dxf>
    <dxf>
      <font>
        <b/>
        <sz val="11"/>
        <color rgb="FF339933"/>
        <name val="Aptos Narrow"/>
        <family val="2"/>
        <charset val="1"/>
      </font>
    </dxf>
    <dxf>
      <font>
        <b/>
      </font>
      <fill>
        <patternFill>
          <bgColor rgb="FFFFFF99"/>
        </patternFill>
      </fill>
    </dxf>
    <dxf>
      <font>
        <sz val="11"/>
        <color rgb="FF9C0006"/>
        <name val="Aptos Narrow"/>
        <family val="2"/>
        <charset val="1"/>
      </font>
      <fill>
        <patternFill>
          <bgColor rgb="FFFFC7CE"/>
        </patternFill>
      </fill>
    </dxf>
    <dxf>
      <font>
        <sz val="11"/>
        <color rgb="FF9C0006"/>
        <name val="Aptos Narrow"/>
        <family val="2"/>
        <charset val="1"/>
      </font>
      <fill>
        <patternFill>
          <bgColor rgb="FFFFC7CE"/>
        </patternFill>
      </fill>
    </dxf>
    <dxf>
      <font>
        <sz val="12"/>
        <color rgb="FF000000"/>
        <name val="Times New Roman"/>
        <family val="1"/>
        <charset val="1"/>
      </font>
    </dxf>
    <dxf>
      <font>
        <sz val="11"/>
        <color rgb="FF9C0006"/>
        <name val="Aptos Narrow"/>
        <family val="2"/>
        <charset val="1"/>
      </font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FF"/>
        </patternFill>
      </fill>
    </dxf>
    <dxf>
      <font>
        <b/>
      </font>
      <fill>
        <patternFill>
          <bgColor rgb="FFFFFFFF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FF"/>
        </patternFill>
      </fill>
    </dxf>
    <dxf>
      <font>
        <b/>
      </font>
      <fill>
        <patternFill>
          <bgColor rgb="FFFFFFFF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</font>
      <fill>
        <patternFill>
          <bgColor rgb="FFFFFF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sz val="11"/>
        <color rgb="FF339933"/>
        <name val="Aptos Narrow"/>
        <family val="2"/>
        <charset val="1"/>
      </font>
    </dxf>
    <dxf>
      <font>
        <b/>
        <sz val="11"/>
        <color rgb="FF339933"/>
        <name val="Aptos Narrow"/>
        <family val="2"/>
        <charset val="1"/>
      </font>
    </dxf>
    <dxf>
      <font>
        <b/>
        <sz val="11"/>
        <color rgb="FFFF0000"/>
        <name val="Aptos Narrow"/>
        <family val="2"/>
        <charset val="1"/>
      </font>
    </dxf>
    <dxf>
      <font>
        <b/>
        <sz val="11"/>
        <color rgb="FF339933"/>
        <name val="Aptos Narrow"/>
        <family val="2"/>
        <charset val="1"/>
      </font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</font>
      <fill>
        <patternFill>
          <bgColor rgb="FFFFFF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FF"/>
        </patternFill>
      </fill>
    </dxf>
    <dxf>
      <font>
        <b/>
      </font>
      <fill>
        <patternFill>
          <bgColor rgb="FFFFFFFF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FF"/>
        </patternFill>
      </fill>
    </dxf>
    <dxf>
      <font>
        <b/>
      </font>
      <fill>
        <patternFill>
          <bgColor rgb="FFFFFFFF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FF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FF"/>
        </patternFill>
      </fill>
    </dxf>
    <dxf>
      <font>
        <b/>
      </font>
      <fill>
        <patternFill>
          <bgColor rgb="FFFFFFFF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FF"/>
        </patternFill>
      </fill>
    </dxf>
    <dxf>
      <font>
        <b/>
      </font>
      <fill>
        <patternFill>
          <bgColor rgb="FFFFFFFF"/>
        </patternFill>
      </fill>
    </dxf>
    <dxf>
      <font>
        <b/>
      </font>
      <fill>
        <patternFill>
          <bgColor rgb="FFFFFFFF"/>
        </patternFill>
      </fill>
    </dxf>
    <dxf>
      <font>
        <b/>
      </font>
      <fill>
        <patternFill>
          <bgColor rgb="FFFFFFFF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  <sz val="11"/>
        <color rgb="FF339933"/>
        <name val="Aptos Narrow"/>
        <family val="2"/>
        <charset val="1"/>
      </font>
    </dxf>
    <dxf>
      <font>
        <b/>
        <sz val="11"/>
        <color rgb="FFFF0000"/>
        <name val="Aptos Narrow"/>
        <family val="2"/>
        <charset val="1"/>
      </font>
    </dxf>
    <dxf>
      <font>
        <b/>
        <sz val="11"/>
        <color rgb="FF339933"/>
        <name val="Aptos Narrow"/>
        <family val="2"/>
        <charset val="1"/>
      </font>
    </dxf>
    <dxf>
      <font>
        <b/>
        <sz val="11"/>
        <color rgb="FFFF0000"/>
        <name val="Aptos Narrow"/>
        <family val="2"/>
        <charset val="1"/>
      </font>
    </dxf>
    <dxf>
      <font>
        <b/>
        <sz val="11"/>
        <color rgb="FF339933"/>
        <name val="Aptos Narrow"/>
        <family val="2"/>
        <charset val="1"/>
      </font>
    </dxf>
    <dxf>
      <font>
        <b/>
      </font>
      <fill>
        <patternFill>
          <bgColor rgb="FFFFFF99"/>
        </patternFill>
      </fill>
    </dxf>
    <dxf>
      <font>
        <sz val="11"/>
        <color rgb="FF9C0006"/>
        <name val="Aptos Narrow"/>
        <family val="2"/>
        <charset val="1"/>
      </font>
      <fill>
        <patternFill>
          <bgColor rgb="FFFFC7CE"/>
        </patternFill>
      </fill>
    </dxf>
    <dxf>
      <font>
        <sz val="12"/>
        <color rgb="FF000000"/>
        <name val="Times New Roman"/>
        <family val="1"/>
        <charset val="1"/>
      </font>
    </dxf>
    <dxf>
      <font>
        <sz val="11"/>
        <color rgb="FF9C0006"/>
        <name val="Aptos Narrow"/>
        <family val="2"/>
        <charset val="1"/>
      </font>
      <fill>
        <patternFill>
          <bgColor rgb="FFFFC7CE"/>
        </patternFill>
      </fill>
    </dxf>
    <dxf>
      <font>
        <sz val="11"/>
        <color rgb="FF9C0006"/>
        <name val="Aptos Narrow"/>
        <family val="2"/>
        <charset val="1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</font>
    </dxf>
    <dxf>
      <fill>
        <patternFill patternType="none">
          <bgColor auto="1"/>
        </patternFill>
      </fill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/>
      </fill>
    </dxf>
    <dxf>
      <fill>
        <patternFill patternType="solid">
          <bgColor indexed="13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indexed="65"/>
        </patternFill>
      </fill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indexed="65"/>
        </patternFill>
      </fill>
    </dxf>
    <dxf>
      <border>
        <left style="medium">
          <color indexed="64"/>
        </left>
        <top style="medium">
          <color indexed="64"/>
        </top>
      </border>
    </dxf>
    <dxf>
      <border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indexed="6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border>
        <left/>
        <right/>
        <bottom/>
      </border>
    </dxf>
    <dxf>
      <border>
        <left style="medium">
          <color indexed="64"/>
        </left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indexed="6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indexed="65"/>
        </patternFill>
      </fill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/>
      </fill>
    </dxf>
    <dxf>
      <fill>
        <patternFill patternType="solid">
          <bgColor indexed="13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pivotCacheDefinition" Target="pivotCache/pivotCacheDefinition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11206</xdr:colOff>
      <xdr:row>0</xdr:row>
      <xdr:rowOff>0</xdr:rowOff>
    </xdr:from>
    <xdr:to>
      <xdr:col>16</xdr:col>
      <xdr:colOff>23620</xdr:colOff>
      <xdr:row>2</xdr:row>
      <xdr:rowOff>12965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11353" y="0"/>
          <a:ext cx="628738" cy="5620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470648</xdr:colOff>
      <xdr:row>0</xdr:row>
      <xdr:rowOff>0</xdr:rowOff>
    </xdr:from>
    <xdr:to>
      <xdr:col>15</xdr:col>
      <xdr:colOff>617533</xdr:colOff>
      <xdr:row>2</xdr:row>
      <xdr:rowOff>12965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04413" y="0"/>
          <a:ext cx="628738" cy="5620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0</xdr:row>
      <xdr:rowOff>0</xdr:rowOff>
    </xdr:from>
    <xdr:to>
      <xdr:col>16</xdr:col>
      <xdr:colOff>12415</xdr:colOff>
      <xdr:row>2</xdr:row>
      <xdr:rowOff>12965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0" y="0"/>
          <a:ext cx="628738" cy="56205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11206</xdr:colOff>
      <xdr:row>0</xdr:row>
      <xdr:rowOff>0</xdr:rowOff>
    </xdr:from>
    <xdr:to>
      <xdr:col>15</xdr:col>
      <xdr:colOff>639944</xdr:colOff>
      <xdr:row>2</xdr:row>
      <xdr:rowOff>12965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09530" y="0"/>
          <a:ext cx="628738" cy="56205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371475</xdr:colOff>
      <xdr:row>0</xdr:row>
      <xdr:rowOff>0</xdr:rowOff>
    </xdr:from>
    <xdr:to>
      <xdr:col>16</xdr:col>
      <xdr:colOff>9612</xdr:colOff>
      <xdr:row>2</xdr:row>
      <xdr:rowOff>9603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43800" y="0"/>
          <a:ext cx="628738" cy="56205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114300</xdr:colOff>
      <xdr:row>0</xdr:row>
      <xdr:rowOff>0</xdr:rowOff>
    </xdr:from>
    <xdr:to>
      <xdr:col>12</xdr:col>
      <xdr:colOff>743038</xdr:colOff>
      <xdr:row>1</xdr:row>
      <xdr:rowOff>333453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15300" y="0"/>
          <a:ext cx="628738" cy="56205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114300</xdr:colOff>
      <xdr:row>0</xdr:row>
      <xdr:rowOff>0</xdr:rowOff>
    </xdr:from>
    <xdr:to>
      <xdr:col>26</xdr:col>
      <xdr:colOff>743038</xdr:colOff>
      <xdr:row>2</xdr:row>
      <xdr:rowOff>3253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5000" y="0"/>
          <a:ext cx="628738" cy="56205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c-de-manon\DONN&#201;ES%20(D)\DOCUME~1\Bourdic\LOCALS~1\Temp\JoueursLesUlis06-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2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phieRoinnel" refreshedDate="46041.660816550924" createdVersion="3" refreshedVersion="8" recordCount="1899" xr:uid="{00000000-000A-0000-FFFF-FFFF0E000000}">
  <cacheSource type="consolidation">
    <consolidation>
      <pages count="1">
        <page count="3">
          <pageItem name="Élément1"/>
          <pageItem name="Élément2"/>
          <pageItem name="Élément3"/>
        </page>
      </pages>
      <rangeSets count="1">
        <rangeSet i1="1" ref="F7:O218" sheet="Benjamins"/>
      </rangeSets>
    </consolidation>
  </cacheSource>
  <cacheFields count="4">
    <cacheField name="Ligne" numFmtId="0">
      <sharedItems containsBlank="1" count="16">
        <s v="API"/>
        <s v="CC2"/>
        <s v="USP"/>
        <s v="COU"/>
        <s v="CAO"/>
        <s v="VAU"/>
        <s v="ASV"/>
        <s v="USBY"/>
        <s v="TTJ-BUC"/>
        <s v="COS"/>
        <s v="ASM"/>
        <m/>
        <s v="JOUY" u="1"/>
        <s v="BUC" u="1"/>
        <s v="ORS" u="1"/>
        <s v="VER" u="1"/>
      </sharedItems>
    </cacheField>
    <cacheField name="Colonne" numFmtId="0">
      <sharedItems containsBlank="1" count="12">
        <s v="Class."/>
        <s v="Pr. T1"/>
        <s v="Points T1"/>
        <s v="Pr. T2"/>
        <s v="Points T2"/>
        <s v="Pr. T3"/>
        <s v="Points T3"/>
        <s v="Pr. T4"/>
        <s v="Points T4"/>
        <m u="1"/>
        <s v="x" u="1"/>
        <s v="Pr." u="1"/>
      </sharedItems>
    </cacheField>
    <cacheField name="Valeur" numFmtId="0">
      <sharedItems containsBlank="1" containsMixedTypes="1" containsNumber="1" containsInteger="1" minValue="1" maxValue="678"/>
    </cacheField>
    <cacheField name="Page1" numFmtId="0">
      <sharedItems count="1">
        <s v="Élément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phieRoinnel" refreshedDate="46041.66086087963" createdVersion="3" refreshedVersion="8" recordCount="1494" xr:uid="{00000000-000A-0000-FFFF-FFFF13000000}">
  <cacheSource type="consolidation">
    <consolidation>
      <pages count="1">
        <page count="3">
          <pageItem name="Élément1"/>
          <pageItem name="Élément2"/>
          <pageItem name="Élément3"/>
        </page>
      </pages>
      <rangeSets count="1">
        <rangeSet i1="2" ref="F7:O173" sheet="Minimes"/>
      </rangeSets>
    </consolidation>
  </cacheSource>
  <cacheFields count="4">
    <cacheField name="Ligne" numFmtId="0">
      <sharedItems containsBlank="1" count="17">
        <s v="USP"/>
        <s v="API"/>
        <s v="USBY"/>
        <s v="TTJ-BUC"/>
        <s v="CAO"/>
        <s v="VAU"/>
        <s v="CC2"/>
        <s v="ASV"/>
        <s v="COU"/>
        <s v="ASM"/>
        <s v="COS"/>
        <m/>
        <s v="BUC" u="1"/>
        <s v="JOUY" u="1"/>
        <s v="ORSAY" u="1"/>
        <s v="ORS" u="1"/>
        <s v="VER" u="1"/>
      </sharedItems>
    </cacheField>
    <cacheField name="Colonne" numFmtId="0">
      <sharedItems containsBlank="1" count="12">
        <s v="Class."/>
        <s v="Pr. T1"/>
        <s v="Points T1"/>
        <s v="Pr. T2"/>
        <s v="Points T2"/>
        <s v="Pr. T3"/>
        <s v="Points T3"/>
        <s v="Pr. T4"/>
        <s v="Points T4"/>
        <s v="Clas." u="1"/>
        <m u="1"/>
        <s v="Pr." u="1"/>
      </sharedItems>
    </cacheField>
    <cacheField name="Valeur" numFmtId="0">
      <sharedItems containsBlank="1" containsMixedTypes="1" containsNumber="1" containsInteger="1" minValue="1" maxValue="1456"/>
    </cacheField>
    <cacheField name="Page1" numFmtId="0">
      <sharedItems count="1">
        <s v="Élément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phieRoinnel" refreshedDate="46041.660906365738" createdVersion="3" refreshedVersion="8" recordCount="459" xr:uid="{00000000-000A-0000-FFFF-FFFF0D000000}">
  <cacheSource type="consolidation">
    <consolidation>
      <pages count="1">
        <page count="5">
          <pageItem name="Élément1"/>
          <pageItem name="Élément2"/>
          <pageItem name="Élément3"/>
          <pageItem name="Élément4"/>
          <pageItem name="Élément5"/>
        </page>
      </pages>
      <rangeSets count="1">
        <rangeSet i1="3" ref="F7:O58" sheet="Feminines"/>
      </rangeSets>
    </consolidation>
  </cacheSource>
  <cacheFields count="4">
    <cacheField name="Ligne" numFmtId="0">
      <sharedItems containsBlank="1" count="17">
        <s v="ASM"/>
        <s v="USP"/>
        <s v="API"/>
        <s v="CC2"/>
        <s v="ASV"/>
        <s v="COS"/>
        <s v="CAO"/>
        <s v="TTJ-BUC"/>
        <s v="COU"/>
        <s v="VAU"/>
        <s v="USBY"/>
        <m u="1"/>
        <s v="JOUY" u="1"/>
        <s v="BUC" u="1"/>
        <s v="ORSAY" u="1"/>
        <s v="ORS" u="1"/>
        <s v="VER" u="1"/>
      </sharedItems>
    </cacheField>
    <cacheField name="Colonne" numFmtId="0">
      <sharedItems containsBlank="1" count="13">
        <s v="Class."/>
        <s v="Pr. T1"/>
        <s v="Points T1"/>
        <s v="Pr. T2"/>
        <s v="Points T2"/>
        <s v="Pr. T3"/>
        <s v="Points T3"/>
        <s v="Pr. T4"/>
        <s v="Points T4"/>
        <s v="Clas." u="1"/>
        <m u="1"/>
        <s v="Pr" u="1"/>
        <s v="Pr." u="1"/>
      </sharedItems>
    </cacheField>
    <cacheField name="Valeur" numFmtId="0">
      <sharedItems containsBlank="1" containsMixedTypes="1" containsNumber="1" containsInteger="1" minValue="2" maxValue="737" count="14">
        <m/>
        <n v="500"/>
        <s v="x"/>
        <n v="9"/>
        <n v="7"/>
        <n v="6"/>
        <n v="5"/>
        <n v="3"/>
        <n v="2"/>
        <s v="500"/>
        <n v="678"/>
        <n v="575"/>
        <n v="737"/>
        <n v="697"/>
      </sharedItems>
    </cacheField>
    <cacheField name="Page1" numFmtId="0">
      <sharedItems count="1">
        <s v="Élément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phieRoinnel" refreshedDate="46041.660948032404" createdVersion="3" refreshedVersion="8" recordCount="1152" xr:uid="{00000000-000A-0000-FFFF-FFFF12000000}">
  <cacheSource type="consolidation">
    <consolidation>
      <pages count="1">
        <page count="6">
          <pageItem name="Élément1"/>
          <pageItem name="Élément2"/>
          <pageItem name="Élément3"/>
          <pageItem name="Élément4"/>
          <pageItem name="Élément5"/>
          <pageItem name="Élément6"/>
        </page>
      </pages>
      <rangeSets count="1">
        <rangeSet i1="5" ref="F7:O135" sheet="Cadets-Juniors"/>
      </rangeSets>
    </consolidation>
  </cacheSource>
  <cacheFields count="4">
    <cacheField name="Ligne" numFmtId="0">
      <sharedItems containsBlank="1" count="19">
        <s v="ASM"/>
        <s v="API"/>
        <s v="ASV"/>
        <s v="CAO"/>
        <s v="CC2"/>
        <s v="COS"/>
        <s v="COU"/>
        <s v="TTJ-BUC"/>
        <s v="USBY"/>
        <s v="USP"/>
        <s v="VAU"/>
        <m/>
        <s v="JOUY" u="1"/>
        <s v="BUC" u="1"/>
        <s v="NB DE PARTICIPANTS" u="1"/>
        <s v="ORSAY" u="1"/>
        <s v="ORS" u="1"/>
        <s v="VER" u="1"/>
        <s v="Club" u="1"/>
      </sharedItems>
    </cacheField>
    <cacheField name="Colonne" numFmtId="0">
      <sharedItems containsBlank="1" count="16">
        <s v="Class."/>
        <s v="Pr. T1"/>
        <s v="Points T1"/>
        <s v="Pr. T2"/>
        <s v="Points T2"/>
        <s v="Pr. T3"/>
        <s v="Points T3"/>
        <s v="Pr. T4"/>
        <s v="Points T4"/>
        <s v="Clas." u="1"/>
        <m u="1"/>
        <s v="Tour 3" u="1"/>
        <s v="Tour 4" u="1"/>
        <s v=" Tour 1" u="1"/>
        <s v=" Tour 2" u="1"/>
        <s v="Pr." u="1"/>
      </sharedItems>
    </cacheField>
    <cacheField name="Valeur" numFmtId="0">
      <sharedItems containsBlank="1" containsMixedTypes="1" containsNumber="1" containsInteger="1" minValue="1" maxValue="1146"/>
    </cacheField>
    <cacheField name="Page1" numFmtId="0">
      <sharedItems count="1">
        <s v="Élément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phieRoinnel" refreshedDate="46041.661162962962" createdVersion="3" refreshedVersion="8" minRefreshableVersion="3" recordCount="1060" xr:uid="{00000000-000A-0000-FFFF-FFFF0F000000}">
  <cacheSource type="consolidation">
    <consolidation>
      <pages count="1">
        <page count="1">
          <pageItem name="Élément1"/>
        </page>
      </pages>
      <rangeSets count="1">
        <rangeSet i1="0" ref="F7:P116" sheet="Poussins"/>
      </rangeSets>
    </consolidation>
  </cacheSource>
  <cacheFields count="4">
    <cacheField name="Ligne" numFmtId="0">
      <sharedItems containsBlank="1" count="14">
        <s v="TTJ-BUC"/>
        <s v="CAO"/>
        <s v="USP"/>
        <s v="API"/>
        <s v="ASV"/>
        <s v="COU"/>
        <s v="USBY"/>
        <s v="CC2"/>
        <s v="COS"/>
        <s v="VAU"/>
        <s v="ASM"/>
        <m/>
        <s v="JOUY" u="1"/>
        <s v="BUC" u="1"/>
      </sharedItems>
    </cacheField>
    <cacheField name="Colonne" numFmtId="0">
      <sharedItems count="12">
        <s v="Class."/>
        <s v="Pr. T1"/>
        <s v="Points T1"/>
        <s v="Pr. T2"/>
        <s v="Points T2"/>
        <s v="Pr. T3"/>
        <s v="Points T3"/>
        <s v="Pr. T4"/>
        <s v="Points T4"/>
        <s v="TOTAL"/>
        <s v="x" u="1"/>
        <s v="Pr." u="1"/>
      </sharedItems>
    </cacheField>
    <cacheField name="Valeur" numFmtId="0">
      <sharedItems containsBlank="1" containsMixedTypes="1" containsNumber="1" containsInteger="1" minValue="0" maxValue="508" count="22">
        <n v="500"/>
        <s v="x"/>
        <n v="11"/>
        <n v="7"/>
        <m/>
        <n v="18"/>
        <n v="503"/>
        <n v="9"/>
        <n v="508"/>
        <n v="8"/>
        <n v="6"/>
        <n v="14"/>
        <n v="501"/>
        <n v="5"/>
        <n v="13"/>
        <n v="12"/>
        <n v="4"/>
        <n v="3"/>
        <n v="2"/>
        <n v="1"/>
        <s v="500"/>
        <n v="0"/>
      </sharedItems>
    </cacheField>
    <cacheField name="Page1" numFmtId="0">
      <sharedItems count="1">
        <s v="Élément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phieRoinnel" refreshedDate="46041.661255787039" createdVersion="3" refreshedVersion="8" recordCount="2140" xr:uid="{00000000-000A-0000-FFFF-FFFF0A000000}">
  <cacheSource type="consolidation">
    <consolidation>
      <pages count="1">
        <page count="3">
          <pageItem name="Élément1"/>
          <pageItem name="Élément2"/>
          <pageItem name="Élément3"/>
        </page>
      </pages>
      <rangeSets count="1">
        <rangeSet i1="2" ref="F4:P218" sheet="Benjamins"/>
      </rangeSets>
    </consolidation>
  </cacheSource>
  <cacheFields count="4">
    <cacheField name="Ligne" numFmtId="0">
      <sharedItems containsBlank="1" count="17">
        <m/>
        <s v="Club"/>
        <s v="API"/>
        <s v="CC2"/>
        <s v="USP"/>
        <s v="COU"/>
        <s v="CAO"/>
        <s v="VAU"/>
        <s v="ASV"/>
        <s v="USBY"/>
        <s v="TTJ-BUC"/>
        <s v="COS"/>
        <s v="ASM"/>
        <s v="JOUY" u="1"/>
        <s v="BUC" u="1"/>
        <s v="ORS" u="1"/>
        <s v="VER" u="1"/>
      </sharedItems>
    </cacheField>
    <cacheField name="Colonne" numFmtId="0">
      <sharedItems containsBlank="1" count="16">
        <m/>
        <s v=" Tour 1"/>
        <s v=" Tour 2"/>
        <s v="Tour 3"/>
        <s v="Tour 4"/>
        <s v="Points T1" u="1"/>
        <s v="Points T4" u="1"/>
        <s v="3ème Tour" u="1"/>
        <s v="Points T3" u="1"/>
        <s v="4ème Tour" u="1"/>
        <s v="2nd Tour" u="1"/>
        <s v="Points T2" u="1"/>
        <s v="Class." u="1"/>
        <s v="Pr." u="1"/>
        <s v="1er Tour" u="1"/>
        <s v="TOTAL" u="1"/>
      </sharedItems>
    </cacheField>
    <cacheField name="Valeur" numFmtId="0">
      <sharedItems containsDate="1" containsBlank="1" containsMixedTypes="1" minDate="1899-12-31T00:00:00" maxDate="1900-01-02T02:14:04"/>
    </cacheField>
    <cacheField name="Page1" numFmtId="0">
      <sharedItems count="1">
        <s v="Élément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phieRoinnel" refreshedDate="46041.661301736109" createdVersion="3" refreshedVersion="8" recordCount="486" xr:uid="{00000000-000A-0000-FFFF-FFFF0B000000}">
  <cacheSource type="consolidation">
    <consolidation>
      <pages count="1">
        <page count="1">
          <pageItem name="Élément1"/>
        </page>
      </pages>
      <rangeSets count="1">
        <rangeSet i1="0" ref="F4:O58" sheet="Feminines"/>
      </rangeSets>
    </consolidation>
  </cacheSource>
  <cacheFields count="4">
    <cacheField name="Ligne" numFmtId="0">
      <sharedItems containsBlank="1" count="17">
        <m/>
        <s v="Club"/>
        <s v="ASM"/>
        <s v="USP"/>
        <s v="API"/>
        <s v="CC2"/>
        <s v="ASV"/>
        <s v="COS"/>
        <s v="CAO"/>
        <s v="TTJ-BUC"/>
        <s v="COU"/>
        <s v="VAU"/>
        <s v="USBY"/>
        <s v="JOUY" u="1"/>
        <s v="BUC" u="1"/>
        <s v="ORS" u="1"/>
        <s v="VER" u="1"/>
      </sharedItems>
    </cacheField>
    <cacheField name="Colonne" numFmtId="0">
      <sharedItems containsBlank="1" count="5">
        <m/>
        <s v=" Tour 1"/>
        <s v=" Tour 2"/>
        <s v="Tour 3"/>
        <s v="Tour 4"/>
      </sharedItems>
    </cacheField>
    <cacheField name="Valeur" numFmtId="0">
      <sharedItems containsDate="1" containsBlank="1" containsMixedTypes="1" minDate="2025-11-30T00:00:00" maxDate="1899-12-31T10:16:04" count="27">
        <m/>
        <d v="2025-11-30T00:00:00"/>
        <d v="2026-01-18T00:00:00"/>
        <d v="2026-03-22T00:00:00"/>
        <d v="2026-06-07T00:00:00"/>
        <s v="Class."/>
        <s v="Pr. T1"/>
        <s v="Points T1"/>
        <s v="Pr. T2"/>
        <s v="Points T2"/>
        <s v="Pr. T3"/>
        <s v="Points T3"/>
        <s v="Pr. T4"/>
        <s v="Points T4"/>
        <n v="500"/>
        <s v="x"/>
        <n v="9"/>
        <n v="7"/>
        <n v="6"/>
        <n v="5"/>
        <n v="3"/>
        <n v="2"/>
        <s v="500"/>
        <n v="678"/>
        <n v="575"/>
        <n v="737"/>
        <n v="697"/>
      </sharedItems>
    </cacheField>
    <cacheField name="Page1" numFmtId="0">
      <sharedItems count="1">
        <s v="Élément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phieRoinnel" refreshedDate="46041.661337500002" createdVersion="3" refreshedVersion="8" recordCount="1179" xr:uid="{00000000-000A-0000-FFFF-FFFF10000000}">
  <cacheSource type="consolidation">
    <consolidation>
      <pages count="1">
        <page count="5">
          <pageItem name="Élément1"/>
          <pageItem name="Élément2"/>
          <pageItem name="Élément3"/>
          <pageItem name="Élément4"/>
          <pageItem name="Élément5"/>
        </page>
      </pages>
      <rangeSets count="1">
        <rangeSet i1="4" ref="F4:O135" sheet="Cadets-Juniors"/>
      </rangeSets>
    </consolidation>
  </cacheSource>
  <cacheFields count="4">
    <cacheField name="Ligne" numFmtId="0">
      <sharedItems containsBlank="1" count="19">
        <m/>
        <s v="Club"/>
        <s v="ASM"/>
        <s v="API"/>
        <s v="ASV"/>
        <s v="CAO"/>
        <s v="CC2"/>
        <s v="COS"/>
        <s v="COU"/>
        <s v="TTJ-BUC"/>
        <s v="USBY"/>
        <s v="USP"/>
        <s v="VAU"/>
        <s v="JOUY" u="1"/>
        <s v="BUC" u="1"/>
        <s v="NB DE PARTICIPANTS" u="1"/>
        <s v="ORS" u="1"/>
        <s v="VER" u="1"/>
        <s v="Formule1" f="1"/>
      </sharedItems>
    </cacheField>
    <cacheField name="Colonne" numFmtId="0">
      <sharedItems containsBlank="1" count="9">
        <m/>
        <s v=" Tour 1"/>
        <s v=" Tour 2"/>
        <s v="Tour 3"/>
        <s v="Tour 4"/>
        <s v="3ème Tour" u="1"/>
        <s v="4ème Tour" u="1"/>
        <s v="2nd Tour" u="1"/>
        <s v="1er Tour" u="1"/>
      </sharedItems>
    </cacheField>
    <cacheField name="Valeur" numFmtId="0">
      <sharedItems containsDate="1" containsBlank="1" containsMixedTypes="1" minDate="2025-11-30T00:00:00" maxDate="1900-01-09T18:26:04"/>
    </cacheField>
    <cacheField name="Page1" numFmtId="0">
      <sharedItems count="1">
        <s v="Élément5"/>
      </sharedItems>
    </cacheField>
  </cacheFields>
  <calculatedItems count="1">
    <calculatedItem>
      <pivotArea cacheIndex="1" outline="0" fieldPosition="0">
        <references count="1">
          <reference field="0" count="1">
            <x v="18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phieRoinnel" refreshedDate="46041.661404513892" createdVersion="3" refreshedVersion="8" recordCount="1521" xr:uid="{00000000-000A-0000-FFFF-FFFF11000000}">
  <cacheSource type="consolidation">
    <consolidation>
      <pages count="1">
        <page count="4">
          <pageItem name="Élément1"/>
          <pageItem name="Élément2"/>
          <pageItem name="Élément3"/>
          <pageItem name="Élément4"/>
        </page>
      </pages>
      <rangeSets count="1">
        <rangeSet i1="3" ref="F4:O173" sheet="Minimes"/>
      </rangeSets>
    </consolidation>
  </cacheSource>
  <cacheFields count="4">
    <cacheField name="Ligne" numFmtId="0">
      <sharedItems containsBlank="1" count="19">
        <m/>
        <s v="Club"/>
        <s v="USP"/>
        <s v="API"/>
        <s v="USBY"/>
        <s v="TTJ-BUC"/>
        <s v="CAO"/>
        <s v="VAU"/>
        <s v="CC2"/>
        <s v="ASV"/>
        <s v="COU"/>
        <s v="ASM"/>
        <s v="COS"/>
        <s v="BUC" u="1"/>
        <s v="JOUY" u="1"/>
        <s v="ORS" u="1"/>
        <s v="VER" u="1"/>
        <s v="Formule2" f="1"/>
        <s v="Formule1" f="1"/>
      </sharedItems>
    </cacheField>
    <cacheField name="Colonne" numFmtId="0">
      <sharedItems containsBlank="1" count="9">
        <m/>
        <s v=" Tour 1"/>
        <s v=" Tour 2"/>
        <s v="Tour 3"/>
        <s v="Tour 4"/>
        <s v="3ème Tour" u="1"/>
        <s v="4ème Tour" u="1"/>
        <s v="2nd Tour" u="1"/>
        <s v="1er Tour" u="1"/>
      </sharedItems>
    </cacheField>
    <cacheField name="Valeur" numFmtId="0">
      <sharedItems containsDate="1" containsBlank="1" containsMixedTypes="1" minDate="2025-11-30T00:00:00" maxDate="1900-01-08T02:31:04"/>
    </cacheField>
    <cacheField name="Page1" numFmtId="0">
      <sharedItems count="1">
        <s v="Élément4"/>
      </sharedItems>
    </cacheField>
  </cacheFields>
  <calculatedItems count="2">
    <calculatedItem>
      <pivotArea cacheIndex="1" outline="0" fieldPosition="0">
        <references count="1">
          <reference field="0" count="1">
            <x v="18"/>
          </reference>
        </references>
      </pivotArea>
    </calculatedItem>
    <calculatedItem>
      <pivotArea cacheIndex="1" outline="0" fieldPosition="0">
        <references count="1">
          <reference field="0" count="1">
            <x v="17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phie Petibon" refreshedDate="46042.008877199078" createdVersion="3" refreshedVersion="8" minRefreshableVersion="3" recordCount="6670" xr:uid="{00000000-000A-0000-FFFF-FFFF0C000000}">
  <cacheSource type="consolidation">
    <consolidation autoPage="0">
      <rangeSets count="5">
        <rangeSet ref="F7:P219" sheet="Benjamins"/>
        <rangeSet ref="F7:P136" sheet="Cadets-Juniors"/>
        <rangeSet ref="F7:P58" sheet="Feminines"/>
        <rangeSet ref="F7:P175" sheet="Minimes"/>
        <rangeSet ref="F7:P117" sheet="Poussins"/>
      </rangeSets>
    </consolidation>
  </cacheSource>
  <cacheFields count="3">
    <cacheField name="Ligne" numFmtId="0">
      <sharedItems containsBlank="1" count="14">
        <s v="API"/>
        <s v="CC2"/>
        <s v="USP"/>
        <s v="COU"/>
        <s v="CAO"/>
        <s v="VAU"/>
        <s v="ASV"/>
        <s v="USBY"/>
        <s v="TTJ-BUC"/>
        <s v="COS"/>
        <s v="ASM"/>
        <m/>
        <s v="JOUY" u="1"/>
        <s v="BUC" u="1"/>
      </sharedItems>
    </cacheField>
    <cacheField name="Colonne" numFmtId="0">
      <sharedItems count="14">
        <s v="Class."/>
        <s v="Pr. T1"/>
        <s v="Points T1"/>
        <s v="Pr. T2"/>
        <s v="Points T2"/>
        <s v="Pr. T3"/>
        <s v="Points T3"/>
        <s v="Pr. T4"/>
        <s v="Points T4"/>
        <s v="TOTAL"/>
        <s v="Clas." u="1"/>
        <s v="x" u="1"/>
        <s v="Pr" u="1"/>
        <s v="Pr." u="1"/>
      </sharedItems>
    </cacheField>
    <cacheField name="Valeur" numFmtId="0">
      <sharedItems containsBlank="1" containsMixedTypes="1" containsNumber="1" containsInteger="1" minValue="0" maxValue="14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9">
  <r>
    <x v="0"/>
    <x v="0"/>
    <n v="548"/>
    <x v="0"/>
  </r>
  <r>
    <x v="0"/>
    <x v="1"/>
    <s v="x"/>
    <x v="0"/>
  </r>
  <r>
    <x v="0"/>
    <x v="2"/>
    <n v="15"/>
    <x v="0"/>
  </r>
  <r>
    <x v="0"/>
    <x v="3"/>
    <s v="x"/>
    <x v="0"/>
  </r>
  <r>
    <x v="0"/>
    <x v="4"/>
    <n v="12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1"/>
    <x v="0"/>
    <s v="500"/>
    <x v="0"/>
  </r>
  <r>
    <x v="1"/>
    <x v="1"/>
    <s v="x"/>
    <x v="0"/>
  </r>
  <r>
    <x v="1"/>
    <x v="2"/>
    <n v="12"/>
    <x v="0"/>
  </r>
  <r>
    <x v="1"/>
    <x v="3"/>
    <s v="x"/>
    <x v="0"/>
  </r>
  <r>
    <x v="1"/>
    <x v="4"/>
    <n v="11"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2"/>
    <x v="0"/>
    <n v="500"/>
    <x v="0"/>
  </r>
  <r>
    <x v="2"/>
    <x v="1"/>
    <s v="x"/>
    <x v="0"/>
  </r>
  <r>
    <x v="2"/>
    <x v="2"/>
    <n v="12"/>
    <x v="0"/>
  </r>
  <r>
    <x v="2"/>
    <x v="3"/>
    <s v="x"/>
    <x v="0"/>
  </r>
  <r>
    <x v="2"/>
    <x v="4"/>
    <n v="10"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2"/>
    <x v="0"/>
    <n v="500"/>
    <x v="0"/>
  </r>
  <r>
    <x v="2"/>
    <x v="1"/>
    <s v="x"/>
    <x v="0"/>
  </r>
  <r>
    <x v="2"/>
    <x v="2"/>
    <n v="11"/>
    <x v="0"/>
  </r>
  <r>
    <x v="2"/>
    <x v="3"/>
    <s v="x"/>
    <x v="0"/>
  </r>
  <r>
    <x v="2"/>
    <x v="4"/>
    <n v="11"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0"/>
    <x v="0"/>
    <n v="500"/>
    <x v="0"/>
  </r>
  <r>
    <x v="0"/>
    <x v="1"/>
    <s v="x"/>
    <x v="0"/>
  </r>
  <r>
    <x v="0"/>
    <x v="2"/>
    <n v="11"/>
    <x v="0"/>
  </r>
  <r>
    <x v="0"/>
    <x v="3"/>
    <s v="x"/>
    <x v="0"/>
  </r>
  <r>
    <x v="0"/>
    <x v="4"/>
    <n v="10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0"/>
    <x v="0"/>
    <n v="501"/>
    <x v="0"/>
  </r>
  <r>
    <x v="0"/>
    <x v="1"/>
    <s v="x"/>
    <x v="0"/>
  </r>
  <r>
    <x v="0"/>
    <x v="2"/>
    <n v="11"/>
    <x v="0"/>
  </r>
  <r>
    <x v="0"/>
    <x v="3"/>
    <s v="x"/>
    <x v="0"/>
  </r>
  <r>
    <x v="0"/>
    <x v="4"/>
    <n v="9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3"/>
    <x v="0"/>
    <n v="500"/>
    <x v="0"/>
  </r>
  <r>
    <x v="3"/>
    <x v="1"/>
    <s v="x"/>
    <x v="0"/>
  </r>
  <r>
    <x v="3"/>
    <x v="2"/>
    <n v="10"/>
    <x v="0"/>
  </r>
  <r>
    <x v="3"/>
    <x v="3"/>
    <s v="x"/>
    <x v="0"/>
  </r>
  <r>
    <x v="3"/>
    <x v="4"/>
    <n v="10"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0"/>
    <x v="0"/>
    <n v="500"/>
    <x v="0"/>
  </r>
  <r>
    <x v="0"/>
    <x v="1"/>
    <s v="x"/>
    <x v="0"/>
  </r>
  <r>
    <x v="0"/>
    <x v="2"/>
    <n v="10"/>
    <x v="0"/>
  </r>
  <r>
    <x v="0"/>
    <x v="3"/>
    <s v="x"/>
    <x v="0"/>
  </r>
  <r>
    <x v="0"/>
    <x v="4"/>
    <n v="10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1"/>
    <x v="0"/>
    <s v="500"/>
    <x v="0"/>
  </r>
  <r>
    <x v="1"/>
    <x v="1"/>
    <s v="x"/>
    <x v="0"/>
  </r>
  <r>
    <x v="1"/>
    <x v="2"/>
    <n v="10"/>
    <x v="0"/>
  </r>
  <r>
    <x v="1"/>
    <x v="3"/>
    <s v="x"/>
    <x v="0"/>
  </r>
  <r>
    <x v="1"/>
    <x v="4"/>
    <n v="9"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2"/>
    <x v="0"/>
    <n v="500"/>
    <x v="0"/>
  </r>
  <r>
    <x v="2"/>
    <x v="1"/>
    <s v="x"/>
    <x v="0"/>
  </r>
  <r>
    <x v="2"/>
    <x v="2"/>
    <n v="10"/>
    <x v="0"/>
  </r>
  <r>
    <x v="2"/>
    <x v="3"/>
    <s v="x"/>
    <x v="0"/>
  </r>
  <r>
    <x v="2"/>
    <x v="4"/>
    <n v="9"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1"/>
    <x v="0"/>
    <s v="500"/>
    <x v="0"/>
  </r>
  <r>
    <x v="1"/>
    <x v="1"/>
    <s v="x"/>
    <x v="0"/>
  </r>
  <r>
    <x v="1"/>
    <x v="2"/>
    <n v="10"/>
    <x v="0"/>
  </r>
  <r>
    <x v="1"/>
    <x v="3"/>
    <s v="x"/>
    <x v="0"/>
  </r>
  <r>
    <x v="1"/>
    <x v="4"/>
    <n v="9"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4"/>
    <x v="0"/>
    <n v="500"/>
    <x v="0"/>
  </r>
  <r>
    <x v="4"/>
    <x v="1"/>
    <s v="x"/>
    <x v="0"/>
  </r>
  <r>
    <x v="4"/>
    <x v="2"/>
    <n v="9"/>
    <x v="0"/>
  </r>
  <r>
    <x v="4"/>
    <x v="3"/>
    <s v="x"/>
    <x v="0"/>
  </r>
  <r>
    <x v="4"/>
    <x v="4"/>
    <n v="9"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5"/>
    <x v="0"/>
    <n v="500"/>
    <x v="0"/>
  </r>
  <r>
    <x v="5"/>
    <x v="1"/>
    <s v="x"/>
    <x v="0"/>
  </r>
  <r>
    <x v="5"/>
    <x v="2"/>
    <n v="9"/>
    <x v="0"/>
  </r>
  <r>
    <x v="5"/>
    <x v="3"/>
    <s v="x"/>
    <x v="0"/>
  </r>
  <r>
    <x v="5"/>
    <x v="4"/>
    <n v="8"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2"/>
    <x v="0"/>
    <n v="500"/>
    <x v="0"/>
  </r>
  <r>
    <x v="2"/>
    <x v="1"/>
    <s v="x"/>
    <x v="0"/>
  </r>
  <r>
    <x v="2"/>
    <x v="2"/>
    <n v="9"/>
    <x v="0"/>
  </r>
  <r>
    <x v="2"/>
    <x v="3"/>
    <s v="x"/>
    <x v="0"/>
  </r>
  <r>
    <x v="2"/>
    <x v="4"/>
    <n v="8"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6"/>
    <x v="0"/>
    <s v="500"/>
    <x v="0"/>
  </r>
  <r>
    <x v="6"/>
    <x v="1"/>
    <s v="x"/>
    <x v="0"/>
  </r>
  <r>
    <x v="6"/>
    <x v="2"/>
    <n v="10"/>
    <x v="0"/>
  </r>
  <r>
    <x v="6"/>
    <x v="3"/>
    <s v="x"/>
    <x v="0"/>
  </r>
  <r>
    <x v="6"/>
    <x v="4"/>
    <n v="7"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0"/>
    <x v="0"/>
    <n v="500"/>
    <x v="0"/>
  </r>
  <r>
    <x v="0"/>
    <x v="1"/>
    <s v="x"/>
    <x v="0"/>
  </r>
  <r>
    <x v="0"/>
    <x v="2"/>
    <n v="9"/>
    <x v="0"/>
  </r>
  <r>
    <x v="0"/>
    <x v="3"/>
    <s v="x"/>
    <x v="0"/>
  </r>
  <r>
    <x v="0"/>
    <x v="4"/>
    <n v="8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0"/>
    <x v="0"/>
    <n v="500"/>
    <x v="0"/>
  </r>
  <r>
    <x v="0"/>
    <x v="1"/>
    <s v="x"/>
    <x v="0"/>
  </r>
  <r>
    <x v="0"/>
    <x v="2"/>
    <n v="8"/>
    <x v="0"/>
  </r>
  <r>
    <x v="0"/>
    <x v="3"/>
    <s v="x"/>
    <x v="0"/>
  </r>
  <r>
    <x v="0"/>
    <x v="4"/>
    <n v="8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1"/>
    <x v="0"/>
    <s v="500"/>
    <x v="0"/>
  </r>
  <r>
    <x v="1"/>
    <x v="1"/>
    <s v="x"/>
    <x v="0"/>
  </r>
  <r>
    <x v="1"/>
    <x v="2"/>
    <n v="8"/>
    <x v="0"/>
  </r>
  <r>
    <x v="1"/>
    <x v="3"/>
    <s v="x"/>
    <x v="0"/>
  </r>
  <r>
    <x v="1"/>
    <x v="4"/>
    <n v="8"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7"/>
    <x v="0"/>
    <s v="500"/>
    <x v="0"/>
  </r>
  <r>
    <x v="7"/>
    <x v="1"/>
    <s v="x"/>
    <x v="0"/>
  </r>
  <r>
    <x v="7"/>
    <x v="2"/>
    <n v="9"/>
    <x v="0"/>
  </r>
  <r>
    <x v="7"/>
    <x v="3"/>
    <s v="x"/>
    <x v="0"/>
  </r>
  <r>
    <x v="7"/>
    <x v="4"/>
    <n v="7"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8"/>
    <x v="0"/>
    <s v="500"/>
    <x v="0"/>
  </r>
  <r>
    <x v="8"/>
    <x v="1"/>
    <s v="x"/>
    <x v="0"/>
  </r>
  <r>
    <x v="8"/>
    <x v="2"/>
    <n v="9"/>
    <x v="0"/>
  </r>
  <r>
    <x v="8"/>
    <x v="3"/>
    <s v="x"/>
    <x v="0"/>
  </r>
  <r>
    <x v="8"/>
    <x v="4"/>
    <n v="7"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0"/>
    <x v="0"/>
    <n v="500"/>
    <x v="0"/>
  </r>
  <r>
    <x v="0"/>
    <x v="1"/>
    <s v="x"/>
    <x v="0"/>
  </r>
  <r>
    <x v="0"/>
    <x v="2"/>
    <n v="9"/>
    <x v="0"/>
  </r>
  <r>
    <x v="0"/>
    <x v="3"/>
    <s v="x"/>
    <x v="0"/>
  </r>
  <r>
    <x v="0"/>
    <x v="4"/>
    <n v="7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0"/>
    <x v="0"/>
    <n v="500"/>
    <x v="0"/>
  </r>
  <r>
    <x v="0"/>
    <x v="1"/>
    <s v="x"/>
    <x v="0"/>
  </r>
  <r>
    <x v="0"/>
    <x v="2"/>
    <n v="9"/>
    <x v="0"/>
  </r>
  <r>
    <x v="0"/>
    <x v="3"/>
    <s v="x"/>
    <x v="0"/>
  </r>
  <r>
    <x v="0"/>
    <x v="4"/>
    <n v="7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0"/>
    <x v="0"/>
    <n v="500"/>
    <x v="0"/>
  </r>
  <r>
    <x v="0"/>
    <x v="1"/>
    <s v="x"/>
    <x v="0"/>
  </r>
  <r>
    <x v="0"/>
    <x v="2"/>
    <n v="8"/>
    <x v="0"/>
  </r>
  <r>
    <x v="0"/>
    <x v="3"/>
    <s v="x"/>
    <x v="0"/>
  </r>
  <r>
    <x v="0"/>
    <x v="4"/>
    <n v="7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s v="x"/>
    <x v="0"/>
  </r>
  <r>
    <x v="1"/>
    <x v="4"/>
    <n v="14"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4"/>
    <x v="0"/>
    <n v="511"/>
    <x v="0"/>
  </r>
  <r>
    <x v="4"/>
    <x v="1"/>
    <s v="x"/>
    <x v="0"/>
  </r>
  <r>
    <x v="4"/>
    <x v="2"/>
    <n v="4"/>
    <x v="0"/>
  </r>
  <r>
    <x v="4"/>
    <x v="3"/>
    <s v="x"/>
    <x v="0"/>
  </r>
  <r>
    <x v="4"/>
    <x v="4"/>
    <n v="9"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0"/>
    <x v="0"/>
    <n v="500"/>
    <x v="0"/>
  </r>
  <r>
    <x v="0"/>
    <x v="1"/>
    <s v="x"/>
    <x v="0"/>
  </r>
  <r>
    <x v="0"/>
    <x v="2"/>
    <n v="9"/>
    <x v="0"/>
  </r>
  <r>
    <x v="0"/>
    <x v="3"/>
    <s v="x"/>
    <x v="0"/>
  </r>
  <r>
    <x v="0"/>
    <x v="4"/>
    <n v="4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2"/>
    <x v="0"/>
    <n v="500"/>
    <x v="0"/>
  </r>
  <r>
    <x v="2"/>
    <x v="1"/>
    <s v="x"/>
    <x v="0"/>
  </r>
  <r>
    <x v="2"/>
    <x v="2"/>
    <n v="9"/>
    <x v="0"/>
  </r>
  <r>
    <x v="2"/>
    <x v="3"/>
    <s v="x"/>
    <x v="0"/>
  </r>
  <r>
    <x v="2"/>
    <x v="4"/>
    <n v="4"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1"/>
    <x v="0"/>
    <s v="539"/>
    <x v="0"/>
  </r>
  <r>
    <x v="1"/>
    <x v="1"/>
    <s v="x"/>
    <x v="0"/>
  </r>
  <r>
    <x v="1"/>
    <x v="2"/>
    <n v="13"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8"/>
    <x v="0"/>
    <s v="500"/>
    <x v="0"/>
  </r>
  <r>
    <x v="8"/>
    <x v="1"/>
    <s v="x"/>
    <x v="0"/>
  </r>
  <r>
    <x v="8"/>
    <x v="2"/>
    <n v="5"/>
    <x v="0"/>
  </r>
  <r>
    <x v="8"/>
    <x v="3"/>
    <s v="x"/>
    <x v="0"/>
  </r>
  <r>
    <x v="8"/>
    <x v="4"/>
    <n v="8"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3"/>
    <x v="0"/>
    <n v="500"/>
    <x v="0"/>
  </r>
  <r>
    <x v="3"/>
    <x v="1"/>
    <s v="x"/>
    <x v="0"/>
  </r>
  <r>
    <x v="3"/>
    <x v="2"/>
    <n v="4"/>
    <x v="0"/>
  </r>
  <r>
    <x v="3"/>
    <x v="3"/>
    <s v="x"/>
    <x v="0"/>
  </r>
  <r>
    <x v="3"/>
    <x v="4"/>
    <n v="9"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7"/>
    <x v="0"/>
    <n v="500"/>
    <x v="0"/>
  </r>
  <r>
    <x v="7"/>
    <x v="1"/>
    <s v="x"/>
    <x v="0"/>
  </r>
  <r>
    <x v="7"/>
    <x v="2"/>
    <n v="9"/>
    <x v="0"/>
  </r>
  <r>
    <x v="7"/>
    <x v="3"/>
    <s v="x"/>
    <x v="0"/>
  </r>
  <r>
    <x v="7"/>
    <x v="4"/>
    <n v="3"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4"/>
    <x v="0"/>
    <n v="500"/>
    <x v="0"/>
  </r>
  <r>
    <x v="4"/>
    <x v="1"/>
    <s v="x"/>
    <x v="0"/>
  </r>
  <r>
    <x v="4"/>
    <x v="2"/>
    <n v="4"/>
    <x v="0"/>
  </r>
  <r>
    <x v="4"/>
    <x v="3"/>
    <s v="x"/>
    <x v="0"/>
  </r>
  <r>
    <x v="4"/>
    <x v="4"/>
    <n v="8"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6"/>
    <x v="0"/>
    <s v="500"/>
    <x v="0"/>
  </r>
  <r>
    <x v="6"/>
    <x v="1"/>
    <s v="x"/>
    <x v="0"/>
  </r>
  <r>
    <x v="6"/>
    <x v="2"/>
    <n v="11"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0"/>
    <x v="0"/>
    <n v="500"/>
    <x v="0"/>
  </r>
  <r>
    <x v="0"/>
    <x v="1"/>
    <s v="x"/>
    <x v="0"/>
  </r>
  <r>
    <x v="0"/>
    <x v="2"/>
    <n v="4"/>
    <x v="0"/>
  </r>
  <r>
    <x v="0"/>
    <x v="3"/>
    <s v="x"/>
    <x v="0"/>
  </r>
  <r>
    <x v="0"/>
    <x v="4"/>
    <n v="7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0"/>
    <x v="0"/>
    <n v="500"/>
    <x v="0"/>
  </r>
  <r>
    <x v="0"/>
    <x v="1"/>
    <s v="x"/>
    <x v="0"/>
  </r>
  <r>
    <x v="0"/>
    <x v="2"/>
    <n v="8"/>
    <x v="0"/>
  </r>
  <r>
    <x v="0"/>
    <x v="3"/>
    <s v="x"/>
    <x v="0"/>
  </r>
  <r>
    <x v="0"/>
    <x v="4"/>
    <n v="2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0"/>
    <x v="0"/>
    <n v="500"/>
    <x v="0"/>
  </r>
  <r>
    <x v="0"/>
    <x v="1"/>
    <s v="x"/>
    <x v="0"/>
  </r>
  <r>
    <x v="0"/>
    <x v="2"/>
    <n v="3"/>
    <x v="0"/>
  </r>
  <r>
    <x v="0"/>
    <x v="3"/>
    <s v="x"/>
    <x v="0"/>
  </r>
  <r>
    <x v="0"/>
    <x v="4"/>
    <n v="7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0"/>
    <x v="0"/>
    <n v="500"/>
    <x v="0"/>
  </r>
  <r>
    <x v="0"/>
    <x v="1"/>
    <s v="x"/>
    <x v="0"/>
  </r>
  <r>
    <x v="0"/>
    <x v="2"/>
    <n v="8"/>
    <x v="0"/>
  </r>
  <r>
    <x v="0"/>
    <x v="3"/>
    <s v="x"/>
    <x v="0"/>
  </r>
  <r>
    <x v="0"/>
    <x v="4"/>
    <n v="2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0"/>
    <x v="0"/>
    <n v="500"/>
    <x v="0"/>
  </r>
  <r>
    <x v="0"/>
    <x v="1"/>
    <s v="x"/>
    <x v="0"/>
  </r>
  <r>
    <x v="0"/>
    <x v="2"/>
    <n v="10"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7"/>
    <x v="0"/>
    <n v="500"/>
    <x v="0"/>
  </r>
  <r>
    <x v="7"/>
    <x v="1"/>
    <s v="x"/>
    <x v="0"/>
  </r>
  <r>
    <x v="7"/>
    <x v="2"/>
    <n v="10"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7"/>
    <x v="0"/>
    <n v="500"/>
    <x v="0"/>
  </r>
  <r>
    <x v="7"/>
    <x v="1"/>
    <s v="x"/>
    <x v="0"/>
  </r>
  <r>
    <x v="7"/>
    <x v="2"/>
    <n v="3"/>
    <x v="0"/>
  </r>
  <r>
    <x v="7"/>
    <x v="3"/>
    <s v="x"/>
    <x v="0"/>
  </r>
  <r>
    <x v="7"/>
    <x v="4"/>
    <n v="7"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8"/>
    <x v="0"/>
    <n v="500"/>
    <x v="0"/>
  </r>
  <r>
    <x v="8"/>
    <x v="1"/>
    <s v="x"/>
    <x v="0"/>
  </r>
  <r>
    <x v="8"/>
    <x v="2"/>
    <n v="8"/>
    <x v="0"/>
  </r>
  <r>
    <x v="8"/>
    <x v="3"/>
    <s v="x"/>
    <x v="0"/>
  </r>
  <r>
    <x v="8"/>
    <x v="4"/>
    <n v="2"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3"/>
    <x v="0"/>
    <n v="500"/>
    <x v="0"/>
  </r>
  <r>
    <x v="3"/>
    <x v="1"/>
    <s v="x"/>
    <x v="0"/>
  </r>
  <r>
    <x v="3"/>
    <x v="2"/>
    <n v="9"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0"/>
    <x v="0"/>
    <n v="500"/>
    <x v="0"/>
  </r>
  <r>
    <x v="0"/>
    <x v="1"/>
    <s v="x"/>
    <x v="0"/>
  </r>
  <r>
    <x v="0"/>
    <x v="2"/>
    <n v="2"/>
    <x v="0"/>
  </r>
  <r>
    <x v="0"/>
    <x v="3"/>
    <s v="x"/>
    <x v="0"/>
  </r>
  <r>
    <x v="0"/>
    <x v="4"/>
    <n v="7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7"/>
    <x v="0"/>
    <s v="500"/>
    <x v="0"/>
  </r>
  <r>
    <x v="7"/>
    <x v="1"/>
    <s v="x"/>
    <x v="0"/>
  </r>
  <r>
    <x v="7"/>
    <x v="2"/>
    <n v="9"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5"/>
    <x v="0"/>
    <n v="500"/>
    <x v="0"/>
  </r>
  <r>
    <x v="5"/>
    <x v="1"/>
    <s v="x"/>
    <x v="0"/>
  </r>
  <r>
    <x v="5"/>
    <x v="2"/>
    <n v="9"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s v="x"/>
    <x v="0"/>
  </r>
  <r>
    <x v="3"/>
    <x v="4"/>
    <n v="9"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7"/>
    <x v="0"/>
    <n v="500"/>
    <x v="0"/>
  </r>
  <r>
    <x v="7"/>
    <x v="1"/>
    <s v="x"/>
    <x v="0"/>
  </r>
  <r>
    <x v="7"/>
    <x v="2"/>
    <n v="9"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2"/>
    <x v="0"/>
    <n v="500"/>
    <x v="0"/>
  </r>
  <r>
    <x v="2"/>
    <x v="1"/>
    <s v="x"/>
    <x v="0"/>
  </r>
  <r>
    <x v="2"/>
    <x v="2"/>
    <n v="9"/>
    <x v="0"/>
  </r>
  <r>
    <x v="2"/>
    <x v="3"/>
    <m/>
    <x v="0"/>
  </r>
  <r>
    <x v="2"/>
    <x v="4"/>
    <m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7"/>
    <x v="0"/>
    <n v="500"/>
    <x v="0"/>
  </r>
  <r>
    <x v="7"/>
    <x v="1"/>
    <s v="x"/>
    <x v="0"/>
  </r>
  <r>
    <x v="7"/>
    <x v="2"/>
    <n v="8"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7"/>
    <x v="0"/>
    <n v="500"/>
    <x v="0"/>
  </r>
  <r>
    <x v="7"/>
    <x v="1"/>
    <s v="x"/>
    <x v="0"/>
  </r>
  <r>
    <x v="7"/>
    <x v="2"/>
    <n v="8"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7"/>
    <x v="0"/>
    <n v="500"/>
    <x v="0"/>
  </r>
  <r>
    <x v="7"/>
    <x v="1"/>
    <s v="x"/>
    <x v="0"/>
  </r>
  <r>
    <x v="7"/>
    <x v="2"/>
    <n v="8"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0"/>
    <x v="0"/>
    <n v="500"/>
    <x v="0"/>
  </r>
  <r>
    <x v="0"/>
    <x v="1"/>
    <s v="x"/>
    <x v="0"/>
  </r>
  <r>
    <x v="0"/>
    <x v="2"/>
    <n v="8"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0"/>
    <x v="0"/>
    <n v="500"/>
    <x v="0"/>
  </r>
  <r>
    <x v="0"/>
    <x v="1"/>
    <s v="x"/>
    <x v="0"/>
  </r>
  <r>
    <x v="0"/>
    <x v="2"/>
    <n v="8"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9"/>
    <x v="0"/>
    <n v="500"/>
    <x v="0"/>
  </r>
  <r>
    <x v="9"/>
    <x v="1"/>
    <s v="x"/>
    <x v="0"/>
  </r>
  <r>
    <x v="9"/>
    <x v="2"/>
    <n v="8"/>
    <x v="0"/>
  </r>
  <r>
    <x v="9"/>
    <x v="3"/>
    <m/>
    <x v="0"/>
  </r>
  <r>
    <x v="9"/>
    <x v="4"/>
    <m/>
    <x v="0"/>
  </r>
  <r>
    <x v="9"/>
    <x v="5"/>
    <m/>
    <x v="0"/>
  </r>
  <r>
    <x v="9"/>
    <x v="6"/>
    <m/>
    <x v="0"/>
  </r>
  <r>
    <x v="9"/>
    <x v="7"/>
    <m/>
    <x v="0"/>
  </r>
  <r>
    <x v="9"/>
    <x v="8"/>
    <m/>
    <x v="0"/>
  </r>
  <r>
    <x v="2"/>
    <x v="0"/>
    <n v="521"/>
    <x v="0"/>
  </r>
  <r>
    <x v="2"/>
    <x v="1"/>
    <m/>
    <x v="0"/>
  </r>
  <r>
    <x v="2"/>
    <x v="2"/>
    <m/>
    <x v="0"/>
  </r>
  <r>
    <x v="2"/>
    <x v="3"/>
    <s v="x"/>
    <x v="0"/>
  </r>
  <r>
    <x v="2"/>
    <x v="4"/>
    <n v="8"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2"/>
    <x v="0"/>
    <n v="500"/>
    <x v="0"/>
  </r>
  <r>
    <x v="2"/>
    <x v="1"/>
    <s v="x"/>
    <x v="0"/>
  </r>
  <r>
    <x v="2"/>
    <x v="2"/>
    <n v="8"/>
    <x v="0"/>
  </r>
  <r>
    <x v="2"/>
    <x v="3"/>
    <m/>
    <x v="0"/>
  </r>
  <r>
    <x v="2"/>
    <x v="4"/>
    <m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s v="x"/>
    <x v="0"/>
  </r>
  <r>
    <x v="1"/>
    <x v="4"/>
    <n v="7"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4"/>
    <x v="0"/>
    <n v="500"/>
    <x v="0"/>
  </r>
  <r>
    <x v="4"/>
    <x v="1"/>
    <m/>
    <x v="0"/>
  </r>
  <r>
    <x v="4"/>
    <x v="2"/>
    <m/>
    <x v="0"/>
  </r>
  <r>
    <x v="4"/>
    <x v="3"/>
    <s v="x"/>
    <x v="0"/>
  </r>
  <r>
    <x v="4"/>
    <x v="4"/>
    <n v="7"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4"/>
    <x v="0"/>
    <n v="500"/>
    <x v="0"/>
  </r>
  <r>
    <x v="4"/>
    <x v="1"/>
    <s v="x"/>
    <x v="0"/>
  </r>
  <r>
    <x v="4"/>
    <x v="2"/>
    <n v="5"/>
    <x v="0"/>
  </r>
  <r>
    <x v="4"/>
    <x v="3"/>
    <s v="x"/>
    <x v="0"/>
  </r>
  <r>
    <x v="4"/>
    <x v="4"/>
    <n v="2"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1"/>
    <x v="0"/>
    <m/>
    <x v="0"/>
  </r>
  <r>
    <x v="1"/>
    <x v="1"/>
    <m/>
    <x v="0"/>
  </r>
  <r>
    <x v="1"/>
    <x v="2"/>
    <m/>
    <x v="0"/>
  </r>
  <r>
    <x v="1"/>
    <x v="3"/>
    <s v="x"/>
    <x v="0"/>
  </r>
  <r>
    <x v="1"/>
    <x v="4"/>
    <n v="7"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2"/>
    <x v="0"/>
    <n v="500"/>
    <x v="0"/>
  </r>
  <r>
    <x v="2"/>
    <x v="1"/>
    <s v="x"/>
    <x v="0"/>
  </r>
  <r>
    <x v="2"/>
    <x v="2"/>
    <n v="6"/>
    <x v="0"/>
  </r>
  <r>
    <x v="2"/>
    <x v="3"/>
    <m/>
    <x v="0"/>
  </r>
  <r>
    <x v="2"/>
    <x v="4"/>
    <m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0"/>
    <x v="0"/>
    <n v="500"/>
    <x v="0"/>
  </r>
  <r>
    <x v="0"/>
    <x v="1"/>
    <s v="x"/>
    <x v="0"/>
  </r>
  <r>
    <x v="0"/>
    <x v="2"/>
    <n v="3"/>
    <x v="0"/>
  </r>
  <r>
    <x v="0"/>
    <x v="3"/>
    <s v="x"/>
    <x v="0"/>
  </r>
  <r>
    <x v="0"/>
    <x v="4"/>
    <n v="3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0"/>
    <x v="0"/>
    <n v="500"/>
    <x v="0"/>
  </r>
  <r>
    <x v="0"/>
    <x v="1"/>
    <s v="x"/>
    <x v="0"/>
  </r>
  <r>
    <x v="0"/>
    <x v="2"/>
    <n v="3"/>
    <x v="0"/>
  </r>
  <r>
    <x v="0"/>
    <x v="3"/>
    <s v="x"/>
    <x v="0"/>
  </r>
  <r>
    <x v="0"/>
    <x v="4"/>
    <n v="2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7"/>
    <x v="0"/>
    <m/>
    <x v="0"/>
  </r>
  <r>
    <x v="7"/>
    <x v="1"/>
    <m/>
    <x v="0"/>
  </r>
  <r>
    <x v="7"/>
    <x v="2"/>
    <m/>
    <x v="0"/>
  </r>
  <r>
    <x v="7"/>
    <x v="3"/>
    <s v="x"/>
    <x v="0"/>
  </r>
  <r>
    <x v="7"/>
    <x v="4"/>
    <n v="5"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3"/>
    <x v="0"/>
    <n v="500"/>
    <x v="0"/>
  </r>
  <r>
    <x v="3"/>
    <x v="1"/>
    <s v="x"/>
    <x v="0"/>
  </r>
  <r>
    <x v="3"/>
    <x v="2"/>
    <n v="2"/>
    <x v="0"/>
  </r>
  <r>
    <x v="3"/>
    <x v="3"/>
    <s v="x"/>
    <x v="0"/>
  </r>
  <r>
    <x v="3"/>
    <x v="4"/>
    <n v="2"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3"/>
    <x v="0"/>
    <n v="500"/>
    <x v="0"/>
  </r>
  <r>
    <x v="3"/>
    <x v="1"/>
    <s v="x"/>
    <x v="0"/>
  </r>
  <r>
    <x v="3"/>
    <x v="2"/>
    <n v="3"/>
    <x v="0"/>
  </r>
  <r>
    <x v="3"/>
    <x v="3"/>
    <s v="x"/>
    <x v="0"/>
  </r>
  <r>
    <x v="3"/>
    <x v="4"/>
    <n v="1"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2"/>
    <x v="0"/>
    <m/>
    <x v="0"/>
  </r>
  <r>
    <x v="2"/>
    <x v="1"/>
    <m/>
    <x v="0"/>
  </r>
  <r>
    <x v="2"/>
    <x v="2"/>
    <m/>
    <x v="0"/>
  </r>
  <r>
    <x v="2"/>
    <x v="3"/>
    <s v="x"/>
    <x v="0"/>
  </r>
  <r>
    <x v="2"/>
    <x v="4"/>
    <n v="3"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3"/>
    <x v="0"/>
    <n v="500"/>
    <x v="0"/>
  </r>
  <r>
    <x v="3"/>
    <x v="1"/>
    <s v="x"/>
    <x v="0"/>
  </r>
  <r>
    <x v="3"/>
    <x v="2"/>
    <n v="1"/>
    <x v="0"/>
  </r>
  <r>
    <x v="3"/>
    <x v="3"/>
    <s v="x"/>
    <x v="0"/>
  </r>
  <r>
    <x v="3"/>
    <x v="4"/>
    <n v="2"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s v="x"/>
    <x v="0"/>
  </r>
  <r>
    <x v="1"/>
    <x v="4"/>
    <n v="3"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6"/>
    <x v="0"/>
    <s v="500"/>
    <x v="0"/>
  </r>
  <r>
    <x v="6"/>
    <x v="1"/>
    <s v="x"/>
    <x v="0"/>
  </r>
  <r>
    <x v="6"/>
    <x v="2"/>
    <n v="3"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3"/>
    <x v="0"/>
    <n v="500"/>
    <x v="0"/>
  </r>
  <r>
    <x v="3"/>
    <x v="1"/>
    <s v="x"/>
    <x v="0"/>
  </r>
  <r>
    <x v="3"/>
    <x v="2"/>
    <n v="2"/>
    <x v="0"/>
  </r>
  <r>
    <x v="3"/>
    <x v="3"/>
    <s v="x"/>
    <x v="0"/>
  </r>
  <r>
    <x v="3"/>
    <x v="4"/>
    <n v="1"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6"/>
    <x v="0"/>
    <s v="500"/>
    <x v="0"/>
  </r>
  <r>
    <x v="6"/>
    <x v="1"/>
    <s v="x"/>
    <x v="0"/>
  </r>
  <r>
    <x v="6"/>
    <x v="2"/>
    <n v="3"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1"/>
    <x v="0"/>
    <s v="500"/>
    <x v="0"/>
  </r>
  <r>
    <x v="1"/>
    <x v="1"/>
    <s v="x"/>
    <x v="0"/>
  </r>
  <r>
    <x v="1"/>
    <x v="2"/>
    <n v="2"/>
    <x v="0"/>
  </r>
  <r>
    <x v="1"/>
    <x v="3"/>
    <s v="x"/>
    <x v="0"/>
  </r>
  <r>
    <x v="1"/>
    <x v="4"/>
    <n v="1"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2"/>
    <x v="0"/>
    <n v="500"/>
    <x v="0"/>
  </r>
  <r>
    <x v="2"/>
    <x v="1"/>
    <s v="x"/>
    <x v="0"/>
  </r>
  <r>
    <x v="2"/>
    <x v="2"/>
    <n v="3"/>
    <x v="0"/>
  </r>
  <r>
    <x v="2"/>
    <x v="3"/>
    <m/>
    <x v="0"/>
  </r>
  <r>
    <x v="2"/>
    <x v="4"/>
    <m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5"/>
    <x v="0"/>
    <n v="500"/>
    <x v="0"/>
  </r>
  <r>
    <x v="5"/>
    <x v="1"/>
    <s v="x"/>
    <x v="0"/>
  </r>
  <r>
    <x v="5"/>
    <x v="2"/>
    <n v="2"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1"/>
    <x v="0"/>
    <s v="500"/>
    <x v="0"/>
  </r>
  <r>
    <x v="1"/>
    <x v="1"/>
    <s v="x"/>
    <x v="0"/>
  </r>
  <r>
    <x v="1"/>
    <x v="2"/>
    <n v="2"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3"/>
    <x v="0"/>
    <n v="500"/>
    <x v="0"/>
  </r>
  <r>
    <x v="3"/>
    <x v="1"/>
    <s v="x"/>
    <x v="0"/>
  </r>
  <r>
    <x v="3"/>
    <x v="2"/>
    <n v="2"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1"/>
    <x v="0"/>
    <s v="500"/>
    <x v="0"/>
  </r>
  <r>
    <x v="1"/>
    <x v="1"/>
    <s v="x"/>
    <x v="0"/>
  </r>
  <r>
    <x v="1"/>
    <x v="2"/>
    <n v="2"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5"/>
    <x v="0"/>
    <n v="500"/>
    <x v="0"/>
  </r>
  <r>
    <x v="5"/>
    <x v="1"/>
    <s v="x"/>
    <x v="0"/>
  </r>
  <r>
    <x v="5"/>
    <x v="2"/>
    <n v="2"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3"/>
    <x v="0"/>
    <n v="500"/>
    <x v="0"/>
  </r>
  <r>
    <x v="3"/>
    <x v="1"/>
    <s v="x"/>
    <x v="0"/>
  </r>
  <r>
    <x v="3"/>
    <x v="2"/>
    <n v="1"/>
    <x v="0"/>
  </r>
  <r>
    <x v="3"/>
    <x v="3"/>
    <s v="x"/>
    <x v="0"/>
  </r>
  <r>
    <x v="3"/>
    <x v="4"/>
    <n v="1"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6"/>
    <x v="0"/>
    <s v="500"/>
    <x v="0"/>
  </r>
  <r>
    <x v="6"/>
    <x v="1"/>
    <s v="x"/>
    <x v="0"/>
  </r>
  <r>
    <x v="6"/>
    <x v="2"/>
    <n v="2"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4"/>
    <x v="0"/>
    <n v="500"/>
    <x v="0"/>
  </r>
  <r>
    <x v="4"/>
    <x v="1"/>
    <s v="x"/>
    <x v="0"/>
  </r>
  <r>
    <x v="4"/>
    <x v="2"/>
    <n v="2"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1"/>
    <x v="0"/>
    <s v="500"/>
    <x v="0"/>
  </r>
  <r>
    <x v="1"/>
    <x v="1"/>
    <s v="x"/>
    <x v="0"/>
  </r>
  <r>
    <x v="1"/>
    <x v="2"/>
    <n v="2"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0"/>
    <x v="0"/>
    <n v="500"/>
    <x v="0"/>
  </r>
  <r>
    <x v="0"/>
    <x v="1"/>
    <s v="x"/>
    <x v="0"/>
  </r>
  <r>
    <x v="0"/>
    <x v="2"/>
    <n v="2"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8"/>
    <x v="0"/>
    <s v="500"/>
    <x v="0"/>
  </r>
  <r>
    <x v="8"/>
    <x v="1"/>
    <s v="x"/>
    <x v="0"/>
  </r>
  <r>
    <x v="8"/>
    <x v="2"/>
    <n v="2"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0"/>
    <x v="0"/>
    <n v="500"/>
    <x v="0"/>
  </r>
  <r>
    <x v="0"/>
    <x v="1"/>
    <s v="x"/>
    <x v="0"/>
  </r>
  <r>
    <x v="0"/>
    <x v="2"/>
    <n v="1"/>
    <x v="0"/>
  </r>
  <r>
    <x v="0"/>
    <x v="3"/>
    <s v="x"/>
    <x v="0"/>
  </r>
  <r>
    <x v="0"/>
    <x v="4"/>
    <n v="1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8"/>
    <x v="0"/>
    <s v="500"/>
    <x v="0"/>
  </r>
  <r>
    <x v="8"/>
    <x v="1"/>
    <s v="x"/>
    <x v="0"/>
  </r>
  <r>
    <x v="8"/>
    <x v="2"/>
    <n v="2"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1"/>
    <x v="0"/>
    <s v="500"/>
    <x v="0"/>
  </r>
  <r>
    <x v="1"/>
    <x v="1"/>
    <s v="x"/>
    <x v="0"/>
  </r>
  <r>
    <x v="1"/>
    <x v="2"/>
    <n v="2"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5"/>
    <x v="0"/>
    <n v="500"/>
    <x v="0"/>
  </r>
  <r>
    <x v="5"/>
    <x v="1"/>
    <m/>
    <x v="0"/>
  </r>
  <r>
    <x v="5"/>
    <x v="2"/>
    <m/>
    <x v="0"/>
  </r>
  <r>
    <x v="5"/>
    <x v="3"/>
    <s v="x"/>
    <x v="0"/>
  </r>
  <r>
    <x v="5"/>
    <x v="4"/>
    <n v="2"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3"/>
    <x v="0"/>
    <n v="500"/>
    <x v="0"/>
  </r>
  <r>
    <x v="3"/>
    <x v="1"/>
    <s v="x"/>
    <x v="0"/>
  </r>
  <r>
    <x v="3"/>
    <x v="2"/>
    <n v="1"/>
    <x v="0"/>
  </r>
  <r>
    <x v="3"/>
    <x v="3"/>
    <s v="x"/>
    <x v="0"/>
  </r>
  <r>
    <x v="3"/>
    <x v="4"/>
    <n v="1"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1"/>
    <x v="0"/>
    <s v="500"/>
    <x v="0"/>
  </r>
  <r>
    <x v="1"/>
    <x v="1"/>
    <s v="x"/>
    <x v="0"/>
  </r>
  <r>
    <x v="1"/>
    <x v="2"/>
    <n v="1"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s v="500"/>
    <x v="0"/>
  </r>
  <r>
    <x v="1"/>
    <x v="1"/>
    <s v="x"/>
    <x v="0"/>
  </r>
  <r>
    <x v="1"/>
    <x v="2"/>
    <n v="1"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s v="500"/>
    <x v="0"/>
  </r>
  <r>
    <x v="1"/>
    <x v="1"/>
    <s v="x"/>
    <x v="0"/>
  </r>
  <r>
    <x v="1"/>
    <x v="2"/>
    <n v="1"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s v="x"/>
    <x v="0"/>
  </r>
  <r>
    <x v="3"/>
    <x v="4"/>
    <n v="1"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2"/>
    <x v="0"/>
    <n v="500"/>
    <x v="0"/>
  </r>
  <r>
    <x v="2"/>
    <x v="1"/>
    <m/>
    <x v="0"/>
  </r>
  <r>
    <x v="2"/>
    <x v="2"/>
    <m/>
    <x v="0"/>
  </r>
  <r>
    <x v="2"/>
    <x v="3"/>
    <s v="x"/>
    <x v="0"/>
  </r>
  <r>
    <x v="2"/>
    <x v="4"/>
    <n v="1"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5"/>
    <x v="0"/>
    <n v="500"/>
    <x v="0"/>
  </r>
  <r>
    <x v="5"/>
    <x v="1"/>
    <m/>
    <x v="0"/>
  </r>
  <r>
    <x v="5"/>
    <x v="2"/>
    <m/>
    <x v="0"/>
  </r>
  <r>
    <x v="5"/>
    <x v="3"/>
    <s v="x"/>
    <x v="0"/>
  </r>
  <r>
    <x v="5"/>
    <x v="4"/>
    <n v="1"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s v="x"/>
    <x v="0"/>
  </r>
  <r>
    <x v="1"/>
    <x v="4"/>
    <n v="1"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s v="500"/>
    <x v="0"/>
  </r>
  <r>
    <x v="1"/>
    <x v="1"/>
    <s v="x"/>
    <x v="0"/>
  </r>
  <r>
    <x v="1"/>
    <x v="2"/>
    <n v="1"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0"/>
    <x v="0"/>
    <n v="500"/>
    <x v="0"/>
  </r>
  <r>
    <x v="0"/>
    <x v="1"/>
    <s v="x"/>
    <x v="0"/>
  </r>
  <r>
    <x v="0"/>
    <x v="2"/>
    <n v="1"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1"/>
    <x v="0"/>
    <s v="500"/>
    <x v="0"/>
  </r>
  <r>
    <x v="1"/>
    <x v="1"/>
    <s v="x"/>
    <x v="0"/>
  </r>
  <r>
    <x v="1"/>
    <x v="2"/>
    <n v="1"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8"/>
    <x v="0"/>
    <s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4"/>
    <x v="0"/>
    <n v="500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9"/>
    <x v="0"/>
    <n v="500"/>
    <x v="0"/>
  </r>
  <r>
    <x v="9"/>
    <x v="1"/>
    <m/>
    <x v="0"/>
  </r>
  <r>
    <x v="9"/>
    <x v="2"/>
    <m/>
    <x v="0"/>
  </r>
  <r>
    <x v="9"/>
    <x v="3"/>
    <m/>
    <x v="0"/>
  </r>
  <r>
    <x v="9"/>
    <x v="4"/>
    <m/>
    <x v="0"/>
  </r>
  <r>
    <x v="9"/>
    <x v="5"/>
    <m/>
    <x v="0"/>
  </r>
  <r>
    <x v="9"/>
    <x v="6"/>
    <m/>
    <x v="0"/>
  </r>
  <r>
    <x v="9"/>
    <x v="7"/>
    <m/>
    <x v="0"/>
  </r>
  <r>
    <x v="9"/>
    <x v="8"/>
    <m/>
    <x v="0"/>
  </r>
  <r>
    <x v="0"/>
    <x v="0"/>
    <n v="500"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2"/>
    <x v="0"/>
    <n v="504"/>
    <x v="0"/>
  </r>
  <r>
    <x v="2"/>
    <x v="1"/>
    <m/>
    <x v="0"/>
  </r>
  <r>
    <x v="2"/>
    <x v="2"/>
    <m/>
    <x v="0"/>
  </r>
  <r>
    <x v="2"/>
    <x v="3"/>
    <m/>
    <x v="0"/>
  </r>
  <r>
    <x v="2"/>
    <x v="4"/>
    <m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8"/>
    <x v="0"/>
    <s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8"/>
    <x v="0"/>
    <s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8"/>
    <x v="0"/>
    <s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5"/>
    <x v="0"/>
    <n v="500"/>
    <x v="0"/>
  </r>
  <r>
    <x v="5"/>
    <x v="1"/>
    <m/>
    <x v="0"/>
  </r>
  <r>
    <x v="5"/>
    <x v="2"/>
    <m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5"/>
    <x v="0"/>
    <n v="500"/>
    <x v="0"/>
  </r>
  <r>
    <x v="5"/>
    <x v="1"/>
    <m/>
    <x v="0"/>
  </r>
  <r>
    <x v="5"/>
    <x v="2"/>
    <m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0"/>
    <x v="0"/>
    <n v="500"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5"/>
    <x v="0"/>
    <n v="500"/>
    <x v="0"/>
  </r>
  <r>
    <x v="5"/>
    <x v="1"/>
    <m/>
    <x v="0"/>
  </r>
  <r>
    <x v="5"/>
    <x v="2"/>
    <m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1"/>
    <x v="0"/>
    <s v="532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8"/>
    <x v="0"/>
    <s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4"/>
    <x v="0"/>
    <n v="500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4"/>
    <x v="0"/>
    <n v="500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8"/>
    <x v="0"/>
    <s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0"/>
    <x v="0"/>
    <n v="500"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1"/>
    <x v="0"/>
    <s v="519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4"/>
    <x v="0"/>
    <n v="500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8"/>
    <x v="0"/>
    <s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5"/>
    <x v="0"/>
    <n v="500"/>
    <x v="0"/>
  </r>
  <r>
    <x v="5"/>
    <x v="1"/>
    <m/>
    <x v="0"/>
  </r>
  <r>
    <x v="5"/>
    <x v="2"/>
    <m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5"/>
    <x v="0"/>
    <n v="500"/>
    <x v="0"/>
  </r>
  <r>
    <x v="5"/>
    <x v="1"/>
    <m/>
    <x v="0"/>
  </r>
  <r>
    <x v="5"/>
    <x v="2"/>
    <m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4"/>
    <x v="0"/>
    <n v="500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0"/>
    <x v="0"/>
    <n v="500"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0"/>
    <x v="0"/>
    <n v="500"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5"/>
    <x v="0"/>
    <n v="500"/>
    <x v="0"/>
  </r>
  <r>
    <x v="5"/>
    <x v="1"/>
    <m/>
    <x v="0"/>
  </r>
  <r>
    <x v="5"/>
    <x v="2"/>
    <m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8"/>
    <x v="0"/>
    <s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8"/>
    <x v="0"/>
    <s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0"/>
    <x v="0"/>
    <n v="500"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4"/>
    <x v="0"/>
    <n v="500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8"/>
    <x v="0"/>
    <s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8"/>
    <x v="0"/>
    <s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0"/>
    <x v="0"/>
    <n v="500"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0"/>
    <x v="0"/>
    <n v="500"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8"/>
    <x v="0"/>
    <s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0"/>
    <x v="0"/>
    <n v="500"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9"/>
    <x v="0"/>
    <n v="500"/>
    <x v="0"/>
  </r>
  <r>
    <x v="9"/>
    <x v="1"/>
    <m/>
    <x v="0"/>
  </r>
  <r>
    <x v="9"/>
    <x v="2"/>
    <m/>
    <x v="0"/>
  </r>
  <r>
    <x v="9"/>
    <x v="3"/>
    <m/>
    <x v="0"/>
  </r>
  <r>
    <x v="9"/>
    <x v="4"/>
    <m/>
    <x v="0"/>
  </r>
  <r>
    <x v="9"/>
    <x v="5"/>
    <m/>
    <x v="0"/>
  </r>
  <r>
    <x v="9"/>
    <x v="6"/>
    <m/>
    <x v="0"/>
  </r>
  <r>
    <x v="9"/>
    <x v="7"/>
    <m/>
    <x v="0"/>
  </r>
  <r>
    <x v="9"/>
    <x v="8"/>
    <m/>
    <x v="0"/>
  </r>
  <r>
    <x v="1"/>
    <x v="0"/>
    <s v="502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9"/>
    <x v="0"/>
    <n v="500"/>
    <x v="0"/>
  </r>
  <r>
    <x v="9"/>
    <x v="1"/>
    <m/>
    <x v="0"/>
  </r>
  <r>
    <x v="9"/>
    <x v="2"/>
    <m/>
    <x v="0"/>
  </r>
  <r>
    <x v="9"/>
    <x v="3"/>
    <m/>
    <x v="0"/>
  </r>
  <r>
    <x v="9"/>
    <x v="4"/>
    <m/>
    <x v="0"/>
  </r>
  <r>
    <x v="9"/>
    <x v="5"/>
    <m/>
    <x v="0"/>
  </r>
  <r>
    <x v="9"/>
    <x v="6"/>
    <m/>
    <x v="0"/>
  </r>
  <r>
    <x v="9"/>
    <x v="7"/>
    <m/>
    <x v="0"/>
  </r>
  <r>
    <x v="9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8"/>
    <x v="0"/>
    <s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2"/>
    <x v="0"/>
    <n v="500"/>
    <x v="0"/>
  </r>
  <r>
    <x v="2"/>
    <x v="1"/>
    <m/>
    <x v="0"/>
  </r>
  <r>
    <x v="2"/>
    <x v="2"/>
    <m/>
    <x v="0"/>
  </r>
  <r>
    <x v="2"/>
    <x v="3"/>
    <m/>
    <x v="0"/>
  </r>
  <r>
    <x v="2"/>
    <x v="4"/>
    <m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0"/>
    <x v="0"/>
    <n v="500"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5"/>
    <x v="0"/>
    <n v="500"/>
    <x v="0"/>
  </r>
  <r>
    <x v="5"/>
    <x v="1"/>
    <m/>
    <x v="0"/>
  </r>
  <r>
    <x v="5"/>
    <x v="2"/>
    <m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2"/>
    <x v="0"/>
    <n v="526"/>
    <x v="0"/>
  </r>
  <r>
    <x v="2"/>
    <x v="1"/>
    <m/>
    <x v="0"/>
  </r>
  <r>
    <x v="2"/>
    <x v="2"/>
    <m/>
    <x v="0"/>
  </r>
  <r>
    <x v="2"/>
    <x v="3"/>
    <m/>
    <x v="0"/>
  </r>
  <r>
    <x v="2"/>
    <x v="4"/>
    <m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0"/>
    <x v="0"/>
    <n v="500"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9"/>
    <x v="0"/>
    <n v="500"/>
    <x v="0"/>
  </r>
  <r>
    <x v="9"/>
    <x v="1"/>
    <m/>
    <x v="0"/>
  </r>
  <r>
    <x v="9"/>
    <x v="2"/>
    <m/>
    <x v="0"/>
  </r>
  <r>
    <x v="9"/>
    <x v="3"/>
    <m/>
    <x v="0"/>
  </r>
  <r>
    <x v="9"/>
    <x v="4"/>
    <m/>
    <x v="0"/>
  </r>
  <r>
    <x v="9"/>
    <x v="5"/>
    <m/>
    <x v="0"/>
  </r>
  <r>
    <x v="9"/>
    <x v="6"/>
    <m/>
    <x v="0"/>
  </r>
  <r>
    <x v="9"/>
    <x v="7"/>
    <m/>
    <x v="0"/>
  </r>
  <r>
    <x v="9"/>
    <x v="8"/>
    <m/>
    <x v="0"/>
  </r>
  <r>
    <x v="5"/>
    <x v="0"/>
    <n v="500"/>
    <x v="0"/>
  </r>
  <r>
    <x v="5"/>
    <x v="1"/>
    <m/>
    <x v="0"/>
  </r>
  <r>
    <x v="5"/>
    <x v="2"/>
    <m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8"/>
    <x v="0"/>
    <s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1"/>
    <x v="0"/>
    <s v="848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5"/>
    <x v="0"/>
    <n v="500"/>
    <x v="0"/>
  </r>
  <r>
    <x v="5"/>
    <x v="1"/>
    <m/>
    <x v="0"/>
  </r>
  <r>
    <x v="5"/>
    <x v="2"/>
    <m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0"/>
    <x v="0"/>
    <n v="678"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4"/>
    <x v="0"/>
    <n v="500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0"/>
    <x v="0"/>
    <n v="500"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0"/>
    <x v="0"/>
    <n v="500"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2"/>
    <x v="0"/>
    <n v="513"/>
    <x v="0"/>
  </r>
  <r>
    <x v="2"/>
    <x v="1"/>
    <m/>
    <x v="0"/>
  </r>
  <r>
    <x v="2"/>
    <x v="2"/>
    <m/>
    <x v="0"/>
  </r>
  <r>
    <x v="2"/>
    <x v="3"/>
    <m/>
    <x v="0"/>
  </r>
  <r>
    <x v="2"/>
    <x v="4"/>
    <m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2"/>
    <x v="0"/>
    <n v="500"/>
    <x v="0"/>
  </r>
  <r>
    <x v="2"/>
    <x v="1"/>
    <m/>
    <x v="0"/>
  </r>
  <r>
    <x v="2"/>
    <x v="2"/>
    <m/>
    <x v="0"/>
  </r>
  <r>
    <x v="2"/>
    <x v="3"/>
    <m/>
    <x v="0"/>
  </r>
  <r>
    <x v="2"/>
    <x v="4"/>
    <m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0"/>
    <x v="0"/>
    <m/>
    <x v="0"/>
  </r>
  <r>
    <x v="10"/>
    <x v="1"/>
    <m/>
    <x v="0"/>
  </r>
  <r>
    <x v="10"/>
    <x v="2"/>
    <m/>
    <x v="0"/>
  </r>
  <r>
    <x v="10"/>
    <x v="3"/>
    <m/>
    <x v="0"/>
  </r>
  <r>
    <x v="10"/>
    <x v="4"/>
    <m/>
    <x v="0"/>
  </r>
  <r>
    <x v="10"/>
    <x v="5"/>
    <m/>
    <x v="0"/>
  </r>
  <r>
    <x v="10"/>
    <x v="6"/>
    <m/>
    <x v="0"/>
  </r>
  <r>
    <x v="10"/>
    <x v="7"/>
    <m/>
    <x v="0"/>
  </r>
  <r>
    <x v="10"/>
    <x v="8"/>
    <m/>
    <x v="0"/>
  </r>
  <r>
    <x v="0"/>
    <x v="0"/>
    <m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6"/>
    <x v="0"/>
    <m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4"/>
    <x v="0"/>
    <m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1"/>
    <x v="0"/>
    <m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9"/>
    <x v="0"/>
    <m/>
    <x v="0"/>
  </r>
  <r>
    <x v="9"/>
    <x v="1"/>
    <m/>
    <x v="0"/>
  </r>
  <r>
    <x v="9"/>
    <x v="2"/>
    <m/>
    <x v="0"/>
  </r>
  <r>
    <x v="9"/>
    <x v="3"/>
    <m/>
    <x v="0"/>
  </r>
  <r>
    <x v="9"/>
    <x v="4"/>
    <m/>
    <x v="0"/>
  </r>
  <r>
    <x v="9"/>
    <x v="5"/>
    <m/>
    <x v="0"/>
  </r>
  <r>
    <x v="9"/>
    <x v="6"/>
    <m/>
    <x v="0"/>
  </r>
  <r>
    <x v="9"/>
    <x v="7"/>
    <m/>
    <x v="0"/>
  </r>
  <r>
    <x v="9"/>
    <x v="8"/>
    <m/>
    <x v="0"/>
  </r>
  <r>
    <x v="3"/>
    <x v="0"/>
    <m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8"/>
    <x v="0"/>
    <m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7"/>
    <x v="0"/>
    <m/>
    <x v="0"/>
  </r>
  <r>
    <x v="7"/>
    <x v="1"/>
    <m/>
    <x v="0"/>
  </r>
  <r>
    <x v="7"/>
    <x v="2"/>
    <m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2"/>
    <x v="0"/>
    <m/>
    <x v="0"/>
  </r>
  <r>
    <x v="2"/>
    <x v="1"/>
    <m/>
    <x v="0"/>
  </r>
  <r>
    <x v="2"/>
    <x v="2"/>
    <m/>
    <x v="0"/>
  </r>
  <r>
    <x v="2"/>
    <x v="3"/>
    <m/>
    <x v="0"/>
  </r>
  <r>
    <x v="2"/>
    <x v="4"/>
    <m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5"/>
    <x v="0"/>
    <m/>
    <x v="0"/>
  </r>
  <r>
    <x v="5"/>
    <x v="1"/>
    <m/>
    <x v="0"/>
  </r>
  <r>
    <x v="5"/>
    <x v="2"/>
    <m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4">
  <r>
    <x v="0"/>
    <x v="0"/>
    <n v="574"/>
    <x v="0"/>
  </r>
  <r>
    <x v="0"/>
    <x v="1"/>
    <s v="x"/>
    <x v="0"/>
  </r>
  <r>
    <x v="0"/>
    <x v="2"/>
    <n v="13"/>
    <x v="0"/>
  </r>
  <r>
    <x v="0"/>
    <x v="3"/>
    <s v="x"/>
    <x v="0"/>
  </r>
  <r>
    <x v="0"/>
    <x v="4"/>
    <n v="10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1"/>
    <x v="0"/>
    <n v="660"/>
    <x v="0"/>
  </r>
  <r>
    <x v="1"/>
    <x v="1"/>
    <s v="x"/>
    <x v="0"/>
  </r>
  <r>
    <x v="1"/>
    <x v="2"/>
    <n v="10"/>
    <x v="0"/>
  </r>
  <r>
    <x v="1"/>
    <x v="3"/>
    <s v="x"/>
    <x v="0"/>
  </r>
  <r>
    <x v="1"/>
    <x v="4"/>
    <n v="12"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2"/>
    <x v="0"/>
    <n v="563"/>
    <x v="0"/>
  </r>
  <r>
    <x v="2"/>
    <x v="1"/>
    <s v="x"/>
    <x v="0"/>
  </r>
  <r>
    <x v="2"/>
    <x v="2"/>
    <n v="9"/>
    <x v="0"/>
  </r>
  <r>
    <x v="2"/>
    <x v="3"/>
    <s v="x"/>
    <x v="0"/>
  </r>
  <r>
    <x v="2"/>
    <x v="4"/>
    <n v="8"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1"/>
    <x v="0"/>
    <n v="636"/>
    <x v="0"/>
  </r>
  <r>
    <x v="1"/>
    <x v="1"/>
    <s v="x"/>
    <x v="0"/>
  </r>
  <r>
    <x v="1"/>
    <x v="2"/>
    <n v="9"/>
    <x v="0"/>
  </r>
  <r>
    <x v="1"/>
    <x v="3"/>
    <s v="x"/>
    <x v="0"/>
  </r>
  <r>
    <x v="1"/>
    <x v="4"/>
    <n v="8"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n v="617"/>
    <x v="0"/>
  </r>
  <r>
    <x v="1"/>
    <x v="1"/>
    <s v="x"/>
    <x v="0"/>
  </r>
  <r>
    <x v="1"/>
    <x v="2"/>
    <n v="9"/>
    <x v="0"/>
  </r>
  <r>
    <x v="1"/>
    <x v="3"/>
    <s v="x"/>
    <x v="0"/>
  </r>
  <r>
    <x v="1"/>
    <x v="4"/>
    <n v="8"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3"/>
    <x v="0"/>
    <n v="500"/>
    <x v="0"/>
  </r>
  <r>
    <x v="3"/>
    <x v="1"/>
    <s v="x"/>
    <x v="0"/>
  </r>
  <r>
    <x v="3"/>
    <x v="2"/>
    <n v="9"/>
    <x v="0"/>
  </r>
  <r>
    <x v="3"/>
    <x v="3"/>
    <s v="x"/>
    <x v="0"/>
  </r>
  <r>
    <x v="3"/>
    <x v="4"/>
    <n v="8"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2"/>
    <x v="0"/>
    <n v="500"/>
    <x v="0"/>
  </r>
  <r>
    <x v="2"/>
    <x v="1"/>
    <s v="x"/>
    <x v="0"/>
  </r>
  <r>
    <x v="2"/>
    <x v="2"/>
    <n v="8"/>
    <x v="0"/>
  </r>
  <r>
    <x v="2"/>
    <x v="3"/>
    <s v="x"/>
    <x v="0"/>
  </r>
  <r>
    <x v="2"/>
    <x v="4"/>
    <n v="9"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4"/>
    <x v="0"/>
    <n v="532"/>
    <x v="0"/>
  </r>
  <r>
    <x v="4"/>
    <x v="1"/>
    <s v="x"/>
    <x v="0"/>
  </r>
  <r>
    <x v="4"/>
    <x v="2"/>
    <n v="8"/>
    <x v="0"/>
  </r>
  <r>
    <x v="4"/>
    <x v="3"/>
    <s v="x"/>
    <x v="0"/>
  </r>
  <r>
    <x v="4"/>
    <x v="4"/>
    <n v="7"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5"/>
    <x v="0"/>
    <n v="500"/>
    <x v="0"/>
  </r>
  <r>
    <x v="5"/>
    <x v="1"/>
    <s v="x"/>
    <x v="0"/>
  </r>
  <r>
    <x v="5"/>
    <x v="2"/>
    <n v="8"/>
    <x v="0"/>
  </r>
  <r>
    <x v="5"/>
    <x v="3"/>
    <s v="x"/>
    <x v="0"/>
  </r>
  <r>
    <x v="5"/>
    <x v="4"/>
    <n v="7"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0"/>
    <x v="0"/>
    <n v="500"/>
    <x v="0"/>
  </r>
  <r>
    <x v="0"/>
    <x v="1"/>
    <s v="x"/>
    <x v="0"/>
  </r>
  <r>
    <x v="0"/>
    <x v="2"/>
    <n v="8"/>
    <x v="0"/>
  </r>
  <r>
    <x v="0"/>
    <x v="3"/>
    <s v="x"/>
    <x v="0"/>
  </r>
  <r>
    <x v="0"/>
    <x v="4"/>
    <n v="6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0"/>
    <x v="0"/>
    <n v="500"/>
    <x v="0"/>
  </r>
  <r>
    <x v="0"/>
    <x v="1"/>
    <s v="x"/>
    <x v="0"/>
  </r>
  <r>
    <x v="0"/>
    <x v="2"/>
    <n v="7"/>
    <x v="0"/>
  </r>
  <r>
    <x v="0"/>
    <x v="3"/>
    <s v="x"/>
    <x v="0"/>
  </r>
  <r>
    <x v="0"/>
    <x v="4"/>
    <n v="7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6"/>
    <x v="0"/>
    <n v="500"/>
    <x v="0"/>
  </r>
  <r>
    <x v="6"/>
    <x v="1"/>
    <s v="x"/>
    <x v="0"/>
  </r>
  <r>
    <x v="6"/>
    <x v="2"/>
    <n v="7"/>
    <x v="0"/>
  </r>
  <r>
    <x v="6"/>
    <x v="3"/>
    <s v="x"/>
    <x v="0"/>
  </r>
  <r>
    <x v="6"/>
    <x v="4"/>
    <n v="7"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7"/>
    <x v="0"/>
    <n v="500"/>
    <x v="0"/>
  </r>
  <r>
    <x v="7"/>
    <x v="1"/>
    <s v="x"/>
    <x v="0"/>
  </r>
  <r>
    <x v="7"/>
    <x v="2"/>
    <n v="7"/>
    <x v="0"/>
  </r>
  <r>
    <x v="7"/>
    <x v="3"/>
    <s v="x"/>
    <x v="0"/>
  </r>
  <r>
    <x v="7"/>
    <x v="4"/>
    <n v="6"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1"/>
    <x v="0"/>
    <n v="525"/>
    <x v="0"/>
  </r>
  <r>
    <x v="1"/>
    <x v="1"/>
    <s v="x"/>
    <x v="0"/>
  </r>
  <r>
    <x v="1"/>
    <x v="2"/>
    <n v="7"/>
    <x v="0"/>
  </r>
  <r>
    <x v="1"/>
    <x v="3"/>
    <s v="x"/>
    <x v="0"/>
  </r>
  <r>
    <x v="1"/>
    <x v="4"/>
    <n v="6"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4"/>
    <x v="0"/>
    <n v="500"/>
    <x v="0"/>
  </r>
  <r>
    <x v="4"/>
    <x v="1"/>
    <s v="x"/>
    <x v="0"/>
  </r>
  <r>
    <x v="4"/>
    <x v="2"/>
    <n v="7"/>
    <x v="0"/>
  </r>
  <r>
    <x v="4"/>
    <x v="3"/>
    <s v="x"/>
    <x v="0"/>
  </r>
  <r>
    <x v="4"/>
    <x v="4"/>
    <n v="6"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1"/>
    <x v="0"/>
    <n v="715"/>
    <x v="0"/>
  </r>
  <r>
    <x v="1"/>
    <x v="1"/>
    <s v="x"/>
    <x v="0"/>
  </r>
  <r>
    <x v="1"/>
    <x v="2"/>
    <n v="11"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5"/>
    <x v="0"/>
    <n v="500"/>
    <x v="0"/>
  </r>
  <r>
    <x v="5"/>
    <x v="1"/>
    <s v="x"/>
    <x v="0"/>
  </r>
  <r>
    <x v="5"/>
    <x v="2"/>
    <n v="7"/>
    <x v="0"/>
  </r>
  <r>
    <x v="5"/>
    <x v="3"/>
    <s v="x"/>
    <x v="0"/>
  </r>
  <r>
    <x v="5"/>
    <x v="4"/>
    <n v="3"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6"/>
    <x v="0"/>
    <n v="619"/>
    <x v="0"/>
  </r>
  <r>
    <x v="6"/>
    <x v="1"/>
    <s v="x"/>
    <x v="0"/>
  </r>
  <r>
    <x v="6"/>
    <x v="2"/>
    <n v="10"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6"/>
    <x v="0"/>
    <n v="500"/>
    <x v="0"/>
  </r>
  <r>
    <x v="6"/>
    <x v="1"/>
    <s v="x"/>
    <x v="0"/>
  </r>
  <r>
    <x v="6"/>
    <x v="2"/>
    <n v="4"/>
    <x v="0"/>
  </r>
  <r>
    <x v="6"/>
    <x v="3"/>
    <s v="x"/>
    <x v="0"/>
  </r>
  <r>
    <x v="6"/>
    <x v="4"/>
    <n v="6"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s v="x"/>
    <x v="0"/>
  </r>
  <r>
    <x v="1"/>
    <x v="4"/>
    <n v="9"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6"/>
    <x v="0"/>
    <n v="500"/>
    <x v="0"/>
  </r>
  <r>
    <x v="6"/>
    <x v="1"/>
    <s v="x"/>
    <x v="0"/>
  </r>
  <r>
    <x v="6"/>
    <x v="2"/>
    <n v="8"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2"/>
    <x v="0"/>
    <n v="500"/>
    <x v="0"/>
  </r>
  <r>
    <x v="2"/>
    <x v="1"/>
    <s v="x"/>
    <x v="0"/>
  </r>
  <r>
    <x v="2"/>
    <x v="2"/>
    <n v="2"/>
    <x v="0"/>
  </r>
  <r>
    <x v="2"/>
    <x v="3"/>
    <s v="x"/>
    <x v="0"/>
  </r>
  <r>
    <x v="2"/>
    <x v="4"/>
    <n v="6"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4"/>
    <x v="0"/>
    <n v="500"/>
    <x v="0"/>
  </r>
  <r>
    <x v="4"/>
    <x v="1"/>
    <s v="x"/>
    <x v="0"/>
  </r>
  <r>
    <x v="4"/>
    <x v="2"/>
    <n v="7"/>
    <x v="0"/>
  </r>
  <r>
    <x v="4"/>
    <x v="3"/>
    <s v="x"/>
    <x v="0"/>
  </r>
  <r>
    <x v="4"/>
    <x v="4"/>
    <n v="1"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6"/>
    <x v="0"/>
    <n v="500"/>
    <x v="0"/>
  </r>
  <r>
    <x v="6"/>
    <x v="1"/>
    <s v="x"/>
    <x v="0"/>
  </r>
  <r>
    <x v="6"/>
    <x v="2"/>
    <n v="8"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4"/>
    <x v="0"/>
    <n v="500"/>
    <x v="0"/>
  </r>
  <r>
    <x v="4"/>
    <x v="1"/>
    <s v="x"/>
    <x v="0"/>
  </r>
  <r>
    <x v="4"/>
    <x v="2"/>
    <n v="8"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6"/>
    <x v="0"/>
    <n v="500"/>
    <x v="0"/>
  </r>
  <r>
    <x v="6"/>
    <x v="1"/>
    <s v="x"/>
    <x v="0"/>
  </r>
  <r>
    <x v="6"/>
    <x v="2"/>
    <n v="8"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6"/>
    <x v="0"/>
    <n v="500"/>
    <x v="0"/>
  </r>
  <r>
    <x v="6"/>
    <x v="1"/>
    <s v="x"/>
    <x v="0"/>
  </r>
  <r>
    <x v="6"/>
    <x v="2"/>
    <n v="7"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7"/>
    <x v="0"/>
    <n v="500"/>
    <x v="0"/>
  </r>
  <r>
    <x v="7"/>
    <x v="1"/>
    <s v="x"/>
    <x v="0"/>
  </r>
  <r>
    <x v="7"/>
    <x v="2"/>
    <n v="7"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4"/>
    <x v="0"/>
    <n v="500"/>
    <x v="0"/>
  </r>
  <r>
    <x v="4"/>
    <x v="1"/>
    <s v="x"/>
    <x v="0"/>
  </r>
  <r>
    <x v="4"/>
    <x v="2"/>
    <n v="7"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6"/>
    <x v="0"/>
    <n v="500"/>
    <x v="0"/>
  </r>
  <r>
    <x v="6"/>
    <x v="1"/>
    <s v="x"/>
    <x v="0"/>
  </r>
  <r>
    <x v="6"/>
    <x v="2"/>
    <n v="7"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1"/>
    <x v="0"/>
    <n v="576"/>
    <x v="0"/>
  </r>
  <r>
    <x v="1"/>
    <x v="1"/>
    <m/>
    <x v="0"/>
  </r>
  <r>
    <x v="1"/>
    <x v="2"/>
    <m/>
    <x v="0"/>
  </r>
  <r>
    <x v="1"/>
    <x v="3"/>
    <s v="x"/>
    <x v="0"/>
  </r>
  <r>
    <x v="1"/>
    <x v="4"/>
    <n v="7"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0"/>
    <x v="0"/>
    <n v="500"/>
    <x v="0"/>
  </r>
  <r>
    <x v="0"/>
    <x v="1"/>
    <s v="x"/>
    <x v="0"/>
  </r>
  <r>
    <x v="0"/>
    <x v="2"/>
    <n v="7"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0"/>
    <x v="0"/>
    <n v="575"/>
    <x v="0"/>
  </r>
  <r>
    <x v="0"/>
    <x v="1"/>
    <m/>
    <x v="0"/>
  </r>
  <r>
    <x v="0"/>
    <x v="2"/>
    <m/>
    <x v="0"/>
  </r>
  <r>
    <x v="0"/>
    <x v="3"/>
    <s v="x"/>
    <x v="0"/>
  </r>
  <r>
    <x v="0"/>
    <x v="4"/>
    <n v="7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6"/>
    <x v="0"/>
    <n v="500"/>
    <x v="0"/>
  </r>
  <r>
    <x v="6"/>
    <x v="1"/>
    <s v="x"/>
    <x v="0"/>
  </r>
  <r>
    <x v="6"/>
    <x v="2"/>
    <n v="7"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3"/>
    <x v="0"/>
    <n v="500"/>
    <x v="0"/>
  </r>
  <r>
    <x v="3"/>
    <x v="1"/>
    <s v="x"/>
    <x v="0"/>
  </r>
  <r>
    <x v="3"/>
    <x v="2"/>
    <n v="7"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s v="x"/>
    <x v="0"/>
  </r>
  <r>
    <x v="1"/>
    <x v="4"/>
    <n v="7"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0"/>
    <x v="0"/>
    <n v="500"/>
    <x v="0"/>
  </r>
  <r>
    <x v="0"/>
    <x v="1"/>
    <m/>
    <x v="0"/>
  </r>
  <r>
    <x v="0"/>
    <x v="2"/>
    <m/>
    <x v="0"/>
  </r>
  <r>
    <x v="0"/>
    <x v="3"/>
    <s v="x"/>
    <x v="0"/>
  </r>
  <r>
    <x v="0"/>
    <x v="4"/>
    <n v="7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3"/>
    <x v="0"/>
    <n v="500"/>
    <x v="0"/>
  </r>
  <r>
    <x v="3"/>
    <x v="1"/>
    <s v="x"/>
    <x v="0"/>
  </r>
  <r>
    <x v="3"/>
    <x v="2"/>
    <n v="7"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6"/>
    <x v="0"/>
    <n v="500"/>
    <x v="0"/>
  </r>
  <r>
    <x v="6"/>
    <x v="1"/>
    <m/>
    <x v="0"/>
  </r>
  <r>
    <x v="6"/>
    <x v="2"/>
    <m/>
    <x v="0"/>
  </r>
  <r>
    <x v="6"/>
    <x v="3"/>
    <s v="x"/>
    <x v="0"/>
  </r>
  <r>
    <x v="6"/>
    <x v="4"/>
    <n v="6"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0"/>
    <x v="0"/>
    <n v="500"/>
    <x v="0"/>
  </r>
  <r>
    <x v="0"/>
    <x v="1"/>
    <m/>
    <x v="0"/>
  </r>
  <r>
    <x v="0"/>
    <x v="2"/>
    <m/>
    <x v="0"/>
  </r>
  <r>
    <x v="0"/>
    <x v="3"/>
    <s v="x"/>
    <x v="0"/>
  </r>
  <r>
    <x v="0"/>
    <x v="4"/>
    <n v="6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6"/>
    <x v="0"/>
    <n v="500"/>
    <x v="0"/>
  </r>
  <r>
    <x v="6"/>
    <x v="1"/>
    <m/>
    <x v="0"/>
  </r>
  <r>
    <x v="6"/>
    <x v="2"/>
    <m/>
    <x v="0"/>
  </r>
  <r>
    <x v="6"/>
    <x v="3"/>
    <s v="x"/>
    <x v="0"/>
  </r>
  <r>
    <x v="6"/>
    <x v="4"/>
    <n v="6"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6"/>
    <x v="0"/>
    <n v="500"/>
    <x v="0"/>
  </r>
  <r>
    <x v="6"/>
    <x v="1"/>
    <s v="x"/>
    <x v="0"/>
  </r>
  <r>
    <x v="6"/>
    <x v="2"/>
    <n v="2"/>
    <x v="0"/>
  </r>
  <r>
    <x v="6"/>
    <x v="3"/>
    <s v="x"/>
    <x v="0"/>
  </r>
  <r>
    <x v="6"/>
    <x v="4"/>
    <n v="4"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2"/>
    <x v="0"/>
    <n v="500"/>
    <x v="0"/>
  </r>
  <r>
    <x v="2"/>
    <x v="1"/>
    <s v="x"/>
    <x v="0"/>
  </r>
  <r>
    <x v="2"/>
    <x v="2"/>
    <n v="5"/>
    <x v="0"/>
  </r>
  <r>
    <x v="2"/>
    <x v="3"/>
    <m/>
    <x v="0"/>
  </r>
  <r>
    <x v="2"/>
    <x v="4"/>
    <m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5"/>
    <x v="0"/>
    <n v="500"/>
    <x v="0"/>
  </r>
  <r>
    <x v="5"/>
    <x v="1"/>
    <s v="x"/>
    <x v="0"/>
  </r>
  <r>
    <x v="5"/>
    <x v="2"/>
    <n v="4"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4"/>
    <x v="0"/>
    <n v="500"/>
    <x v="0"/>
  </r>
  <r>
    <x v="4"/>
    <x v="1"/>
    <s v="x"/>
    <x v="0"/>
  </r>
  <r>
    <x v="4"/>
    <x v="2"/>
    <n v="3"/>
    <x v="0"/>
  </r>
  <r>
    <x v="4"/>
    <x v="3"/>
    <s v="x"/>
    <x v="0"/>
  </r>
  <r>
    <x v="4"/>
    <x v="4"/>
    <n v="1"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3"/>
    <x v="0"/>
    <n v="500"/>
    <x v="0"/>
  </r>
  <r>
    <x v="3"/>
    <x v="1"/>
    <s v="x"/>
    <x v="0"/>
  </r>
  <r>
    <x v="3"/>
    <x v="2"/>
    <n v="2"/>
    <x v="0"/>
  </r>
  <r>
    <x v="3"/>
    <x v="3"/>
    <s v="x"/>
    <x v="0"/>
  </r>
  <r>
    <x v="3"/>
    <x v="4"/>
    <n v="2"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5"/>
    <x v="0"/>
    <n v="500"/>
    <x v="0"/>
  </r>
  <r>
    <x v="5"/>
    <x v="1"/>
    <s v="x"/>
    <x v="0"/>
  </r>
  <r>
    <x v="5"/>
    <x v="2"/>
    <n v="3"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5"/>
    <x v="0"/>
    <n v="500"/>
    <x v="0"/>
  </r>
  <r>
    <x v="5"/>
    <x v="1"/>
    <s v="x"/>
    <x v="0"/>
  </r>
  <r>
    <x v="5"/>
    <x v="2"/>
    <n v="3"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2"/>
    <x v="0"/>
    <n v="500"/>
    <x v="0"/>
  </r>
  <r>
    <x v="2"/>
    <x v="1"/>
    <s v="x"/>
    <x v="0"/>
  </r>
  <r>
    <x v="2"/>
    <x v="2"/>
    <n v="3"/>
    <x v="0"/>
  </r>
  <r>
    <x v="2"/>
    <x v="3"/>
    <m/>
    <x v="0"/>
  </r>
  <r>
    <x v="2"/>
    <x v="4"/>
    <m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6"/>
    <x v="0"/>
    <n v="500"/>
    <x v="0"/>
  </r>
  <r>
    <x v="6"/>
    <x v="1"/>
    <s v="x"/>
    <x v="0"/>
  </r>
  <r>
    <x v="6"/>
    <x v="2"/>
    <n v="1"/>
    <x v="0"/>
  </r>
  <r>
    <x v="6"/>
    <x v="3"/>
    <s v="x"/>
    <x v="0"/>
  </r>
  <r>
    <x v="6"/>
    <x v="4"/>
    <n v="2"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6"/>
    <x v="0"/>
    <m/>
    <x v="0"/>
  </r>
  <r>
    <x v="6"/>
    <x v="1"/>
    <m/>
    <x v="0"/>
  </r>
  <r>
    <x v="6"/>
    <x v="2"/>
    <m/>
    <x v="0"/>
  </r>
  <r>
    <x v="6"/>
    <x v="3"/>
    <s v="x"/>
    <x v="0"/>
  </r>
  <r>
    <x v="6"/>
    <x v="4"/>
    <n v="3"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3"/>
    <x v="0"/>
    <n v="500"/>
    <x v="0"/>
  </r>
  <r>
    <x v="3"/>
    <x v="1"/>
    <s v="x"/>
    <x v="0"/>
  </r>
  <r>
    <x v="3"/>
    <x v="2"/>
    <n v="2"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8"/>
    <x v="0"/>
    <n v="500"/>
    <x v="0"/>
  </r>
  <r>
    <x v="8"/>
    <x v="1"/>
    <s v="x"/>
    <x v="0"/>
  </r>
  <r>
    <x v="8"/>
    <x v="2"/>
    <n v="1"/>
    <x v="0"/>
  </r>
  <r>
    <x v="8"/>
    <x v="3"/>
    <s v="x"/>
    <x v="0"/>
  </r>
  <r>
    <x v="8"/>
    <x v="4"/>
    <n v="1"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4"/>
    <x v="0"/>
    <n v="500"/>
    <x v="0"/>
  </r>
  <r>
    <x v="4"/>
    <x v="1"/>
    <s v="x"/>
    <x v="0"/>
  </r>
  <r>
    <x v="4"/>
    <x v="2"/>
    <n v="2"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2"/>
    <x v="0"/>
    <n v="500"/>
    <x v="0"/>
  </r>
  <r>
    <x v="2"/>
    <x v="1"/>
    <s v="x"/>
    <x v="0"/>
  </r>
  <r>
    <x v="2"/>
    <x v="2"/>
    <n v="1"/>
    <x v="0"/>
  </r>
  <r>
    <x v="2"/>
    <x v="3"/>
    <s v="x"/>
    <x v="0"/>
  </r>
  <r>
    <x v="2"/>
    <x v="4"/>
    <n v="1"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3"/>
    <x v="0"/>
    <n v="500"/>
    <x v="0"/>
  </r>
  <r>
    <x v="3"/>
    <x v="1"/>
    <s v="x"/>
    <x v="0"/>
  </r>
  <r>
    <x v="3"/>
    <x v="2"/>
    <n v="1"/>
    <x v="0"/>
  </r>
  <r>
    <x v="3"/>
    <x v="3"/>
    <s v="x"/>
    <x v="0"/>
  </r>
  <r>
    <x v="3"/>
    <x v="4"/>
    <n v="1"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9"/>
    <x v="0"/>
    <n v="500"/>
    <x v="0"/>
  </r>
  <r>
    <x v="9"/>
    <x v="1"/>
    <m/>
    <x v="0"/>
  </r>
  <r>
    <x v="9"/>
    <x v="2"/>
    <m/>
    <x v="0"/>
  </r>
  <r>
    <x v="9"/>
    <x v="3"/>
    <s v="x"/>
    <x v="0"/>
  </r>
  <r>
    <x v="9"/>
    <x v="4"/>
    <n v="2"/>
    <x v="0"/>
  </r>
  <r>
    <x v="9"/>
    <x v="5"/>
    <m/>
    <x v="0"/>
  </r>
  <r>
    <x v="9"/>
    <x v="6"/>
    <m/>
    <x v="0"/>
  </r>
  <r>
    <x v="9"/>
    <x v="7"/>
    <m/>
    <x v="0"/>
  </r>
  <r>
    <x v="9"/>
    <x v="8"/>
    <m/>
    <x v="0"/>
  </r>
  <r>
    <x v="5"/>
    <x v="0"/>
    <n v="500"/>
    <x v="0"/>
  </r>
  <r>
    <x v="5"/>
    <x v="1"/>
    <s v="x"/>
    <x v="0"/>
  </r>
  <r>
    <x v="5"/>
    <x v="2"/>
    <n v="2"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2"/>
    <x v="0"/>
    <n v="500"/>
    <x v="0"/>
  </r>
  <r>
    <x v="2"/>
    <x v="1"/>
    <m/>
    <x v="0"/>
  </r>
  <r>
    <x v="2"/>
    <x v="2"/>
    <m/>
    <x v="0"/>
  </r>
  <r>
    <x v="2"/>
    <x v="3"/>
    <s v="x"/>
    <x v="0"/>
  </r>
  <r>
    <x v="2"/>
    <x v="4"/>
    <n v="2"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3"/>
    <x v="0"/>
    <n v="500"/>
    <x v="0"/>
  </r>
  <r>
    <x v="3"/>
    <x v="1"/>
    <s v="x"/>
    <x v="0"/>
  </r>
  <r>
    <x v="3"/>
    <x v="2"/>
    <n v="2"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1"/>
    <x v="0"/>
    <n v="500"/>
    <x v="0"/>
  </r>
  <r>
    <x v="1"/>
    <x v="1"/>
    <s v="x"/>
    <x v="0"/>
  </r>
  <r>
    <x v="1"/>
    <x v="2"/>
    <n v="1"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3"/>
    <x v="0"/>
    <n v="500"/>
    <x v="0"/>
  </r>
  <r>
    <x v="3"/>
    <x v="1"/>
    <s v="x"/>
    <x v="0"/>
  </r>
  <r>
    <x v="3"/>
    <x v="2"/>
    <n v="1"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s v="x"/>
    <x v="0"/>
  </r>
  <r>
    <x v="3"/>
    <x v="4"/>
    <n v="1"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6"/>
    <x v="0"/>
    <n v="500"/>
    <x v="0"/>
  </r>
  <r>
    <x v="6"/>
    <x v="1"/>
    <s v="x"/>
    <x v="0"/>
  </r>
  <r>
    <x v="6"/>
    <x v="2"/>
    <n v="1"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1"/>
    <x v="0"/>
    <n v="500"/>
    <x v="0"/>
  </r>
  <r>
    <x v="1"/>
    <x v="1"/>
    <s v="x"/>
    <x v="0"/>
  </r>
  <r>
    <x v="1"/>
    <x v="2"/>
    <n v="1"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4"/>
    <x v="0"/>
    <n v="500"/>
    <x v="0"/>
  </r>
  <r>
    <x v="4"/>
    <x v="1"/>
    <s v="x"/>
    <x v="0"/>
  </r>
  <r>
    <x v="4"/>
    <x v="2"/>
    <n v="1"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6"/>
    <x v="0"/>
    <n v="500"/>
    <x v="0"/>
  </r>
  <r>
    <x v="6"/>
    <x v="1"/>
    <s v="x"/>
    <x v="0"/>
  </r>
  <r>
    <x v="6"/>
    <x v="2"/>
    <n v="1"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s v="x"/>
    <x v="0"/>
  </r>
  <r>
    <x v="3"/>
    <x v="4"/>
    <n v="1"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1"/>
    <x v="0"/>
    <n v="500"/>
    <x v="0"/>
  </r>
  <r>
    <x v="1"/>
    <x v="1"/>
    <s v="x"/>
    <x v="0"/>
  </r>
  <r>
    <x v="1"/>
    <x v="2"/>
    <n v="1"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6"/>
    <x v="0"/>
    <n v="500"/>
    <x v="0"/>
  </r>
  <r>
    <x v="6"/>
    <x v="1"/>
    <s v="x"/>
    <x v="0"/>
  </r>
  <r>
    <x v="6"/>
    <x v="2"/>
    <n v="1"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10"/>
    <x v="0"/>
    <n v="500"/>
    <x v="0"/>
  </r>
  <r>
    <x v="10"/>
    <x v="1"/>
    <s v="x"/>
    <x v="0"/>
  </r>
  <r>
    <x v="10"/>
    <x v="2"/>
    <n v="1"/>
    <x v="0"/>
  </r>
  <r>
    <x v="10"/>
    <x v="3"/>
    <m/>
    <x v="0"/>
  </r>
  <r>
    <x v="10"/>
    <x v="4"/>
    <m/>
    <x v="0"/>
  </r>
  <r>
    <x v="10"/>
    <x v="5"/>
    <m/>
    <x v="0"/>
  </r>
  <r>
    <x v="10"/>
    <x v="6"/>
    <m/>
    <x v="0"/>
  </r>
  <r>
    <x v="10"/>
    <x v="7"/>
    <m/>
    <x v="0"/>
  </r>
  <r>
    <x v="10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4"/>
    <x v="0"/>
    <n v="500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4"/>
    <x v="0"/>
    <n v="500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3"/>
    <x v="0"/>
    <s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8"/>
    <x v="0"/>
    <n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6"/>
    <x v="0"/>
    <n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8"/>
    <x v="0"/>
    <n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8"/>
    <x v="0"/>
    <n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4"/>
    <x v="0"/>
    <n v="500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1"/>
    <x v="0"/>
    <n v="815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n v="851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0"/>
    <x v="0"/>
    <n v="500"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5"/>
    <x v="0"/>
    <n v="500"/>
    <x v="0"/>
  </r>
  <r>
    <x v="5"/>
    <x v="1"/>
    <m/>
    <x v="0"/>
  </r>
  <r>
    <x v="5"/>
    <x v="2"/>
    <m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0"/>
    <x v="0"/>
    <n v="500"/>
    <x v="0"/>
  </r>
  <r>
    <x v="10"/>
    <x v="1"/>
    <m/>
    <x v="0"/>
  </r>
  <r>
    <x v="10"/>
    <x v="2"/>
    <m/>
    <x v="0"/>
  </r>
  <r>
    <x v="10"/>
    <x v="3"/>
    <m/>
    <x v="0"/>
  </r>
  <r>
    <x v="10"/>
    <x v="4"/>
    <m/>
    <x v="0"/>
  </r>
  <r>
    <x v="10"/>
    <x v="5"/>
    <m/>
    <x v="0"/>
  </r>
  <r>
    <x v="10"/>
    <x v="6"/>
    <m/>
    <x v="0"/>
  </r>
  <r>
    <x v="10"/>
    <x v="7"/>
    <m/>
    <x v="0"/>
  </r>
  <r>
    <x v="10"/>
    <x v="8"/>
    <m/>
    <x v="0"/>
  </r>
  <r>
    <x v="0"/>
    <x v="0"/>
    <n v="500"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5"/>
    <x v="0"/>
    <n v="500"/>
    <x v="0"/>
  </r>
  <r>
    <x v="5"/>
    <x v="1"/>
    <m/>
    <x v="0"/>
  </r>
  <r>
    <x v="5"/>
    <x v="2"/>
    <m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0"/>
    <x v="0"/>
    <n v="500"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5"/>
    <x v="0"/>
    <n v="500"/>
    <x v="0"/>
  </r>
  <r>
    <x v="5"/>
    <x v="1"/>
    <m/>
    <x v="0"/>
  </r>
  <r>
    <x v="5"/>
    <x v="2"/>
    <m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8"/>
    <x v="0"/>
    <n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0"/>
    <x v="0"/>
    <n v="515"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6"/>
    <x v="0"/>
    <n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6"/>
    <x v="0"/>
    <n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5"/>
    <x v="0"/>
    <n v="500"/>
    <x v="0"/>
  </r>
  <r>
    <x v="5"/>
    <x v="1"/>
    <m/>
    <x v="0"/>
  </r>
  <r>
    <x v="5"/>
    <x v="2"/>
    <m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n v="737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n v="697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7"/>
    <x v="0"/>
    <s v="500"/>
    <x v="0"/>
  </r>
  <r>
    <x v="7"/>
    <x v="1"/>
    <m/>
    <x v="0"/>
  </r>
  <r>
    <x v="7"/>
    <x v="2"/>
    <m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4"/>
    <x v="0"/>
    <n v="500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10"/>
    <x v="0"/>
    <n v="500"/>
    <x v="0"/>
  </r>
  <r>
    <x v="10"/>
    <x v="1"/>
    <m/>
    <x v="0"/>
  </r>
  <r>
    <x v="10"/>
    <x v="2"/>
    <m/>
    <x v="0"/>
  </r>
  <r>
    <x v="10"/>
    <x v="3"/>
    <m/>
    <x v="0"/>
  </r>
  <r>
    <x v="10"/>
    <x v="4"/>
    <m/>
    <x v="0"/>
  </r>
  <r>
    <x v="10"/>
    <x v="5"/>
    <m/>
    <x v="0"/>
  </r>
  <r>
    <x v="10"/>
    <x v="6"/>
    <m/>
    <x v="0"/>
  </r>
  <r>
    <x v="10"/>
    <x v="7"/>
    <m/>
    <x v="0"/>
  </r>
  <r>
    <x v="10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4"/>
    <x v="0"/>
    <n v="500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1"/>
    <x v="0"/>
    <n v="1456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1"/>
    <x v="0"/>
    <n v="512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3"/>
    <x v="0"/>
    <s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8"/>
    <x v="0"/>
    <n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7"/>
    <x v="0"/>
    <n v="523"/>
    <x v="0"/>
  </r>
  <r>
    <x v="7"/>
    <x v="1"/>
    <m/>
    <x v="0"/>
  </r>
  <r>
    <x v="7"/>
    <x v="2"/>
    <m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8"/>
    <x v="0"/>
    <n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3"/>
    <x v="0"/>
    <s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9"/>
    <x v="0"/>
    <m/>
    <x v="0"/>
  </r>
  <r>
    <x v="9"/>
    <x v="1"/>
    <m/>
    <x v="0"/>
  </r>
  <r>
    <x v="9"/>
    <x v="2"/>
    <m/>
    <x v="0"/>
  </r>
  <r>
    <x v="9"/>
    <x v="3"/>
    <m/>
    <x v="0"/>
  </r>
  <r>
    <x v="9"/>
    <x v="4"/>
    <m/>
    <x v="0"/>
  </r>
  <r>
    <x v="9"/>
    <x v="5"/>
    <m/>
    <x v="0"/>
  </r>
  <r>
    <x v="9"/>
    <x v="6"/>
    <m/>
    <x v="0"/>
  </r>
  <r>
    <x v="9"/>
    <x v="7"/>
    <m/>
    <x v="0"/>
  </r>
  <r>
    <x v="9"/>
    <x v="8"/>
    <m/>
    <x v="0"/>
  </r>
  <r>
    <x v="1"/>
    <x v="0"/>
    <m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7"/>
    <x v="0"/>
    <m/>
    <x v="0"/>
  </r>
  <r>
    <x v="7"/>
    <x v="1"/>
    <m/>
    <x v="0"/>
  </r>
  <r>
    <x v="7"/>
    <x v="2"/>
    <m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4"/>
    <x v="0"/>
    <m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6"/>
    <x v="0"/>
    <m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10"/>
    <x v="0"/>
    <m/>
    <x v="0"/>
  </r>
  <r>
    <x v="10"/>
    <x v="1"/>
    <m/>
    <x v="0"/>
  </r>
  <r>
    <x v="10"/>
    <x v="2"/>
    <m/>
    <x v="0"/>
  </r>
  <r>
    <x v="10"/>
    <x v="3"/>
    <m/>
    <x v="0"/>
  </r>
  <r>
    <x v="10"/>
    <x v="4"/>
    <m/>
    <x v="0"/>
  </r>
  <r>
    <x v="10"/>
    <x v="5"/>
    <m/>
    <x v="0"/>
  </r>
  <r>
    <x v="10"/>
    <x v="6"/>
    <m/>
    <x v="0"/>
  </r>
  <r>
    <x v="10"/>
    <x v="7"/>
    <m/>
    <x v="0"/>
  </r>
  <r>
    <x v="10"/>
    <x v="8"/>
    <m/>
    <x v="0"/>
  </r>
  <r>
    <x v="8"/>
    <x v="0"/>
    <m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3"/>
    <x v="0"/>
    <m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2"/>
    <x v="0"/>
    <m/>
    <x v="0"/>
  </r>
  <r>
    <x v="2"/>
    <x v="1"/>
    <m/>
    <x v="0"/>
  </r>
  <r>
    <x v="2"/>
    <x v="2"/>
    <m/>
    <x v="0"/>
  </r>
  <r>
    <x v="2"/>
    <x v="3"/>
    <m/>
    <x v="0"/>
  </r>
  <r>
    <x v="2"/>
    <x v="4"/>
    <m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0"/>
    <x v="0"/>
    <m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5"/>
    <x v="0"/>
    <m/>
    <x v="0"/>
  </r>
  <r>
    <x v="5"/>
    <x v="1"/>
    <m/>
    <x v="0"/>
  </r>
  <r>
    <x v="5"/>
    <x v="2"/>
    <m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9">
  <r>
    <x v="0"/>
    <x v="0"/>
    <x v="0"/>
    <x v="0"/>
  </r>
  <r>
    <x v="0"/>
    <x v="1"/>
    <x v="0"/>
    <x v="0"/>
  </r>
  <r>
    <x v="0"/>
    <x v="2"/>
    <x v="0"/>
    <x v="0"/>
  </r>
  <r>
    <x v="0"/>
    <x v="3"/>
    <x v="0"/>
    <x v="0"/>
  </r>
  <r>
    <x v="0"/>
    <x v="4"/>
    <x v="0"/>
    <x v="0"/>
  </r>
  <r>
    <x v="0"/>
    <x v="5"/>
    <x v="0"/>
    <x v="0"/>
  </r>
  <r>
    <x v="0"/>
    <x v="6"/>
    <x v="0"/>
    <x v="0"/>
  </r>
  <r>
    <x v="0"/>
    <x v="7"/>
    <x v="0"/>
    <x v="0"/>
  </r>
  <r>
    <x v="0"/>
    <x v="8"/>
    <x v="0"/>
    <x v="0"/>
  </r>
  <r>
    <x v="1"/>
    <x v="0"/>
    <x v="1"/>
    <x v="0"/>
  </r>
  <r>
    <x v="1"/>
    <x v="1"/>
    <x v="2"/>
    <x v="0"/>
  </r>
  <r>
    <x v="1"/>
    <x v="2"/>
    <x v="3"/>
    <x v="0"/>
  </r>
  <r>
    <x v="1"/>
    <x v="3"/>
    <x v="2"/>
    <x v="0"/>
  </r>
  <r>
    <x v="1"/>
    <x v="4"/>
    <x v="3"/>
    <x v="0"/>
  </r>
  <r>
    <x v="1"/>
    <x v="5"/>
    <x v="0"/>
    <x v="0"/>
  </r>
  <r>
    <x v="1"/>
    <x v="6"/>
    <x v="0"/>
    <x v="0"/>
  </r>
  <r>
    <x v="1"/>
    <x v="7"/>
    <x v="0"/>
    <x v="0"/>
  </r>
  <r>
    <x v="1"/>
    <x v="8"/>
    <x v="0"/>
    <x v="0"/>
  </r>
  <r>
    <x v="2"/>
    <x v="0"/>
    <x v="1"/>
    <x v="0"/>
  </r>
  <r>
    <x v="2"/>
    <x v="1"/>
    <x v="2"/>
    <x v="0"/>
  </r>
  <r>
    <x v="2"/>
    <x v="2"/>
    <x v="4"/>
    <x v="0"/>
  </r>
  <r>
    <x v="2"/>
    <x v="3"/>
    <x v="2"/>
    <x v="0"/>
  </r>
  <r>
    <x v="2"/>
    <x v="4"/>
    <x v="5"/>
    <x v="0"/>
  </r>
  <r>
    <x v="2"/>
    <x v="5"/>
    <x v="0"/>
    <x v="0"/>
  </r>
  <r>
    <x v="2"/>
    <x v="6"/>
    <x v="0"/>
    <x v="0"/>
  </r>
  <r>
    <x v="2"/>
    <x v="7"/>
    <x v="0"/>
    <x v="0"/>
  </r>
  <r>
    <x v="2"/>
    <x v="8"/>
    <x v="0"/>
    <x v="0"/>
  </r>
  <r>
    <x v="3"/>
    <x v="0"/>
    <x v="1"/>
    <x v="0"/>
  </r>
  <r>
    <x v="3"/>
    <x v="1"/>
    <x v="2"/>
    <x v="0"/>
  </r>
  <r>
    <x v="3"/>
    <x v="2"/>
    <x v="5"/>
    <x v="0"/>
  </r>
  <r>
    <x v="3"/>
    <x v="3"/>
    <x v="2"/>
    <x v="0"/>
  </r>
  <r>
    <x v="3"/>
    <x v="4"/>
    <x v="6"/>
    <x v="0"/>
  </r>
  <r>
    <x v="3"/>
    <x v="5"/>
    <x v="0"/>
    <x v="0"/>
  </r>
  <r>
    <x v="3"/>
    <x v="6"/>
    <x v="0"/>
    <x v="0"/>
  </r>
  <r>
    <x v="3"/>
    <x v="7"/>
    <x v="0"/>
    <x v="0"/>
  </r>
  <r>
    <x v="3"/>
    <x v="8"/>
    <x v="0"/>
    <x v="0"/>
  </r>
  <r>
    <x v="1"/>
    <x v="0"/>
    <x v="1"/>
    <x v="0"/>
  </r>
  <r>
    <x v="1"/>
    <x v="1"/>
    <x v="2"/>
    <x v="0"/>
  </r>
  <r>
    <x v="1"/>
    <x v="2"/>
    <x v="5"/>
    <x v="0"/>
  </r>
  <r>
    <x v="1"/>
    <x v="3"/>
    <x v="0"/>
    <x v="0"/>
  </r>
  <r>
    <x v="1"/>
    <x v="4"/>
    <x v="0"/>
    <x v="0"/>
  </r>
  <r>
    <x v="1"/>
    <x v="5"/>
    <x v="0"/>
    <x v="0"/>
  </r>
  <r>
    <x v="1"/>
    <x v="6"/>
    <x v="0"/>
    <x v="0"/>
  </r>
  <r>
    <x v="1"/>
    <x v="7"/>
    <x v="0"/>
    <x v="0"/>
  </r>
  <r>
    <x v="1"/>
    <x v="8"/>
    <x v="0"/>
    <x v="0"/>
  </r>
  <r>
    <x v="2"/>
    <x v="0"/>
    <x v="1"/>
    <x v="0"/>
  </r>
  <r>
    <x v="2"/>
    <x v="1"/>
    <x v="2"/>
    <x v="0"/>
  </r>
  <r>
    <x v="2"/>
    <x v="2"/>
    <x v="6"/>
    <x v="0"/>
  </r>
  <r>
    <x v="2"/>
    <x v="3"/>
    <x v="0"/>
    <x v="0"/>
  </r>
  <r>
    <x v="2"/>
    <x v="4"/>
    <x v="0"/>
    <x v="0"/>
  </r>
  <r>
    <x v="2"/>
    <x v="5"/>
    <x v="0"/>
    <x v="0"/>
  </r>
  <r>
    <x v="2"/>
    <x v="6"/>
    <x v="0"/>
    <x v="0"/>
  </r>
  <r>
    <x v="2"/>
    <x v="7"/>
    <x v="0"/>
    <x v="0"/>
  </r>
  <r>
    <x v="2"/>
    <x v="8"/>
    <x v="0"/>
    <x v="0"/>
  </r>
  <r>
    <x v="4"/>
    <x v="0"/>
    <x v="1"/>
    <x v="0"/>
  </r>
  <r>
    <x v="4"/>
    <x v="1"/>
    <x v="2"/>
    <x v="0"/>
  </r>
  <r>
    <x v="4"/>
    <x v="2"/>
    <x v="6"/>
    <x v="0"/>
  </r>
  <r>
    <x v="4"/>
    <x v="3"/>
    <x v="2"/>
    <x v="0"/>
  </r>
  <r>
    <x v="4"/>
    <x v="4"/>
    <x v="7"/>
    <x v="0"/>
  </r>
  <r>
    <x v="4"/>
    <x v="5"/>
    <x v="0"/>
    <x v="0"/>
  </r>
  <r>
    <x v="4"/>
    <x v="6"/>
    <x v="0"/>
    <x v="0"/>
  </r>
  <r>
    <x v="4"/>
    <x v="7"/>
    <x v="0"/>
    <x v="0"/>
  </r>
  <r>
    <x v="4"/>
    <x v="8"/>
    <x v="0"/>
    <x v="0"/>
  </r>
  <r>
    <x v="1"/>
    <x v="0"/>
    <x v="1"/>
    <x v="0"/>
  </r>
  <r>
    <x v="1"/>
    <x v="1"/>
    <x v="2"/>
    <x v="0"/>
  </r>
  <r>
    <x v="1"/>
    <x v="2"/>
    <x v="6"/>
    <x v="0"/>
  </r>
  <r>
    <x v="1"/>
    <x v="3"/>
    <x v="2"/>
    <x v="0"/>
  </r>
  <r>
    <x v="1"/>
    <x v="4"/>
    <x v="8"/>
    <x v="0"/>
  </r>
  <r>
    <x v="1"/>
    <x v="5"/>
    <x v="0"/>
    <x v="0"/>
  </r>
  <r>
    <x v="1"/>
    <x v="6"/>
    <x v="0"/>
    <x v="0"/>
  </r>
  <r>
    <x v="1"/>
    <x v="7"/>
    <x v="0"/>
    <x v="0"/>
  </r>
  <r>
    <x v="1"/>
    <x v="8"/>
    <x v="0"/>
    <x v="0"/>
  </r>
  <r>
    <x v="5"/>
    <x v="0"/>
    <x v="1"/>
    <x v="0"/>
  </r>
  <r>
    <x v="5"/>
    <x v="1"/>
    <x v="2"/>
    <x v="0"/>
  </r>
  <r>
    <x v="5"/>
    <x v="2"/>
    <x v="7"/>
    <x v="0"/>
  </r>
  <r>
    <x v="5"/>
    <x v="3"/>
    <x v="0"/>
    <x v="0"/>
  </r>
  <r>
    <x v="5"/>
    <x v="4"/>
    <x v="0"/>
    <x v="0"/>
  </r>
  <r>
    <x v="5"/>
    <x v="5"/>
    <x v="0"/>
    <x v="0"/>
  </r>
  <r>
    <x v="5"/>
    <x v="6"/>
    <x v="0"/>
    <x v="0"/>
  </r>
  <r>
    <x v="5"/>
    <x v="7"/>
    <x v="0"/>
    <x v="0"/>
  </r>
  <r>
    <x v="5"/>
    <x v="8"/>
    <x v="0"/>
    <x v="0"/>
  </r>
  <r>
    <x v="6"/>
    <x v="0"/>
    <x v="1"/>
    <x v="0"/>
  </r>
  <r>
    <x v="6"/>
    <x v="1"/>
    <x v="2"/>
    <x v="0"/>
  </r>
  <r>
    <x v="6"/>
    <x v="2"/>
    <x v="8"/>
    <x v="0"/>
  </r>
  <r>
    <x v="6"/>
    <x v="3"/>
    <x v="0"/>
    <x v="0"/>
  </r>
  <r>
    <x v="6"/>
    <x v="4"/>
    <x v="0"/>
    <x v="0"/>
  </r>
  <r>
    <x v="6"/>
    <x v="5"/>
    <x v="0"/>
    <x v="0"/>
  </r>
  <r>
    <x v="6"/>
    <x v="6"/>
    <x v="0"/>
    <x v="0"/>
  </r>
  <r>
    <x v="6"/>
    <x v="7"/>
    <x v="0"/>
    <x v="0"/>
  </r>
  <r>
    <x v="6"/>
    <x v="8"/>
    <x v="0"/>
    <x v="0"/>
  </r>
  <r>
    <x v="3"/>
    <x v="0"/>
    <x v="9"/>
    <x v="0"/>
  </r>
  <r>
    <x v="3"/>
    <x v="1"/>
    <x v="0"/>
    <x v="0"/>
  </r>
  <r>
    <x v="3"/>
    <x v="2"/>
    <x v="0"/>
    <x v="0"/>
  </r>
  <r>
    <x v="3"/>
    <x v="3"/>
    <x v="0"/>
    <x v="0"/>
  </r>
  <r>
    <x v="3"/>
    <x v="4"/>
    <x v="0"/>
    <x v="0"/>
  </r>
  <r>
    <x v="3"/>
    <x v="5"/>
    <x v="0"/>
    <x v="0"/>
  </r>
  <r>
    <x v="3"/>
    <x v="6"/>
    <x v="0"/>
    <x v="0"/>
  </r>
  <r>
    <x v="3"/>
    <x v="7"/>
    <x v="0"/>
    <x v="0"/>
  </r>
  <r>
    <x v="3"/>
    <x v="8"/>
    <x v="0"/>
    <x v="0"/>
  </r>
  <r>
    <x v="3"/>
    <x v="0"/>
    <x v="9"/>
    <x v="0"/>
  </r>
  <r>
    <x v="3"/>
    <x v="1"/>
    <x v="0"/>
    <x v="0"/>
  </r>
  <r>
    <x v="3"/>
    <x v="2"/>
    <x v="0"/>
    <x v="0"/>
  </r>
  <r>
    <x v="3"/>
    <x v="3"/>
    <x v="0"/>
    <x v="0"/>
  </r>
  <r>
    <x v="3"/>
    <x v="4"/>
    <x v="0"/>
    <x v="0"/>
  </r>
  <r>
    <x v="3"/>
    <x v="5"/>
    <x v="0"/>
    <x v="0"/>
  </r>
  <r>
    <x v="3"/>
    <x v="6"/>
    <x v="0"/>
    <x v="0"/>
  </r>
  <r>
    <x v="3"/>
    <x v="7"/>
    <x v="0"/>
    <x v="0"/>
  </r>
  <r>
    <x v="3"/>
    <x v="8"/>
    <x v="0"/>
    <x v="0"/>
  </r>
  <r>
    <x v="3"/>
    <x v="0"/>
    <x v="9"/>
    <x v="0"/>
  </r>
  <r>
    <x v="3"/>
    <x v="1"/>
    <x v="0"/>
    <x v="0"/>
  </r>
  <r>
    <x v="3"/>
    <x v="2"/>
    <x v="0"/>
    <x v="0"/>
  </r>
  <r>
    <x v="3"/>
    <x v="3"/>
    <x v="0"/>
    <x v="0"/>
  </r>
  <r>
    <x v="3"/>
    <x v="4"/>
    <x v="0"/>
    <x v="0"/>
  </r>
  <r>
    <x v="3"/>
    <x v="5"/>
    <x v="0"/>
    <x v="0"/>
  </r>
  <r>
    <x v="3"/>
    <x v="6"/>
    <x v="0"/>
    <x v="0"/>
  </r>
  <r>
    <x v="3"/>
    <x v="7"/>
    <x v="0"/>
    <x v="0"/>
  </r>
  <r>
    <x v="3"/>
    <x v="8"/>
    <x v="0"/>
    <x v="0"/>
  </r>
  <r>
    <x v="7"/>
    <x v="0"/>
    <x v="9"/>
    <x v="0"/>
  </r>
  <r>
    <x v="7"/>
    <x v="1"/>
    <x v="0"/>
    <x v="0"/>
  </r>
  <r>
    <x v="7"/>
    <x v="2"/>
    <x v="0"/>
    <x v="0"/>
  </r>
  <r>
    <x v="7"/>
    <x v="3"/>
    <x v="0"/>
    <x v="0"/>
  </r>
  <r>
    <x v="7"/>
    <x v="4"/>
    <x v="0"/>
    <x v="0"/>
  </r>
  <r>
    <x v="7"/>
    <x v="5"/>
    <x v="0"/>
    <x v="0"/>
  </r>
  <r>
    <x v="7"/>
    <x v="6"/>
    <x v="0"/>
    <x v="0"/>
  </r>
  <r>
    <x v="7"/>
    <x v="7"/>
    <x v="0"/>
    <x v="0"/>
  </r>
  <r>
    <x v="7"/>
    <x v="8"/>
    <x v="0"/>
    <x v="0"/>
  </r>
  <r>
    <x v="3"/>
    <x v="0"/>
    <x v="9"/>
    <x v="0"/>
  </r>
  <r>
    <x v="3"/>
    <x v="1"/>
    <x v="0"/>
    <x v="0"/>
  </r>
  <r>
    <x v="3"/>
    <x v="2"/>
    <x v="0"/>
    <x v="0"/>
  </r>
  <r>
    <x v="3"/>
    <x v="3"/>
    <x v="0"/>
    <x v="0"/>
  </r>
  <r>
    <x v="3"/>
    <x v="4"/>
    <x v="0"/>
    <x v="0"/>
  </r>
  <r>
    <x v="3"/>
    <x v="5"/>
    <x v="0"/>
    <x v="0"/>
  </r>
  <r>
    <x v="3"/>
    <x v="6"/>
    <x v="0"/>
    <x v="0"/>
  </r>
  <r>
    <x v="3"/>
    <x v="7"/>
    <x v="0"/>
    <x v="0"/>
  </r>
  <r>
    <x v="3"/>
    <x v="8"/>
    <x v="0"/>
    <x v="0"/>
  </r>
  <r>
    <x v="3"/>
    <x v="0"/>
    <x v="9"/>
    <x v="0"/>
  </r>
  <r>
    <x v="3"/>
    <x v="1"/>
    <x v="0"/>
    <x v="0"/>
  </r>
  <r>
    <x v="3"/>
    <x v="2"/>
    <x v="0"/>
    <x v="0"/>
  </r>
  <r>
    <x v="3"/>
    <x v="3"/>
    <x v="0"/>
    <x v="0"/>
  </r>
  <r>
    <x v="3"/>
    <x v="4"/>
    <x v="0"/>
    <x v="0"/>
  </r>
  <r>
    <x v="3"/>
    <x v="5"/>
    <x v="0"/>
    <x v="0"/>
  </r>
  <r>
    <x v="3"/>
    <x v="6"/>
    <x v="0"/>
    <x v="0"/>
  </r>
  <r>
    <x v="3"/>
    <x v="7"/>
    <x v="0"/>
    <x v="0"/>
  </r>
  <r>
    <x v="3"/>
    <x v="8"/>
    <x v="0"/>
    <x v="0"/>
  </r>
  <r>
    <x v="8"/>
    <x v="0"/>
    <x v="1"/>
    <x v="0"/>
  </r>
  <r>
    <x v="8"/>
    <x v="1"/>
    <x v="0"/>
    <x v="0"/>
  </r>
  <r>
    <x v="8"/>
    <x v="2"/>
    <x v="0"/>
    <x v="0"/>
  </r>
  <r>
    <x v="8"/>
    <x v="3"/>
    <x v="0"/>
    <x v="0"/>
  </r>
  <r>
    <x v="8"/>
    <x v="4"/>
    <x v="0"/>
    <x v="0"/>
  </r>
  <r>
    <x v="8"/>
    <x v="5"/>
    <x v="0"/>
    <x v="0"/>
  </r>
  <r>
    <x v="8"/>
    <x v="6"/>
    <x v="0"/>
    <x v="0"/>
  </r>
  <r>
    <x v="8"/>
    <x v="7"/>
    <x v="0"/>
    <x v="0"/>
  </r>
  <r>
    <x v="8"/>
    <x v="8"/>
    <x v="0"/>
    <x v="0"/>
  </r>
  <r>
    <x v="9"/>
    <x v="0"/>
    <x v="1"/>
    <x v="0"/>
  </r>
  <r>
    <x v="9"/>
    <x v="1"/>
    <x v="0"/>
    <x v="0"/>
  </r>
  <r>
    <x v="9"/>
    <x v="2"/>
    <x v="0"/>
    <x v="0"/>
  </r>
  <r>
    <x v="9"/>
    <x v="3"/>
    <x v="0"/>
    <x v="0"/>
  </r>
  <r>
    <x v="9"/>
    <x v="4"/>
    <x v="0"/>
    <x v="0"/>
  </r>
  <r>
    <x v="9"/>
    <x v="5"/>
    <x v="0"/>
    <x v="0"/>
  </r>
  <r>
    <x v="9"/>
    <x v="6"/>
    <x v="0"/>
    <x v="0"/>
  </r>
  <r>
    <x v="9"/>
    <x v="7"/>
    <x v="0"/>
    <x v="0"/>
  </r>
  <r>
    <x v="9"/>
    <x v="8"/>
    <x v="0"/>
    <x v="0"/>
  </r>
  <r>
    <x v="4"/>
    <x v="0"/>
    <x v="9"/>
    <x v="0"/>
  </r>
  <r>
    <x v="4"/>
    <x v="1"/>
    <x v="0"/>
    <x v="0"/>
  </r>
  <r>
    <x v="4"/>
    <x v="2"/>
    <x v="0"/>
    <x v="0"/>
  </r>
  <r>
    <x v="4"/>
    <x v="3"/>
    <x v="0"/>
    <x v="0"/>
  </r>
  <r>
    <x v="4"/>
    <x v="4"/>
    <x v="0"/>
    <x v="0"/>
  </r>
  <r>
    <x v="4"/>
    <x v="5"/>
    <x v="0"/>
    <x v="0"/>
  </r>
  <r>
    <x v="4"/>
    <x v="6"/>
    <x v="0"/>
    <x v="0"/>
  </r>
  <r>
    <x v="4"/>
    <x v="7"/>
    <x v="0"/>
    <x v="0"/>
  </r>
  <r>
    <x v="4"/>
    <x v="8"/>
    <x v="0"/>
    <x v="0"/>
  </r>
  <r>
    <x v="3"/>
    <x v="0"/>
    <x v="9"/>
    <x v="0"/>
  </r>
  <r>
    <x v="3"/>
    <x v="1"/>
    <x v="0"/>
    <x v="0"/>
  </r>
  <r>
    <x v="3"/>
    <x v="2"/>
    <x v="0"/>
    <x v="0"/>
  </r>
  <r>
    <x v="3"/>
    <x v="3"/>
    <x v="0"/>
    <x v="0"/>
  </r>
  <r>
    <x v="3"/>
    <x v="4"/>
    <x v="0"/>
    <x v="0"/>
  </r>
  <r>
    <x v="3"/>
    <x v="5"/>
    <x v="0"/>
    <x v="0"/>
  </r>
  <r>
    <x v="3"/>
    <x v="6"/>
    <x v="0"/>
    <x v="0"/>
  </r>
  <r>
    <x v="3"/>
    <x v="7"/>
    <x v="0"/>
    <x v="0"/>
  </r>
  <r>
    <x v="3"/>
    <x v="8"/>
    <x v="0"/>
    <x v="0"/>
  </r>
  <r>
    <x v="2"/>
    <x v="0"/>
    <x v="1"/>
    <x v="0"/>
  </r>
  <r>
    <x v="2"/>
    <x v="1"/>
    <x v="0"/>
    <x v="0"/>
  </r>
  <r>
    <x v="2"/>
    <x v="2"/>
    <x v="0"/>
    <x v="0"/>
  </r>
  <r>
    <x v="2"/>
    <x v="3"/>
    <x v="0"/>
    <x v="0"/>
  </r>
  <r>
    <x v="2"/>
    <x v="4"/>
    <x v="0"/>
    <x v="0"/>
  </r>
  <r>
    <x v="2"/>
    <x v="5"/>
    <x v="0"/>
    <x v="0"/>
  </r>
  <r>
    <x v="2"/>
    <x v="6"/>
    <x v="0"/>
    <x v="0"/>
  </r>
  <r>
    <x v="2"/>
    <x v="7"/>
    <x v="0"/>
    <x v="0"/>
  </r>
  <r>
    <x v="2"/>
    <x v="8"/>
    <x v="0"/>
    <x v="0"/>
  </r>
  <r>
    <x v="7"/>
    <x v="0"/>
    <x v="9"/>
    <x v="0"/>
  </r>
  <r>
    <x v="7"/>
    <x v="1"/>
    <x v="0"/>
    <x v="0"/>
  </r>
  <r>
    <x v="7"/>
    <x v="2"/>
    <x v="0"/>
    <x v="0"/>
  </r>
  <r>
    <x v="7"/>
    <x v="3"/>
    <x v="0"/>
    <x v="0"/>
  </r>
  <r>
    <x v="7"/>
    <x v="4"/>
    <x v="0"/>
    <x v="0"/>
  </r>
  <r>
    <x v="7"/>
    <x v="5"/>
    <x v="0"/>
    <x v="0"/>
  </r>
  <r>
    <x v="7"/>
    <x v="6"/>
    <x v="0"/>
    <x v="0"/>
  </r>
  <r>
    <x v="7"/>
    <x v="7"/>
    <x v="0"/>
    <x v="0"/>
  </r>
  <r>
    <x v="7"/>
    <x v="8"/>
    <x v="0"/>
    <x v="0"/>
  </r>
  <r>
    <x v="7"/>
    <x v="0"/>
    <x v="9"/>
    <x v="0"/>
  </r>
  <r>
    <x v="7"/>
    <x v="1"/>
    <x v="0"/>
    <x v="0"/>
  </r>
  <r>
    <x v="7"/>
    <x v="2"/>
    <x v="0"/>
    <x v="0"/>
  </r>
  <r>
    <x v="7"/>
    <x v="3"/>
    <x v="0"/>
    <x v="0"/>
  </r>
  <r>
    <x v="7"/>
    <x v="4"/>
    <x v="0"/>
    <x v="0"/>
  </r>
  <r>
    <x v="7"/>
    <x v="5"/>
    <x v="0"/>
    <x v="0"/>
  </r>
  <r>
    <x v="7"/>
    <x v="6"/>
    <x v="0"/>
    <x v="0"/>
  </r>
  <r>
    <x v="7"/>
    <x v="7"/>
    <x v="0"/>
    <x v="0"/>
  </r>
  <r>
    <x v="7"/>
    <x v="8"/>
    <x v="0"/>
    <x v="0"/>
  </r>
  <r>
    <x v="8"/>
    <x v="0"/>
    <x v="1"/>
    <x v="0"/>
  </r>
  <r>
    <x v="8"/>
    <x v="1"/>
    <x v="0"/>
    <x v="0"/>
  </r>
  <r>
    <x v="8"/>
    <x v="2"/>
    <x v="0"/>
    <x v="0"/>
  </r>
  <r>
    <x v="8"/>
    <x v="3"/>
    <x v="0"/>
    <x v="0"/>
  </r>
  <r>
    <x v="8"/>
    <x v="4"/>
    <x v="0"/>
    <x v="0"/>
  </r>
  <r>
    <x v="8"/>
    <x v="5"/>
    <x v="0"/>
    <x v="0"/>
  </r>
  <r>
    <x v="8"/>
    <x v="6"/>
    <x v="0"/>
    <x v="0"/>
  </r>
  <r>
    <x v="8"/>
    <x v="7"/>
    <x v="0"/>
    <x v="0"/>
  </r>
  <r>
    <x v="8"/>
    <x v="8"/>
    <x v="0"/>
    <x v="0"/>
  </r>
  <r>
    <x v="10"/>
    <x v="0"/>
    <x v="1"/>
    <x v="0"/>
  </r>
  <r>
    <x v="10"/>
    <x v="1"/>
    <x v="0"/>
    <x v="0"/>
  </r>
  <r>
    <x v="10"/>
    <x v="2"/>
    <x v="0"/>
    <x v="0"/>
  </r>
  <r>
    <x v="10"/>
    <x v="3"/>
    <x v="0"/>
    <x v="0"/>
  </r>
  <r>
    <x v="10"/>
    <x v="4"/>
    <x v="0"/>
    <x v="0"/>
  </r>
  <r>
    <x v="10"/>
    <x v="5"/>
    <x v="0"/>
    <x v="0"/>
  </r>
  <r>
    <x v="10"/>
    <x v="6"/>
    <x v="0"/>
    <x v="0"/>
  </r>
  <r>
    <x v="10"/>
    <x v="7"/>
    <x v="0"/>
    <x v="0"/>
  </r>
  <r>
    <x v="10"/>
    <x v="8"/>
    <x v="0"/>
    <x v="0"/>
  </r>
  <r>
    <x v="2"/>
    <x v="0"/>
    <x v="1"/>
    <x v="0"/>
  </r>
  <r>
    <x v="2"/>
    <x v="1"/>
    <x v="0"/>
    <x v="0"/>
  </r>
  <r>
    <x v="2"/>
    <x v="2"/>
    <x v="0"/>
    <x v="0"/>
  </r>
  <r>
    <x v="2"/>
    <x v="3"/>
    <x v="0"/>
    <x v="0"/>
  </r>
  <r>
    <x v="2"/>
    <x v="4"/>
    <x v="0"/>
    <x v="0"/>
  </r>
  <r>
    <x v="2"/>
    <x v="5"/>
    <x v="0"/>
    <x v="0"/>
  </r>
  <r>
    <x v="2"/>
    <x v="6"/>
    <x v="0"/>
    <x v="0"/>
  </r>
  <r>
    <x v="2"/>
    <x v="7"/>
    <x v="0"/>
    <x v="0"/>
  </r>
  <r>
    <x v="2"/>
    <x v="8"/>
    <x v="0"/>
    <x v="0"/>
  </r>
  <r>
    <x v="7"/>
    <x v="0"/>
    <x v="9"/>
    <x v="0"/>
  </r>
  <r>
    <x v="7"/>
    <x v="1"/>
    <x v="0"/>
    <x v="0"/>
  </r>
  <r>
    <x v="7"/>
    <x v="2"/>
    <x v="0"/>
    <x v="0"/>
  </r>
  <r>
    <x v="7"/>
    <x v="3"/>
    <x v="0"/>
    <x v="0"/>
  </r>
  <r>
    <x v="7"/>
    <x v="4"/>
    <x v="0"/>
    <x v="0"/>
  </r>
  <r>
    <x v="7"/>
    <x v="5"/>
    <x v="0"/>
    <x v="0"/>
  </r>
  <r>
    <x v="7"/>
    <x v="6"/>
    <x v="0"/>
    <x v="0"/>
  </r>
  <r>
    <x v="7"/>
    <x v="7"/>
    <x v="0"/>
    <x v="0"/>
  </r>
  <r>
    <x v="7"/>
    <x v="8"/>
    <x v="0"/>
    <x v="0"/>
  </r>
  <r>
    <x v="2"/>
    <x v="0"/>
    <x v="1"/>
    <x v="0"/>
  </r>
  <r>
    <x v="2"/>
    <x v="1"/>
    <x v="0"/>
    <x v="0"/>
  </r>
  <r>
    <x v="2"/>
    <x v="2"/>
    <x v="0"/>
    <x v="0"/>
  </r>
  <r>
    <x v="2"/>
    <x v="3"/>
    <x v="0"/>
    <x v="0"/>
  </r>
  <r>
    <x v="2"/>
    <x v="4"/>
    <x v="0"/>
    <x v="0"/>
  </r>
  <r>
    <x v="2"/>
    <x v="5"/>
    <x v="0"/>
    <x v="0"/>
  </r>
  <r>
    <x v="2"/>
    <x v="6"/>
    <x v="0"/>
    <x v="0"/>
  </r>
  <r>
    <x v="2"/>
    <x v="7"/>
    <x v="0"/>
    <x v="0"/>
  </r>
  <r>
    <x v="2"/>
    <x v="8"/>
    <x v="0"/>
    <x v="0"/>
  </r>
  <r>
    <x v="6"/>
    <x v="0"/>
    <x v="1"/>
    <x v="0"/>
  </r>
  <r>
    <x v="6"/>
    <x v="1"/>
    <x v="0"/>
    <x v="0"/>
  </r>
  <r>
    <x v="6"/>
    <x v="2"/>
    <x v="0"/>
    <x v="0"/>
  </r>
  <r>
    <x v="6"/>
    <x v="3"/>
    <x v="0"/>
    <x v="0"/>
  </r>
  <r>
    <x v="6"/>
    <x v="4"/>
    <x v="0"/>
    <x v="0"/>
  </r>
  <r>
    <x v="6"/>
    <x v="5"/>
    <x v="0"/>
    <x v="0"/>
  </r>
  <r>
    <x v="6"/>
    <x v="6"/>
    <x v="0"/>
    <x v="0"/>
  </r>
  <r>
    <x v="6"/>
    <x v="7"/>
    <x v="0"/>
    <x v="0"/>
  </r>
  <r>
    <x v="6"/>
    <x v="8"/>
    <x v="0"/>
    <x v="0"/>
  </r>
  <r>
    <x v="7"/>
    <x v="0"/>
    <x v="9"/>
    <x v="0"/>
  </r>
  <r>
    <x v="7"/>
    <x v="1"/>
    <x v="0"/>
    <x v="0"/>
  </r>
  <r>
    <x v="7"/>
    <x v="2"/>
    <x v="0"/>
    <x v="0"/>
  </r>
  <r>
    <x v="7"/>
    <x v="3"/>
    <x v="0"/>
    <x v="0"/>
  </r>
  <r>
    <x v="7"/>
    <x v="4"/>
    <x v="0"/>
    <x v="0"/>
  </r>
  <r>
    <x v="7"/>
    <x v="5"/>
    <x v="0"/>
    <x v="0"/>
  </r>
  <r>
    <x v="7"/>
    <x v="6"/>
    <x v="0"/>
    <x v="0"/>
  </r>
  <r>
    <x v="7"/>
    <x v="7"/>
    <x v="0"/>
    <x v="0"/>
  </r>
  <r>
    <x v="7"/>
    <x v="8"/>
    <x v="0"/>
    <x v="0"/>
  </r>
  <r>
    <x v="2"/>
    <x v="0"/>
    <x v="1"/>
    <x v="0"/>
  </r>
  <r>
    <x v="2"/>
    <x v="1"/>
    <x v="0"/>
    <x v="0"/>
  </r>
  <r>
    <x v="2"/>
    <x v="2"/>
    <x v="0"/>
    <x v="0"/>
  </r>
  <r>
    <x v="2"/>
    <x v="3"/>
    <x v="0"/>
    <x v="0"/>
  </r>
  <r>
    <x v="2"/>
    <x v="4"/>
    <x v="0"/>
    <x v="0"/>
  </r>
  <r>
    <x v="2"/>
    <x v="5"/>
    <x v="0"/>
    <x v="0"/>
  </r>
  <r>
    <x v="2"/>
    <x v="6"/>
    <x v="0"/>
    <x v="0"/>
  </r>
  <r>
    <x v="2"/>
    <x v="7"/>
    <x v="0"/>
    <x v="0"/>
  </r>
  <r>
    <x v="2"/>
    <x v="8"/>
    <x v="0"/>
    <x v="0"/>
  </r>
  <r>
    <x v="7"/>
    <x v="0"/>
    <x v="9"/>
    <x v="0"/>
  </r>
  <r>
    <x v="7"/>
    <x v="1"/>
    <x v="0"/>
    <x v="0"/>
  </r>
  <r>
    <x v="7"/>
    <x v="2"/>
    <x v="0"/>
    <x v="0"/>
  </r>
  <r>
    <x v="7"/>
    <x v="3"/>
    <x v="0"/>
    <x v="0"/>
  </r>
  <r>
    <x v="7"/>
    <x v="4"/>
    <x v="0"/>
    <x v="0"/>
  </r>
  <r>
    <x v="7"/>
    <x v="5"/>
    <x v="0"/>
    <x v="0"/>
  </r>
  <r>
    <x v="7"/>
    <x v="6"/>
    <x v="0"/>
    <x v="0"/>
  </r>
  <r>
    <x v="7"/>
    <x v="7"/>
    <x v="0"/>
    <x v="0"/>
  </r>
  <r>
    <x v="7"/>
    <x v="8"/>
    <x v="0"/>
    <x v="0"/>
  </r>
  <r>
    <x v="7"/>
    <x v="0"/>
    <x v="9"/>
    <x v="0"/>
  </r>
  <r>
    <x v="7"/>
    <x v="1"/>
    <x v="0"/>
    <x v="0"/>
  </r>
  <r>
    <x v="7"/>
    <x v="2"/>
    <x v="0"/>
    <x v="0"/>
  </r>
  <r>
    <x v="7"/>
    <x v="3"/>
    <x v="0"/>
    <x v="0"/>
  </r>
  <r>
    <x v="7"/>
    <x v="4"/>
    <x v="0"/>
    <x v="0"/>
  </r>
  <r>
    <x v="7"/>
    <x v="5"/>
    <x v="0"/>
    <x v="0"/>
  </r>
  <r>
    <x v="7"/>
    <x v="6"/>
    <x v="0"/>
    <x v="0"/>
  </r>
  <r>
    <x v="7"/>
    <x v="7"/>
    <x v="0"/>
    <x v="0"/>
  </r>
  <r>
    <x v="7"/>
    <x v="8"/>
    <x v="0"/>
    <x v="0"/>
  </r>
  <r>
    <x v="7"/>
    <x v="0"/>
    <x v="9"/>
    <x v="0"/>
  </r>
  <r>
    <x v="7"/>
    <x v="1"/>
    <x v="0"/>
    <x v="0"/>
  </r>
  <r>
    <x v="7"/>
    <x v="2"/>
    <x v="0"/>
    <x v="0"/>
  </r>
  <r>
    <x v="7"/>
    <x v="3"/>
    <x v="0"/>
    <x v="0"/>
  </r>
  <r>
    <x v="7"/>
    <x v="4"/>
    <x v="0"/>
    <x v="0"/>
  </r>
  <r>
    <x v="7"/>
    <x v="5"/>
    <x v="0"/>
    <x v="0"/>
  </r>
  <r>
    <x v="7"/>
    <x v="6"/>
    <x v="0"/>
    <x v="0"/>
  </r>
  <r>
    <x v="7"/>
    <x v="7"/>
    <x v="0"/>
    <x v="0"/>
  </r>
  <r>
    <x v="7"/>
    <x v="8"/>
    <x v="0"/>
    <x v="0"/>
  </r>
  <r>
    <x v="9"/>
    <x v="0"/>
    <x v="1"/>
    <x v="0"/>
  </r>
  <r>
    <x v="9"/>
    <x v="1"/>
    <x v="0"/>
    <x v="0"/>
  </r>
  <r>
    <x v="9"/>
    <x v="2"/>
    <x v="0"/>
    <x v="0"/>
  </r>
  <r>
    <x v="9"/>
    <x v="3"/>
    <x v="0"/>
    <x v="0"/>
  </r>
  <r>
    <x v="9"/>
    <x v="4"/>
    <x v="0"/>
    <x v="0"/>
  </r>
  <r>
    <x v="9"/>
    <x v="5"/>
    <x v="0"/>
    <x v="0"/>
  </r>
  <r>
    <x v="9"/>
    <x v="6"/>
    <x v="0"/>
    <x v="0"/>
  </r>
  <r>
    <x v="9"/>
    <x v="7"/>
    <x v="0"/>
    <x v="0"/>
  </r>
  <r>
    <x v="9"/>
    <x v="8"/>
    <x v="0"/>
    <x v="0"/>
  </r>
  <r>
    <x v="2"/>
    <x v="0"/>
    <x v="1"/>
    <x v="0"/>
  </r>
  <r>
    <x v="2"/>
    <x v="1"/>
    <x v="0"/>
    <x v="0"/>
  </r>
  <r>
    <x v="2"/>
    <x v="2"/>
    <x v="0"/>
    <x v="0"/>
  </r>
  <r>
    <x v="2"/>
    <x v="3"/>
    <x v="0"/>
    <x v="0"/>
  </r>
  <r>
    <x v="2"/>
    <x v="4"/>
    <x v="0"/>
    <x v="0"/>
  </r>
  <r>
    <x v="2"/>
    <x v="5"/>
    <x v="0"/>
    <x v="0"/>
  </r>
  <r>
    <x v="2"/>
    <x v="6"/>
    <x v="0"/>
    <x v="0"/>
  </r>
  <r>
    <x v="2"/>
    <x v="7"/>
    <x v="0"/>
    <x v="0"/>
  </r>
  <r>
    <x v="2"/>
    <x v="8"/>
    <x v="0"/>
    <x v="0"/>
  </r>
  <r>
    <x v="3"/>
    <x v="0"/>
    <x v="9"/>
    <x v="0"/>
  </r>
  <r>
    <x v="3"/>
    <x v="1"/>
    <x v="0"/>
    <x v="0"/>
  </r>
  <r>
    <x v="3"/>
    <x v="2"/>
    <x v="0"/>
    <x v="0"/>
  </r>
  <r>
    <x v="3"/>
    <x v="3"/>
    <x v="0"/>
    <x v="0"/>
  </r>
  <r>
    <x v="3"/>
    <x v="4"/>
    <x v="0"/>
    <x v="0"/>
  </r>
  <r>
    <x v="3"/>
    <x v="5"/>
    <x v="0"/>
    <x v="0"/>
  </r>
  <r>
    <x v="3"/>
    <x v="6"/>
    <x v="0"/>
    <x v="0"/>
  </r>
  <r>
    <x v="3"/>
    <x v="7"/>
    <x v="0"/>
    <x v="0"/>
  </r>
  <r>
    <x v="3"/>
    <x v="8"/>
    <x v="0"/>
    <x v="0"/>
  </r>
  <r>
    <x v="9"/>
    <x v="0"/>
    <x v="1"/>
    <x v="0"/>
  </r>
  <r>
    <x v="9"/>
    <x v="1"/>
    <x v="0"/>
    <x v="0"/>
  </r>
  <r>
    <x v="9"/>
    <x v="2"/>
    <x v="0"/>
    <x v="0"/>
  </r>
  <r>
    <x v="9"/>
    <x v="3"/>
    <x v="0"/>
    <x v="0"/>
  </r>
  <r>
    <x v="9"/>
    <x v="4"/>
    <x v="0"/>
    <x v="0"/>
  </r>
  <r>
    <x v="9"/>
    <x v="5"/>
    <x v="0"/>
    <x v="0"/>
  </r>
  <r>
    <x v="9"/>
    <x v="6"/>
    <x v="0"/>
    <x v="0"/>
  </r>
  <r>
    <x v="9"/>
    <x v="7"/>
    <x v="0"/>
    <x v="0"/>
  </r>
  <r>
    <x v="9"/>
    <x v="8"/>
    <x v="0"/>
    <x v="0"/>
  </r>
  <r>
    <x v="2"/>
    <x v="0"/>
    <x v="1"/>
    <x v="0"/>
  </r>
  <r>
    <x v="2"/>
    <x v="1"/>
    <x v="0"/>
    <x v="0"/>
  </r>
  <r>
    <x v="2"/>
    <x v="2"/>
    <x v="0"/>
    <x v="0"/>
  </r>
  <r>
    <x v="2"/>
    <x v="3"/>
    <x v="0"/>
    <x v="0"/>
  </r>
  <r>
    <x v="2"/>
    <x v="4"/>
    <x v="0"/>
    <x v="0"/>
  </r>
  <r>
    <x v="2"/>
    <x v="5"/>
    <x v="0"/>
    <x v="0"/>
  </r>
  <r>
    <x v="2"/>
    <x v="6"/>
    <x v="0"/>
    <x v="0"/>
  </r>
  <r>
    <x v="2"/>
    <x v="7"/>
    <x v="0"/>
    <x v="0"/>
  </r>
  <r>
    <x v="2"/>
    <x v="8"/>
    <x v="0"/>
    <x v="0"/>
  </r>
  <r>
    <x v="2"/>
    <x v="0"/>
    <x v="10"/>
    <x v="0"/>
  </r>
  <r>
    <x v="2"/>
    <x v="1"/>
    <x v="0"/>
    <x v="0"/>
  </r>
  <r>
    <x v="2"/>
    <x v="2"/>
    <x v="0"/>
    <x v="0"/>
  </r>
  <r>
    <x v="2"/>
    <x v="3"/>
    <x v="0"/>
    <x v="0"/>
  </r>
  <r>
    <x v="2"/>
    <x v="4"/>
    <x v="0"/>
    <x v="0"/>
  </r>
  <r>
    <x v="2"/>
    <x v="5"/>
    <x v="0"/>
    <x v="0"/>
  </r>
  <r>
    <x v="2"/>
    <x v="6"/>
    <x v="0"/>
    <x v="0"/>
  </r>
  <r>
    <x v="2"/>
    <x v="7"/>
    <x v="0"/>
    <x v="0"/>
  </r>
  <r>
    <x v="2"/>
    <x v="8"/>
    <x v="0"/>
    <x v="0"/>
  </r>
  <r>
    <x v="6"/>
    <x v="0"/>
    <x v="1"/>
    <x v="0"/>
  </r>
  <r>
    <x v="6"/>
    <x v="1"/>
    <x v="0"/>
    <x v="0"/>
  </r>
  <r>
    <x v="6"/>
    <x v="2"/>
    <x v="0"/>
    <x v="0"/>
  </r>
  <r>
    <x v="6"/>
    <x v="3"/>
    <x v="0"/>
    <x v="0"/>
  </r>
  <r>
    <x v="6"/>
    <x v="4"/>
    <x v="0"/>
    <x v="0"/>
  </r>
  <r>
    <x v="6"/>
    <x v="5"/>
    <x v="0"/>
    <x v="0"/>
  </r>
  <r>
    <x v="6"/>
    <x v="6"/>
    <x v="0"/>
    <x v="0"/>
  </r>
  <r>
    <x v="6"/>
    <x v="7"/>
    <x v="0"/>
    <x v="0"/>
  </r>
  <r>
    <x v="6"/>
    <x v="8"/>
    <x v="0"/>
    <x v="0"/>
  </r>
  <r>
    <x v="6"/>
    <x v="0"/>
    <x v="1"/>
    <x v="0"/>
  </r>
  <r>
    <x v="6"/>
    <x v="1"/>
    <x v="0"/>
    <x v="0"/>
  </r>
  <r>
    <x v="6"/>
    <x v="2"/>
    <x v="0"/>
    <x v="0"/>
  </r>
  <r>
    <x v="6"/>
    <x v="3"/>
    <x v="0"/>
    <x v="0"/>
  </r>
  <r>
    <x v="6"/>
    <x v="4"/>
    <x v="0"/>
    <x v="0"/>
  </r>
  <r>
    <x v="6"/>
    <x v="5"/>
    <x v="0"/>
    <x v="0"/>
  </r>
  <r>
    <x v="6"/>
    <x v="6"/>
    <x v="0"/>
    <x v="0"/>
  </r>
  <r>
    <x v="6"/>
    <x v="7"/>
    <x v="0"/>
    <x v="0"/>
  </r>
  <r>
    <x v="6"/>
    <x v="8"/>
    <x v="0"/>
    <x v="0"/>
  </r>
  <r>
    <x v="7"/>
    <x v="0"/>
    <x v="9"/>
    <x v="0"/>
  </r>
  <r>
    <x v="7"/>
    <x v="1"/>
    <x v="0"/>
    <x v="0"/>
  </r>
  <r>
    <x v="7"/>
    <x v="2"/>
    <x v="0"/>
    <x v="0"/>
  </r>
  <r>
    <x v="7"/>
    <x v="3"/>
    <x v="0"/>
    <x v="0"/>
  </r>
  <r>
    <x v="7"/>
    <x v="4"/>
    <x v="0"/>
    <x v="0"/>
  </r>
  <r>
    <x v="7"/>
    <x v="5"/>
    <x v="0"/>
    <x v="0"/>
  </r>
  <r>
    <x v="7"/>
    <x v="6"/>
    <x v="0"/>
    <x v="0"/>
  </r>
  <r>
    <x v="7"/>
    <x v="7"/>
    <x v="0"/>
    <x v="0"/>
  </r>
  <r>
    <x v="7"/>
    <x v="8"/>
    <x v="0"/>
    <x v="0"/>
  </r>
  <r>
    <x v="2"/>
    <x v="0"/>
    <x v="1"/>
    <x v="0"/>
  </r>
  <r>
    <x v="2"/>
    <x v="1"/>
    <x v="0"/>
    <x v="0"/>
  </r>
  <r>
    <x v="2"/>
    <x v="2"/>
    <x v="0"/>
    <x v="0"/>
  </r>
  <r>
    <x v="2"/>
    <x v="3"/>
    <x v="2"/>
    <x v="0"/>
  </r>
  <r>
    <x v="2"/>
    <x v="4"/>
    <x v="6"/>
    <x v="0"/>
  </r>
  <r>
    <x v="2"/>
    <x v="5"/>
    <x v="0"/>
    <x v="0"/>
  </r>
  <r>
    <x v="2"/>
    <x v="6"/>
    <x v="0"/>
    <x v="0"/>
  </r>
  <r>
    <x v="2"/>
    <x v="7"/>
    <x v="0"/>
    <x v="0"/>
  </r>
  <r>
    <x v="2"/>
    <x v="8"/>
    <x v="0"/>
    <x v="0"/>
  </r>
  <r>
    <x v="2"/>
    <x v="0"/>
    <x v="1"/>
    <x v="0"/>
  </r>
  <r>
    <x v="2"/>
    <x v="1"/>
    <x v="0"/>
    <x v="0"/>
  </r>
  <r>
    <x v="2"/>
    <x v="2"/>
    <x v="0"/>
    <x v="0"/>
  </r>
  <r>
    <x v="2"/>
    <x v="3"/>
    <x v="0"/>
    <x v="0"/>
  </r>
  <r>
    <x v="2"/>
    <x v="4"/>
    <x v="0"/>
    <x v="0"/>
  </r>
  <r>
    <x v="2"/>
    <x v="5"/>
    <x v="0"/>
    <x v="0"/>
  </r>
  <r>
    <x v="2"/>
    <x v="6"/>
    <x v="0"/>
    <x v="0"/>
  </r>
  <r>
    <x v="2"/>
    <x v="7"/>
    <x v="0"/>
    <x v="0"/>
  </r>
  <r>
    <x v="2"/>
    <x v="8"/>
    <x v="0"/>
    <x v="0"/>
  </r>
  <r>
    <x v="3"/>
    <x v="0"/>
    <x v="9"/>
    <x v="0"/>
  </r>
  <r>
    <x v="3"/>
    <x v="1"/>
    <x v="0"/>
    <x v="0"/>
  </r>
  <r>
    <x v="3"/>
    <x v="2"/>
    <x v="0"/>
    <x v="0"/>
  </r>
  <r>
    <x v="3"/>
    <x v="3"/>
    <x v="0"/>
    <x v="0"/>
  </r>
  <r>
    <x v="3"/>
    <x v="4"/>
    <x v="0"/>
    <x v="0"/>
  </r>
  <r>
    <x v="3"/>
    <x v="5"/>
    <x v="0"/>
    <x v="0"/>
  </r>
  <r>
    <x v="3"/>
    <x v="6"/>
    <x v="0"/>
    <x v="0"/>
  </r>
  <r>
    <x v="3"/>
    <x v="7"/>
    <x v="0"/>
    <x v="0"/>
  </r>
  <r>
    <x v="3"/>
    <x v="8"/>
    <x v="0"/>
    <x v="0"/>
  </r>
  <r>
    <x v="7"/>
    <x v="0"/>
    <x v="9"/>
    <x v="0"/>
  </r>
  <r>
    <x v="7"/>
    <x v="1"/>
    <x v="0"/>
    <x v="0"/>
  </r>
  <r>
    <x v="7"/>
    <x v="2"/>
    <x v="0"/>
    <x v="0"/>
  </r>
  <r>
    <x v="7"/>
    <x v="3"/>
    <x v="0"/>
    <x v="0"/>
  </r>
  <r>
    <x v="7"/>
    <x v="4"/>
    <x v="0"/>
    <x v="0"/>
  </r>
  <r>
    <x v="7"/>
    <x v="5"/>
    <x v="0"/>
    <x v="0"/>
  </r>
  <r>
    <x v="7"/>
    <x v="6"/>
    <x v="0"/>
    <x v="0"/>
  </r>
  <r>
    <x v="7"/>
    <x v="7"/>
    <x v="0"/>
    <x v="0"/>
  </r>
  <r>
    <x v="7"/>
    <x v="8"/>
    <x v="0"/>
    <x v="0"/>
  </r>
  <r>
    <x v="1"/>
    <x v="0"/>
    <x v="11"/>
    <x v="0"/>
  </r>
  <r>
    <x v="1"/>
    <x v="1"/>
    <x v="0"/>
    <x v="0"/>
  </r>
  <r>
    <x v="1"/>
    <x v="2"/>
    <x v="0"/>
    <x v="0"/>
  </r>
  <r>
    <x v="1"/>
    <x v="3"/>
    <x v="2"/>
    <x v="0"/>
  </r>
  <r>
    <x v="1"/>
    <x v="4"/>
    <x v="4"/>
    <x v="0"/>
  </r>
  <r>
    <x v="1"/>
    <x v="5"/>
    <x v="0"/>
    <x v="0"/>
  </r>
  <r>
    <x v="1"/>
    <x v="6"/>
    <x v="0"/>
    <x v="0"/>
  </r>
  <r>
    <x v="1"/>
    <x v="7"/>
    <x v="0"/>
    <x v="0"/>
  </r>
  <r>
    <x v="1"/>
    <x v="8"/>
    <x v="0"/>
    <x v="0"/>
  </r>
  <r>
    <x v="2"/>
    <x v="0"/>
    <x v="12"/>
    <x v="0"/>
  </r>
  <r>
    <x v="2"/>
    <x v="1"/>
    <x v="0"/>
    <x v="0"/>
  </r>
  <r>
    <x v="2"/>
    <x v="2"/>
    <x v="0"/>
    <x v="0"/>
  </r>
  <r>
    <x v="2"/>
    <x v="3"/>
    <x v="0"/>
    <x v="0"/>
  </r>
  <r>
    <x v="2"/>
    <x v="4"/>
    <x v="0"/>
    <x v="0"/>
  </r>
  <r>
    <x v="2"/>
    <x v="5"/>
    <x v="0"/>
    <x v="0"/>
  </r>
  <r>
    <x v="2"/>
    <x v="6"/>
    <x v="0"/>
    <x v="0"/>
  </r>
  <r>
    <x v="2"/>
    <x v="7"/>
    <x v="0"/>
    <x v="0"/>
  </r>
  <r>
    <x v="2"/>
    <x v="8"/>
    <x v="0"/>
    <x v="0"/>
  </r>
  <r>
    <x v="2"/>
    <x v="0"/>
    <x v="13"/>
    <x v="0"/>
  </r>
  <r>
    <x v="2"/>
    <x v="1"/>
    <x v="0"/>
    <x v="0"/>
  </r>
  <r>
    <x v="2"/>
    <x v="2"/>
    <x v="0"/>
    <x v="0"/>
  </r>
  <r>
    <x v="2"/>
    <x v="3"/>
    <x v="0"/>
    <x v="0"/>
  </r>
  <r>
    <x v="2"/>
    <x v="4"/>
    <x v="0"/>
    <x v="0"/>
  </r>
  <r>
    <x v="2"/>
    <x v="5"/>
    <x v="0"/>
    <x v="0"/>
  </r>
  <r>
    <x v="2"/>
    <x v="6"/>
    <x v="0"/>
    <x v="0"/>
  </r>
  <r>
    <x v="2"/>
    <x v="7"/>
    <x v="0"/>
    <x v="0"/>
  </r>
  <r>
    <x v="2"/>
    <x v="8"/>
    <x v="0"/>
    <x v="0"/>
  </r>
  <r>
    <x v="8"/>
    <x v="0"/>
    <x v="1"/>
    <x v="0"/>
  </r>
  <r>
    <x v="8"/>
    <x v="1"/>
    <x v="0"/>
    <x v="0"/>
  </r>
  <r>
    <x v="8"/>
    <x v="2"/>
    <x v="0"/>
    <x v="0"/>
  </r>
  <r>
    <x v="8"/>
    <x v="3"/>
    <x v="0"/>
    <x v="0"/>
  </r>
  <r>
    <x v="8"/>
    <x v="4"/>
    <x v="0"/>
    <x v="0"/>
  </r>
  <r>
    <x v="8"/>
    <x v="5"/>
    <x v="0"/>
    <x v="0"/>
  </r>
  <r>
    <x v="8"/>
    <x v="6"/>
    <x v="0"/>
    <x v="0"/>
  </r>
  <r>
    <x v="8"/>
    <x v="7"/>
    <x v="0"/>
    <x v="0"/>
  </r>
  <r>
    <x v="8"/>
    <x v="8"/>
    <x v="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2">
  <r>
    <x v="0"/>
    <x v="0"/>
    <m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1"/>
    <x v="0"/>
    <m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2"/>
    <x v="0"/>
    <m/>
    <x v="0"/>
  </r>
  <r>
    <x v="2"/>
    <x v="1"/>
    <m/>
    <x v="0"/>
  </r>
  <r>
    <x v="2"/>
    <x v="2"/>
    <m/>
    <x v="0"/>
  </r>
  <r>
    <x v="2"/>
    <x v="3"/>
    <m/>
    <x v="0"/>
  </r>
  <r>
    <x v="2"/>
    <x v="4"/>
    <m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3"/>
    <x v="0"/>
    <m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4"/>
    <x v="0"/>
    <m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5"/>
    <x v="0"/>
    <m/>
    <x v="0"/>
  </r>
  <r>
    <x v="5"/>
    <x v="1"/>
    <m/>
    <x v="0"/>
  </r>
  <r>
    <x v="5"/>
    <x v="2"/>
    <m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6"/>
    <x v="0"/>
    <m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7"/>
    <x v="0"/>
    <m/>
    <x v="0"/>
  </r>
  <r>
    <x v="7"/>
    <x v="1"/>
    <m/>
    <x v="0"/>
  </r>
  <r>
    <x v="7"/>
    <x v="2"/>
    <m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8"/>
    <x v="0"/>
    <m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9"/>
    <x v="0"/>
    <m/>
    <x v="0"/>
  </r>
  <r>
    <x v="9"/>
    <x v="1"/>
    <m/>
    <x v="0"/>
  </r>
  <r>
    <x v="9"/>
    <x v="2"/>
    <m/>
    <x v="0"/>
  </r>
  <r>
    <x v="9"/>
    <x v="3"/>
    <m/>
    <x v="0"/>
  </r>
  <r>
    <x v="9"/>
    <x v="4"/>
    <m/>
    <x v="0"/>
  </r>
  <r>
    <x v="9"/>
    <x v="5"/>
    <m/>
    <x v="0"/>
  </r>
  <r>
    <x v="9"/>
    <x v="6"/>
    <m/>
    <x v="0"/>
  </r>
  <r>
    <x v="9"/>
    <x v="7"/>
    <m/>
    <x v="0"/>
  </r>
  <r>
    <x v="9"/>
    <x v="8"/>
    <m/>
    <x v="0"/>
  </r>
  <r>
    <x v="10"/>
    <x v="0"/>
    <m/>
    <x v="0"/>
  </r>
  <r>
    <x v="10"/>
    <x v="1"/>
    <m/>
    <x v="0"/>
  </r>
  <r>
    <x v="10"/>
    <x v="2"/>
    <m/>
    <x v="0"/>
  </r>
  <r>
    <x v="10"/>
    <x v="3"/>
    <m/>
    <x v="0"/>
  </r>
  <r>
    <x v="10"/>
    <x v="4"/>
    <m/>
    <x v="0"/>
  </r>
  <r>
    <x v="10"/>
    <x v="5"/>
    <m/>
    <x v="0"/>
  </r>
  <r>
    <x v="10"/>
    <x v="6"/>
    <m/>
    <x v="0"/>
  </r>
  <r>
    <x v="10"/>
    <x v="7"/>
    <m/>
    <x v="0"/>
  </r>
  <r>
    <x v="10"/>
    <x v="8"/>
    <m/>
    <x v="0"/>
  </r>
  <r>
    <x v="9"/>
    <x v="0"/>
    <n v="500"/>
    <x v="0"/>
  </r>
  <r>
    <x v="9"/>
    <x v="1"/>
    <s v="x"/>
    <x v="0"/>
  </r>
  <r>
    <x v="9"/>
    <x v="2"/>
    <n v="1"/>
    <x v="0"/>
  </r>
  <r>
    <x v="9"/>
    <x v="3"/>
    <m/>
    <x v="0"/>
  </r>
  <r>
    <x v="9"/>
    <x v="4"/>
    <m/>
    <x v="0"/>
  </r>
  <r>
    <x v="9"/>
    <x v="5"/>
    <m/>
    <x v="0"/>
  </r>
  <r>
    <x v="9"/>
    <x v="6"/>
    <m/>
    <x v="0"/>
  </r>
  <r>
    <x v="9"/>
    <x v="7"/>
    <m/>
    <x v="0"/>
  </r>
  <r>
    <x v="9"/>
    <x v="8"/>
    <m/>
    <x v="0"/>
  </r>
  <r>
    <x v="9"/>
    <x v="0"/>
    <n v="500"/>
    <x v="0"/>
  </r>
  <r>
    <x v="9"/>
    <x v="1"/>
    <s v="x"/>
    <x v="0"/>
  </r>
  <r>
    <x v="9"/>
    <x v="2"/>
    <n v="8"/>
    <x v="0"/>
  </r>
  <r>
    <x v="9"/>
    <x v="3"/>
    <s v="x"/>
    <x v="0"/>
  </r>
  <r>
    <x v="9"/>
    <x v="4"/>
    <n v="8"/>
    <x v="0"/>
  </r>
  <r>
    <x v="9"/>
    <x v="5"/>
    <m/>
    <x v="0"/>
  </r>
  <r>
    <x v="9"/>
    <x v="6"/>
    <m/>
    <x v="0"/>
  </r>
  <r>
    <x v="9"/>
    <x v="7"/>
    <m/>
    <x v="0"/>
  </r>
  <r>
    <x v="9"/>
    <x v="8"/>
    <m/>
    <x v="0"/>
  </r>
  <r>
    <x v="3"/>
    <x v="0"/>
    <n v="647"/>
    <x v="0"/>
  </r>
  <r>
    <x v="3"/>
    <x v="1"/>
    <s v="x"/>
    <x v="0"/>
  </r>
  <r>
    <x v="3"/>
    <x v="2"/>
    <n v="8"/>
    <x v="0"/>
  </r>
  <r>
    <x v="3"/>
    <x v="3"/>
    <s v="x"/>
    <x v="0"/>
  </r>
  <r>
    <x v="3"/>
    <x v="4"/>
    <n v="6"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0"/>
    <x v="0"/>
    <n v="500"/>
    <x v="0"/>
  </r>
  <r>
    <x v="0"/>
    <x v="1"/>
    <s v="x"/>
    <x v="0"/>
  </r>
  <r>
    <x v="0"/>
    <x v="2"/>
    <n v="2"/>
    <x v="0"/>
  </r>
  <r>
    <x v="0"/>
    <x v="3"/>
    <s v="x"/>
    <x v="0"/>
  </r>
  <r>
    <x v="0"/>
    <x v="4"/>
    <n v="4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8"/>
    <x v="0"/>
    <n v="500"/>
    <x v="0"/>
  </r>
  <r>
    <x v="8"/>
    <x v="1"/>
    <s v="x"/>
    <x v="0"/>
  </r>
  <r>
    <x v="8"/>
    <x v="2"/>
    <n v="2"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0"/>
    <x v="0"/>
    <n v="500"/>
    <x v="0"/>
  </r>
  <r>
    <x v="10"/>
    <x v="1"/>
    <s v="x"/>
    <x v="0"/>
  </r>
  <r>
    <x v="10"/>
    <x v="2"/>
    <n v="2"/>
    <x v="0"/>
  </r>
  <r>
    <x v="10"/>
    <x v="3"/>
    <s v="x"/>
    <x v="0"/>
  </r>
  <r>
    <x v="10"/>
    <x v="4"/>
    <n v="1"/>
    <x v="0"/>
  </r>
  <r>
    <x v="10"/>
    <x v="5"/>
    <m/>
    <x v="0"/>
  </r>
  <r>
    <x v="10"/>
    <x v="6"/>
    <m/>
    <x v="0"/>
  </r>
  <r>
    <x v="10"/>
    <x v="7"/>
    <m/>
    <x v="0"/>
  </r>
  <r>
    <x v="10"/>
    <x v="8"/>
    <m/>
    <x v="0"/>
  </r>
  <r>
    <x v="8"/>
    <x v="0"/>
    <n v="517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9"/>
    <x v="0"/>
    <n v="500"/>
    <x v="0"/>
  </r>
  <r>
    <x v="9"/>
    <x v="1"/>
    <m/>
    <x v="0"/>
  </r>
  <r>
    <x v="9"/>
    <x v="2"/>
    <m/>
    <x v="0"/>
  </r>
  <r>
    <x v="9"/>
    <x v="3"/>
    <m/>
    <x v="0"/>
  </r>
  <r>
    <x v="9"/>
    <x v="4"/>
    <m/>
    <x v="0"/>
  </r>
  <r>
    <x v="9"/>
    <x v="5"/>
    <m/>
    <x v="0"/>
  </r>
  <r>
    <x v="9"/>
    <x v="6"/>
    <m/>
    <x v="0"/>
  </r>
  <r>
    <x v="9"/>
    <x v="7"/>
    <m/>
    <x v="0"/>
  </r>
  <r>
    <x v="9"/>
    <x v="8"/>
    <m/>
    <x v="0"/>
  </r>
  <r>
    <x v="4"/>
    <x v="0"/>
    <s v="500"/>
    <x v="0"/>
  </r>
  <r>
    <x v="4"/>
    <x v="1"/>
    <m/>
    <x v="0"/>
  </r>
  <r>
    <x v="4"/>
    <x v="2"/>
    <m/>
    <x v="0"/>
  </r>
  <r>
    <x v="4"/>
    <x v="3"/>
    <s v="x"/>
    <x v="0"/>
  </r>
  <r>
    <x v="4"/>
    <x v="4"/>
    <n v="6"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5"/>
    <x v="0"/>
    <n v="500"/>
    <x v="0"/>
  </r>
  <r>
    <x v="5"/>
    <x v="1"/>
    <m/>
    <x v="0"/>
  </r>
  <r>
    <x v="5"/>
    <x v="2"/>
    <m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6"/>
    <x v="0"/>
    <n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7"/>
    <x v="0"/>
    <s v="500"/>
    <x v="0"/>
  </r>
  <r>
    <x v="7"/>
    <x v="1"/>
    <m/>
    <x v="0"/>
  </r>
  <r>
    <x v="7"/>
    <x v="2"/>
    <m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10"/>
    <x v="0"/>
    <n v="500"/>
    <x v="0"/>
  </r>
  <r>
    <x v="10"/>
    <x v="1"/>
    <m/>
    <x v="0"/>
  </r>
  <r>
    <x v="10"/>
    <x v="2"/>
    <m/>
    <x v="0"/>
  </r>
  <r>
    <x v="10"/>
    <x v="3"/>
    <s v="x"/>
    <x v="0"/>
  </r>
  <r>
    <x v="10"/>
    <x v="4"/>
    <n v="2"/>
    <x v="0"/>
  </r>
  <r>
    <x v="10"/>
    <x v="5"/>
    <m/>
    <x v="0"/>
  </r>
  <r>
    <x v="10"/>
    <x v="6"/>
    <m/>
    <x v="0"/>
  </r>
  <r>
    <x v="10"/>
    <x v="7"/>
    <m/>
    <x v="0"/>
  </r>
  <r>
    <x v="10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1"/>
    <x v="0"/>
    <n v="500"/>
    <x v="0"/>
  </r>
  <r>
    <x v="1"/>
    <x v="1"/>
    <s v="x"/>
    <x v="0"/>
  </r>
  <r>
    <x v="1"/>
    <x v="2"/>
    <n v="7"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n v="1134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6"/>
    <x v="0"/>
    <n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8"/>
    <x v="0"/>
    <n v="538"/>
    <x v="0"/>
  </r>
  <r>
    <x v="8"/>
    <x v="1"/>
    <s v="x"/>
    <x v="0"/>
  </r>
  <r>
    <x v="8"/>
    <x v="2"/>
    <n v="9"/>
    <x v="0"/>
  </r>
  <r>
    <x v="8"/>
    <x v="3"/>
    <s v="x"/>
    <x v="0"/>
  </r>
  <r>
    <x v="8"/>
    <x v="4"/>
    <n v="9"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10"/>
    <x v="0"/>
    <n v="500"/>
    <x v="0"/>
  </r>
  <r>
    <x v="10"/>
    <x v="1"/>
    <m/>
    <x v="0"/>
  </r>
  <r>
    <x v="10"/>
    <x v="2"/>
    <m/>
    <x v="0"/>
  </r>
  <r>
    <x v="10"/>
    <x v="3"/>
    <m/>
    <x v="0"/>
  </r>
  <r>
    <x v="10"/>
    <x v="4"/>
    <m/>
    <x v="0"/>
  </r>
  <r>
    <x v="10"/>
    <x v="5"/>
    <m/>
    <x v="0"/>
  </r>
  <r>
    <x v="10"/>
    <x v="6"/>
    <m/>
    <x v="0"/>
  </r>
  <r>
    <x v="10"/>
    <x v="7"/>
    <m/>
    <x v="0"/>
  </r>
  <r>
    <x v="10"/>
    <x v="8"/>
    <m/>
    <x v="0"/>
  </r>
  <r>
    <x v="7"/>
    <x v="0"/>
    <n v="500"/>
    <x v="0"/>
  </r>
  <r>
    <x v="7"/>
    <x v="1"/>
    <s v="x"/>
    <x v="0"/>
  </r>
  <r>
    <x v="7"/>
    <x v="2"/>
    <n v="9"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4"/>
    <x v="0"/>
    <n v="500"/>
    <x v="0"/>
  </r>
  <r>
    <x v="4"/>
    <x v="1"/>
    <s v="x"/>
    <x v="0"/>
  </r>
  <r>
    <x v="4"/>
    <x v="2"/>
    <n v="2"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7"/>
    <x v="0"/>
    <n v="500"/>
    <x v="0"/>
  </r>
  <r>
    <x v="7"/>
    <x v="1"/>
    <s v="x"/>
    <x v="0"/>
  </r>
  <r>
    <x v="7"/>
    <x v="2"/>
    <n v="2"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9"/>
    <x v="0"/>
    <n v="500"/>
    <x v="0"/>
  </r>
  <r>
    <x v="9"/>
    <x v="1"/>
    <s v="x"/>
    <x v="0"/>
  </r>
  <r>
    <x v="9"/>
    <x v="2"/>
    <n v="7"/>
    <x v="0"/>
  </r>
  <r>
    <x v="9"/>
    <x v="3"/>
    <s v="x"/>
    <x v="0"/>
  </r>
  <r>
    <x v="9"/>
    <x v="4"/>
    <n v="6"/>
    <x v="0"/>
  </r>
  <r>
    <x v="9"/>
    <x v="5"/>
    <m/>
    <x v="0"/>
  </r>
  <r>
    <x v="9"/>
    <x v="6"/>
    <m/>
    <x v="0"/>
  </r>
  <r>
    <x v="9"/>
    <x v="7"/>
    <m/>
    <x v="0"/>
  </r>
  <r>
    <x v="9"/>
    <x v="8"/>
    <m/>
    <x v="0"/>
  </r>
  <r>
    <x v="8"/>
    <x v="0"/>
    <n v="500"/>
    <x v="0"/>
  </r>
  <r>
    <x v="8"/>
    <x v="1"/>
    <s v="x"/>
    <x v="0"/>
  </r>
  <r>
    <x v="8"/>
    <x v="2"/>
    <n v="2"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1"/>
    <x v="0"/>
    <n v="94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0"/>
    <x v="0"/>
    <n v="575"/>
    <x v="0"/>
  </r>
  <r>
    <x v="10"/>
    <x v="1"/>
    <s v="x"/>
    <x v="0"/>
  </r>
  <r>
    <x v="10"/>
    <x v="2"/>
    <n v="9"/>
    <x v="0"/>
  </r>
  <r>
    <x v="10"/>
    <x v="3"/>
    <s v="x"/>
    <x v="0"/>
  </r>
  <r>
    <x v="10"/>
    <x v="4"/>
    <n v="6"/>
    <x v="0"/>
  </r>
  <r>
    <x v="10"/>
    <x v="5"/>
    <m/>
    <x v="0"/>
  </r>
  <r>
    <x v="10"/>
    <x v="6"/>
    <m/>
    <x v="0"/>
  </r>
  <r>
    <x v="10"/>
    <x v="7"/>
    <m/>
    <x v="0"/>
  </r>
  <r>
    <x v="10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0"/>
    <x v="0"/>
    <n v="500"/>
    <x v="0"/>
  </r>
  <r>
    <x v="10"/>
    <x v="1"/>
    <s v="x"/>
    <x v="0"/>
  </r>
  <r>
    <x v="10"/>
    <x v="2"/>
    <n v="8"/>
    <x v="0"/>
  </r>
  <r>
    <x v="10"/>
    <x v="3"/>
    <m/>
    <x v="0"/>
  </r>
  <r>
    <x v="10"/>
    <x v="4"/>
    <m/>
    <x v="0"/>
  </r>
  <r>
    <x v="10"/>
    <x v="5"/>
    <m/>
    <x v="0"/>
  </r>
  <r>
    <x v="10"/>
    <x v="6"/>
    <m/>
    <x v="0"/>
  </r>
  <r>
    <x v="10"/>
    <x v="7"/>
    <m/>
    <x v="0"/>
  </r>
  <r>
    <x v="10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n v="983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0"/>
    <x v="0"/>
    <n v="500"/>
    <x v="0"/>
  </r>
  <r>
    <x v="10"/>
    <x v="1"/>
    <s v="x"/>
    <x v="0"/>
  </r>
  <r>
    <x v="10"/>
    <x v="2"/>
    <n v="3"/>
    <x v="0"/>
  </r>
  <r>
    <x v="10"/>
    <x v="3"/>
    <s v="x"/>
    <x v="0"/>
  </r>
  <r>
    <x v="10"/>
    <x v="4"/>
    <n v="1"/>
    <x v="0"/>
  </r>
  <r>
    <x v="10"/>
    <x v="5"/>
    <m/>
    <x v="0"/>
  </r>
  <r>
    <x v="10"/>
    <x v="6"/>
    <m/>
    <x v="0"/>
  </r>
  <r>
    <x v="10"/>
    <x v="7"/>
    <m/>
    <x v="0"/>
  </r>
  <r>
    <x v="10"/>
    <x v="8"/>
    <m/>
    <x v="0"/>
  </r>
  <r>
    <x v="4"/>
    <x v="0"/>
    <s v="500"/>
    <x v="0"/>
  </r>
  <r>
    <x v="4"/>
    <x v="1"/>
    <m/>
    <x v="0"/>
  </r>
  <r>
    <x v="4"/>
    <x v="2"/>
    <m/>
    <x v="0"/>
  </r>
  <r>
    <x v="4"/>
    <x v="3"/>
    <s v="x"/>
    <x v="0"/>
  </r>
  <r>
    <x v="4"/>
    <x v="4"/>
    <n v="8"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4"/>
    <x v="0"/>
    <s v="769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4"/>
    <x v="0"/>
    <n v="500"/>
    <x v="0"/>
  </r>
  <r>
    <x v="4"/>
    <x v="1"/>
    <s v="x"/>
    <x v="0"/>
  </r>
  <r>
    <x v="4"/>
    <x v="2"/>
    <n v="4"/>
    <x v="0"/>
  </r>
  <r>
    <x v="4"/>
    <x v="3"/>
    <s v="x"/>
    <x v="0"/>
  </r>
  <r>
    <x v="4"/>
    <x v="4"/>
    <n v="7"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1"/>
    <x v="0"/>
    <n v="1036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n v="726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4"/>
    <x v="0"/>
    <s v="500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1"/>
    <x v="0"/>
    <n v="1054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4"/>
    <x v="0"/>
    <s v="500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10"/>
    <x v="0"/>
    <n v="500"/>
    <x v="0"/>
  </r>
  <r>
    <x v="10"/>
    <x v="1"/>
    <m/>
    <x v="0"/>
  </r>
  <r>
    <x v="10"/>
    <x v="2"/>
    <m/>
    <x v="0"/>
  </r>
  <r>
    <x v="10"/>
    <x v="3"/>
    <m/>
    <x v="0"/>
  </r>
  <r>
    <x v="10"/>
    <x v="4"/>
    <m/>
    <x v="0"/>
  </r>
  <r>
    <x v="10"/>
    <x v="5"/>
    <m/>
    <x v="0"/>
  </r>
  <r>
    <x v="10"/>
    <x v="6"/>
    <m/>
    <x v="0"/>
  </r>
  <r>
    <x v="10"/>
    <x v="7"/>
    <m/>
    <x v="0"/>
  </r>
  <r>
    <x v="10"/>
    <x v="8"/>
    <m/>
    <x v="0"/>
  </r>
  <r>
    <x v="4"/>
    <x v="0"/>
    <n v="500"/>
    <x v="0"/>
  </r>
  <r>
    <x v="4"/>
    <x v="1"/>
    <s v="x"/>
    <x v="0"/>
  </r>
  <r>
    <x v="4"/>
    <x v="2"/>
    <n v="8"/>
    <x v="0"/>
  </r>
  <r>
    <x v="4"/>
    <x v="3"/>
    <s v="x"/>
    <x v="0"/>
  </r>
  <r>
    <x v="4"/>
    <x v="4"/>
    <n v="2"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1"/>
    <x v="0"/>
    <n v="84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9"/>
    <x v="0"/>
    <n v="500"/>
    <x v="0"/>
  </r>
  <r>
    <x v="9"/>
    <x v="1"/>
    <s v="x"/>
    <x v="0"/>
  </r>
  <r>
    <x v="9"/>
    <x v="2"/>
    <n v="4"/>
    <x v="0"/>
  </r>
  <r>
    <x v="9"/>
    <x v="3"/>
    <m/>
    <x v="0"/>
  </r>
  <r>
    <x v="9"/>
    <x v="4"/>
    <m/>
    <x v="0"/>
  </r>
  <r>
    <x v="9"/>
    <x v="5"/>
    <m/>
    <x v="0"/>
  </r>
  <r>
    <x v="9"/>
    <x v="6"/>
    <m/>
    <x v="0"/>
  </r>
  <r>
    <x v="9"/>
    <x v="7"/>
    <m/>
    <x v="0"/>
  </r>
  <r>
    <x v="9"/>
    <x v="8"/>
    <m/>
    <x v="0"/>
  </r>
  <r>
    <x v="4"/>
    <x v="0"/>
    <s v="500"/>
    <x v="0"/>
  </r>
  <r>
    <x v="4"/>
    <x v="1"/>
    <m/>
    <x v="0"/>
  </r>
  <r>
    <x v="4"/>
    <x v="2"/>
    <m/>
    <x v="0"/>
  </r>
  <r>
    <x v="4"/>
    <x v="3"/>
    <s v="x"/>
    <x v="0"/>
  </r>
  <r>
    <x v="4"/>
    <x v="4"/>
    <n v="3"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4"/>
    <x v="0"/>
    <n v="826"/>
    <x v="0"/>
  </r>
  <r>
    <x v="4"/>
    <x v="1"/>
    <s v="x"/>
    <x v="0"/>
  </r>
  <r>
    <x v="4"/>
    <x v="2"/>
    <n v="10"/>
    <x v="0"/>
  </r>
  <r>
    <x v="4"/>
    <x v="3"/>
    <s v="x"/>
    <x v="0"/>
  </r>
  <r>
    <x v="4"/>
    <x v="4"/>
    <n v="12"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8"/>
    <x v="0"/>
    <n v="879"/>
    <x v="0"/>
  </r>
  <r>
    <x v="8"/>
    <x v="1"/>
    <s v="x"/>
    <x v="0"/>
  </r>
  <r>
    <x v="8"/>
    <x v="2"/>
    <n v="11"/>
    <x v="0"/>
  </r>
  <r>
    <x v="8"/>
    <x v="3"/>
    <s v="x"/>
    <x v="0"/>
  </r>
  <r>
    <x v="8"/>
    <x v="4"/>
    <n v="10"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0"/>
    <x v="0"/>
    <n v="500"/>
    <x v="0"/>
  </r>
  <r>
    <x v="0"/>
    <x v="1"/>
    <s v="x"/>
    <x v="0"/>
  </r>
  <r>
    <x v="0"/>
    <x v="2"/>
    <n v="4"/>
    <x v="0"/>
  </r>
  <r>
    <x v="0"/>
    <x v="3"/>
    <s v="x"/>
    <x v="0"/>
  </r>
  <r>
    <x v="0"/>
    <x v="4"/>
    <n v="2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10"/>
    <x v="0"/>
    <n v="756"/>
    <x v="0"/>
  </r>
  <r>
    <x v="10"/>
    <x v="1"/>
    <m/>
    <x v="0"/>
  </r>
  <r>
    <x v="10"/>
    <x v="2"/>
    <m/>
    <x v="0"/>
  </r>
  <r>
    <x v="10"/>
    <x v="3"/>
    <s v="x"/>
    <x v="0"/>
  </r>
  <r>
    <x v="10"/>
    <x v="4"/>
    <n v="7"/>
    <x v="0"/>
  </r>
  <r>
    <x v="10"/>
    <x v="5"/>
    <m/>
    <x v="0"/>
  </r>
  <r>
    <x v="10"/>
    <x v="6"/>
    <m/>
    <x v="0"/>
  </r>
  <r>
    <x v="10"/>
    <x v="7"/>
    <m/>
    <x v="0"/>
  </r>
  <r>
    <x v="10"/>
    <x v="8"/>
    <m/>
    <x v="0"/>
  </r>
  <r>
    <x v="1"/>
    <x v="0"/>
    <n v="1113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3"/>
    <x v="0"/>
    <n v="619"/>
    <x v="0"/>
  </r>
  <r>
    <x v="3"/>
    <x v="1"/>
    <s v="x"/>
    <x v="0"/>
  </r>
  <r>
    <x v="3"/>
    <x v="2"/>
    <n v="7"/>
    <x v="0"/>
  </r>
  <r>
    <x v="3"/>
    <x v="3"/>
    <s v="x"/>
    <x v="0"/>
  </r>
  <r>
    <x v="3"/>
    <x v="4"/>
    <n v="8"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10"/>
    <x v="0"/>
    <n v="500"/>
    <x v="0"/>
  </r>
  <r>
    <x v="10"/>
    <x v="1"/>
    <m/>
    <x v="0"/>
  </r>
  <r>
    <x v="10"/>
    <x v="2"/>
    <m/>
    <x v="0"/>
  </r>
  <r>
    <x v="10"/>
    <x v="3"/>
    <s v="x"/>
    <x v="0"/>
  </r>
  <r>
    <x v="10"/>
    <x v="4"/>
    <n v="1"/>
    <x v="0"/>
  </r>
  <r>
    <x v="10"/>
    <x v="5"/>
    <m/>
    <x v="0"/>
  </r>
  <r>
    <x v="10"/>
    <x v="6"/>
    <m/>
    <x v="0"/>
  </r>
  <r>
    <x v="10"/>
    <x v="7"/>
    <m/>
    <x v="0"/>
  </r>
  <r>
    <x v="10"/>
    <x v="8"/>
    <m/>
    <x v="0"/>
  </r>
  <r>
    <x v="7"/>
    <x v="0"/>
    <s v="500"/>
    <x v="0"/>
  </r>
  <r>
    <x v="7"/>
    <x v="1"/>
    <m/>
    <x v="0"/>
  </r>
  <r>
    <x v="7"/>
    <x v="2"/>
    <m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4"/>
    <x v="0"/>
    <s v="501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1"/>
    <x v="0"/>
    <n v="785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7"/>
    <x v="0"/>
    <s v="500"/>
    <x v="0"/>
  </r>
  <r>
    <x v="7"/>
    <x v="1"/>
    <m/>
    <x v="0"/>
  </r>
  <r>
    <x v="7"/>
    <x v="2"/>
    <m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8"/>
    <x v="0"/>
    <n v="500"/>
    <x v="0"/>
  </r>
  <r>
    <x v="8"/>
    <x v="1"/>
    <s v="x"/>
    <x v="0"/>
  </r>
  <r>
    <x v="8"/>
    <x v="2"/>
    <n v="7"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6"/>
    <x v="0"/>
    <n v="539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0"/>
    <x v="0"/>
    <n v="500"/>
    <x v="0"/>
  </r>
  <r>
    <x v="0"/>
    <x v="1"/>
    <s v="x"/>
    <x v="0"/>
  </r>
  <r>
    <x v="0"/>
    <x v="2"/>
    <n v="1"/>
    <x v="0"/>
  </r>
  <r>
    <x v="0"/>
    <x v="3"/>
    <s v="x"/>
    <x v="0"/>
  </r>
  <r>
    <x v="0"/>
    <x v="4"/>
    <n v="1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10"/>
    <x v="0"/>
    <n v="606"/>
    <x v="0"/>
  </r>
  <r>
    <x v="10"/>
    <x v="1"/>
    <m/>
    <x v="0"/>
  </r>
  <r>
    <x v="10"/>
    <x v="2"/>
    <m/>
    <x v="0"/>
  </r>
  <r>
    <x v="10"/>
    <x v="3"/>
    <m/>
    <x v="0"/>
  </r>
  <r>
    <x v="10"/>
    <x v="4"/>
    <m/>
    <x v="0"/>
  </r>
  <r>
    <x v="10"/>
    <x v="5"/>
    <m/>
    <x v="0"/>
  </r>
  <r>
    <x v="10"/>
    <x v="6"/>
    <m/>
    <x v="0"/>
  </r>
  <r>
    <x v="10"/>
    <x v="7"/>
    <m/>
    <x v="0"/>
  </r>
  <r>
    <x v="10"/>
    <x v="8"/>
    <m/>
    <x v="0"/>
  </r>
  <r>
    <x v="1"/>
    <x v="0"/>
    <n v="610"/>
    <x v="0"/>
  </r>
  <r>
    <x v="1"/>
    <x v="1"/>
    <s v="x"/>
    <x v="0"/>
  </r>
  <r>
    <x v="1"/>
    <x v="2"/>
    <n v="8"/>
    <x v="0"/>
  </r>
  <r>
    <x v="1"/>
    <x v="3"/>
    <s v="x"/>
    <x v="0"/>
  </r>
  <r>
    <x v="1"/>
    <x v="4"/>
    <n v="6"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6"/>
    <x v="0"/>
    <n v="816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4"/>
    <x v="0"/>
    <n v="500"/>
    <x v="0"/>
  </r>
  <r>
    <x v="4"/>
    <x v="1"/>
    <s v="x"/>
    <x v="0"/>
  </r>
  <r>
    <x v="4"/>
    <x v="2"/>
    <n v="3"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2"/>
    <x v="0"/>
    <s v="822"/>
    <x v="0"/>
  </r>
  <r>
    <x v="2"/>
    <x v="1"/>
    <m/>
    <x v="0"/>
  </r>
  <r>
    <x v="2"/>
    <x v="2"/>
    <m/>
    <x v="0"/>
  </r>
  <r>
    <x v="2"/>
    <x v="3"/>
    <m/>
    <x v="0"/>
  </r>
  <r>
    <x v="2"/>
    <x v="4"/>
    <m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9"/>
    <x v="0"/>
    <n v="597"/>
    <x v="0"/>
  </r>
  <r>
    <x v="9"/>
    <x v="1"/>
    <m/>
    <x v="0"/>
  </r>
  <r>
    <x v="9"/>
    <x v="2"/>
    <m/>
    <x v="0"/>
  </r>
  <r>
    <x v="9"/>
    <x v="3"/>
    <s v="x"/>
    <x v="0"/>
  </r>
  <r>
    <x v="9"/>
    <x v="4"/>
    <n v="6"/>
    <x v="0"/>
  </r>
  <r>
    <x v="9"/>
    <x v="5"/>
    <m/>
    <x v="0"/>
  </r>
  <r>
    <x v="9"/>
    <x v="6"/>
    <m/>
    <x v="0"/>
  </r>
  <r>
    <x v="9"/>
    <x v="7"/>
    <m/>
    <x v="0"/>
  </r>
  <r>
    <x v="9"/>
    <x v="8"/>
    <m/>
    <x v="0"/>
  </r>
  <r>
    <x v="0"/>
    <x v="0"/>
    <n v="500"/>
    <x v="0"/>
  </r>
  <r>
    <x v="0"/>
    <x v="1"/>
    <s v="x"/>
    <x v="0"/>
  </r>
  <r>
    <x v="0"/>
    <x v="2"/>
    <n v="8"/>
    <x v="0"/>
  </r>
  <r>
    <x v="0"/>
    <x v="3"/>
    <s v="x"/>
    <x v="0"/>
  </r>
  <r>
    <x v="0"/>
    <x v="4"/>
    <n v="2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4"/>
    <x v="0"/>
    <s v="500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9"/>
    <x v="0"/>
    <n v="500"/>
    <x v="0"/>
  </r>
  <r>
    <x v="9"/>
    <x v="1"/>
    <s v="x"/>
    <x v="0"/>
  </r>
  <r>
    <x v="9"/>
    <x v="2"/>
    <n v="8"/>
    <x v="0"/>
  </r>
  <r>
    <x v="9"/>
    <x v="3"/>
    <m/>
    <x v="0"/>
  </r>
  <r>
    <x v="9"/>
    <x v="4"/>
    <m/>
    <x v="0"/>
  </r>
  <r>
    <x v="9"/>
    <x v="5"/>
    <m/>
    <x v="0"/>
  </r>
  <r>
    <x v="9"/>
    <x v="6"/>
    <m/>
    <x v="0"/>
  </r>
  <r>
    <x v="9"/>
    <x v="7"/>
    <m/>
    <x v="0"/>
  </r>
  <r>
    <x v="9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4"/>
    <x v="0"/>
    <s v="500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6"/>
    <x v="0"/>
    <n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1"/>
    <x v="0"/>
    <n v="1146"/>
    <x v="0"/>
  </r>
  <r>
    <x v="1"/>
    <x v="1"/>
    <s v="x"/>
    <x v="0"/>
  </r>
  <r>
    <x v="1"/>
    <x v="2"/>
    <n v="13"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n v="967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7"/>
    <x v="0"/>
    <s v="500"/>
    <x v="0"/>
  </r>
  <r>
    <x v="7"/>
    <x v="1"/>
    <m/>
    <x v="0"/>
  </r>
  <r>
    <x v="7"/>
    <x v="2"/>
    <m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7"/>
    <x v="0"/>
    <n v="500"/>
    <x v="0"/>
  </r>
  <r>
    <x v="7"/>
    <x v="1"/>
    <m/>
    <x v="0"/>
  </r>
  <r>
    <x v="7"/>
    <x v="2"/>
    <m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4"/>
    <x v="0"/>
    <s v="500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4"/>
    <x v="0"/>
    <s v="500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2"/>
    <x v="0"/>
    <n v="500"/>
    <x v="0"/>
  </r>
  <r>
    <x v="2"/>
    <x v="1"/>
    <s v="x"/>
    <x v="0"/>
  </r>
  <r>
    <x v="2"/>
    <x v="2"/>
    <n v="3"/>
    <x v="0"/>
  </r>
  <r>
    <x v="2"/>
    <x v="3"/>
    <m/>
    <x v="0"/>
  </r>
  <r>
    <x v="2"/>
    <x v="4"/>
    <m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0"/>
    <x v="0"/>
    <n v="500"/>
    <x v="0"/>
  </r>
  <r>
    <x v="0"/>
    <x v="1"/>
    <s v="x"/>
    <x v="0"/>
  </r>
  <r>
    <x v="0"/>
    <x v="2"/>
    <n v="3"/>
    <x v="0"/>
  </r>
  <r>
    <x v="0"/>
    <x v="3"/>
    <s v="x"/>
    <x v="0"/>
  </r>
  <r>
    <x v="0"/>
    <x v="4"/>
    <n v="3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10"/>
    <x v="0"/>
    <n v="500"/>
    <x v="0"/>
  </r>
  <r>
    <x v="10"/>
    <x v="1"/>
    <m/>
    <x v="0"/>
  </r>
  <r>
    <x v="10"/>
    <x v="2"/>
    <m/>
    <x v="0"/>
  </r>
  <r>
    <x v="10"/>
    <x v="3"/>
    <m/>
    <x v="0"/>
  </r>
  <r>
    <x v="10"/>
    <x v="4"/>
    <m/>
    <x v="0"/>
  </r>
  <r>
    <x v="10"/>
    <x v="5"/>
    <m/>
    <x v="0"/>
  </r>
  <r>
    <x v="10"/>
    <x v="6"/>
    <m/>
    <x v="0"/>
  </r>
  <r>
    <x v="10"/>
    <x v="7"/>
    <m/>
    <x v="0"/>
  </r>
  <r>
    <x v="10"/>
    <x v="8"/>
    <m/>
    <x v="0"/>
  </r>
  <r>
    <x v="9"/>
    <x v="0"/>
    <n v="561"/>
    <x v="0"/>
  </r>
  <r>
    <x v="9"/>
    <x v="1"/>
    <m/>
    <x v="0"/>
  </r>
  <r>
    <x v="9"/>
    <x v="2"/>
    <m/>
    <x v="0"/>
  </r>
  <r>
    <x v="9"/>
    <x v="3"/>
    <s v="x"/>
    <x v="0"/>
  </r>
  <r>
    <x v="9"/>
    <x v="4"/>
    <n v="7"/>
    <x v="0"/>
  </r>
  <r>
    <x v="9"/>
    <x v="5"/>
    <m/>
    <x v="0"/>
  </r>
  <r>
    <x v="9"/>
    <x v="6"/>
    <m/>
    <x v="0"/>
  </r>
  <r>
    <x v="9"/>
    <x v="7"/>
    <m/>
    <x v="0"/>
  </r>
  <r>
    <x v="9"/>
    <x v="8"/>
    <m/>
    <x v="0"/>
  </r>
  <r>
    <x v="4"/>
    <x v="0"/>
    <n v="500"/>
    <x v="0"/>
  </r>
  <r>
    <x v="4"/>
    <x v="1"/>
    <s v="x"/>
    <x v="0"/>
  </r>
  <r>
    <x v="4"/>
    <x v="2"/>
    <n v="4"/>
    <x v="0"/>
  </r>
  <r>
    <x v="4"/>
    <x v="3"/>
    <s v="x"/>
    <x v="0"/>
  </r>
  <r>
    <x v="4"/>
    <x v="4"/>
    <n v="1"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7"/>
    <x v="0"/>
    <s v="500"/>
    <x v="0"/>
  </r>
  <r>
    <x v="7"/>
    <x v="1"/>
    <m/>
    <x v="0"/>
  </r>
  <r>
    <x v="7"/>
    <x v="2"/>
    <m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4"/>
    <x v="0"/>
    <s v="500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6"/>
    <x v="0"/>
    <n v="487"/>
    <x v="0"/>
  </r>
  <r>
    <x v="6"/>
    <x v="1"/>
    <m/>
    <x v="0"/>
  </r>
  <r>
    <x v="6"/>
    <x v="2"/>
    <m/>
    <x v="0"/>
  </r>
  <r>
    <x v="6"/>
    <x v="3"/>
    <s v="x"/>
    <x v="0"/>
  </r>
  <r>
    <x v="6"/>
    <x v="4"/>
    <n v="6"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2"/>
    <x v="0"/>
    <n v="500"/>
    <x v="0"/>
  </r>
  <r>
    <x v="2"/>
    <x v="1"/>
    <s v="x"/>
    <x v="0"/>
  </r>
  <r>
    <x v="2"/>
    <x v="2"/>
    <n v="1"/>
    <x v="0"/>
  </r>
  <r>
    <x v="2"/>
    <x v="3"/>
    <m/>
    <x v="0"/>
  </r>
  <r>
    <x v="2"/>
    <x v="4"/>
    <m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9"/>
    <x v="0"/>
    <n v="654"/>
    <x v="0"/>
  </r>
  <r>
    <x v="9"/>
    <x v="1"/>
    <s v="x"/>
    <x v="0"/>
  </r>
  <r>
    <x v="9"/>
    <x v="2"/>
    <n v="9"/>
    <x v="0"/>
  </r>
  <r>
    <x v="9"/>
    <x v="3"/>
    <s v="x"/>
    <x v="0"/>
  </r>
  <r>
    <x v="9"/>
    <x v="4"/>
    <n v="8"/>
    <x v="0"/>
  </r>
  <r>
    <x v="9"/>
    <x v="5"/>
    <m/>
    <x v="0"/>
  </r>
  <r>
    <x v="9"/>
    <x v="6"/>
    <m/>
    <x v="0"/>
  </r>
  <r>
    <x v="9"/>
    <x v="7"/>
    <m/>
    <x v="0"/>
  </r>
  <r>
    <x v="9"/>
    <x v="8"/>
    <m/>
    <x v="0"/>
  </r>
  <r>
    <x v="4"/>
    <x v="0"/>
    <s v="1045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4"/>
    <x v="0"/>
    <n v="656"/>
    <x v="0"/>
  </r>
  <r>
    <x v="4"/>
    <x v="1"/>
    <s v="x"/>
    <x v="0"/>
  </r>
  <r>
    <x v="4"/>
    <x v="2"/>
    <n v="10"/>
    <x v="0"/>
  </r>
  <r>
    <x v="4"/>
    <x v="3"/>
    <s v="x"/>
    <x v="0"/>
  </r>
  <r>
    <x v="4"/>
    <x v="4"/>
    <n v="9"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3"/>
    <x v="0"/>
    <n v="514"/>
    <x v="0"/>
  </r>
  <r>
    <x v="3"/>
    <x v="1"/>
    <s v="x"/>
    <x v="0"/>
  </r>
  <r>
    <x v="3"/>
    <x v="2"/>
    <n v="8"/>
    <x v="0"/>
  </r>
  <r>
    <x v="3"/>
    <x v="3"/>
    <s v="x"/>
    <x v="0"/>
  </r>
  <r>
    <x v="3"/>
    <x v="4"/>
    <n v="7"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0">
  <r>
    <x v="0"/>
    <x v="0"/>
    <x v="0"/>
    <x v="0"/>
  </r>
  <r>
    <x v="0"/>
    <x v="1"/>
    <x v="1"/>
    <x v="0"/>
  </r>
  <r>
    <x v="0"/>
    <x v="2"/>
    <x v="2"/>
    <x v="0"/>
  </r>
  <r>
    <x v="0"/>
    <x v="3"/>
    <x v="1"/>
    <x v="0"/>
  </r>
  <r>
    <x v="0"/>
    <x v="4"/>
    <x v="3"/>
    <x v="0"/>
  </r>
  <r>
    <x v="0"/>
    <x v="5"/>
    <x v="4"/>
    <x v="0"/>
  </r>
  <r>
    <x v="0"/>
    <x v="6"/>
    <x v="4"/>
    <x v="0"/>
  </r>
  <r>
    <x v="0"/>
    <x v="7"/>
    <x v="4"/>
    <x v="0"/>
  </r>
  <r>
    <x v="0"/>
    <x v="8"/>
    <x v="4"/>
    <x v="0"/>
  </r>
  <r>
    <x v="0"/>
    <x v="9"/>
    <x v="5"/>
    <x v="0"/>
  </r>
  <r>
    <x v="1"/>
    <x v="0"/>
    <x v="6"/>
    <x v="0"/>
  </r>
  <r>
    <x v="1"/>
    <x v="1"/>
    <x v="1"/>
    <x v="0"/>
  </r>
  <r>
    <x v="1"/>
    <x v="2"/>
    <x v="7"/>
    <x v="0"/>
  </r>
  <r>
    <x v="1"/>
    <x v="3"/>
    <x v="1"/>
    <x v="0"/>
  </r>
  <r>
    <x v="1"/>
    <x v="4"/>
    <x v="7"/>
    <x v="0"/>
  </r>
  <r>
    <x v="1"/>
    <x v="5"/>
    <x v="4"/>
    <x v="0"/>
  </r>
  <r>
    <x v="1"/>
    <x v="6"/>
    <x v="4"/>
    <x v="0"/>
  </r>
  <r>
    <x v="1"/>
    <x v="7"/>
    <x v="4"/>
    <x v="0"/>
  </r>
  <r>
    <x v="1"/>
    <x v="8"/>
    <x v="4"/>
    <x v="0"/>
  </r>
  <r>
    <x v="1"/>
    <x v="9"/>
    <x v="5"/>
    <x v="0"/>
  </r>
  <r>
    <x v="2"/>
    <x v="0"/>
    <x v="8"/>
    <x v="0"/>
  </r>
  <r>
    <x v="2"/>
    <x v="1"/>
    <x v="1"/>
    <x v="0"/>
  </r>
  <r>
    <x v="2"/>
    <x v="2"/>
    <x v="9"/>
    <x v="0"/>
  </r>
  <r>
    <x v="2"/>
    <x v="3"/>
    <x v="1"/>
    <x v="0"/>
  </r>
  <r>
    <x v="2"/>
    <x v="4"/>
    <x v="10"/>
    <x v="0"/>
  </r>
  <r>
    <x v="2"/>
    <x v="5"/>
    <x v="4"/>
    <x v="0"/>
  </r>
  <r>
    <x v="2"/>
    <x v="6"/>
    <x v="4"/>
    <x v="0"/>
  </r>
  <r>
    <x v="2"/>
    <x v="7"/>
    <x v="4"/>
    <x v="0"/>
  </r>
  <r>
    <x v="2"/>
    <x v="8"/>
    <x v="4"/>
    <x v="0"/>
  </r>
  <r>
    <x v="2"/>
    <x v="9"/>
    <x v="11"/>
    <x v="0"/>
  </r>
  <r>
    <x v="3"/>
    <x v="0"/>
    <x v="12"/>
    <x v="0"/>
  </r>
  <r>
    <x v="3"/>
    <x v="1"/>
    <x v="1"/>
    <x v="0"/>
  </r>
  <r>
    <x v="3"/>
    <x v="2"/>
    <x v="9"/>
    <x v="0"/>
  </r>
  <r>
    <x v="3"/>
    <x v="3"/>
    <x v="1"/>
    <x v="0"/>
  </r>
  <r>
    <x v="3"/>
    <x v="4"/>
    <x v="13"/>
    <x v="0"/>
  </r>
  <r>
    <x v="3"/>
    <x v="5"/>
    <x v="4"/>
    <x v="0"/>
  </r>
  <r>
    <x v="3"/>
    <x v="6"/>
    <x v="4"/>
    <x v="0"/>
  </r>
  <r>
    <x v="3"/>
    <x v="7"/>
    <x v="4"/>
    <x v="0"/>
  </r>
  <r>
    <x v="3"/>
    <x v="8"/>
    <x v="4"/>
    <x v="0"/>
  </r>
  <r>
    <x v="3"/>
    <x v="9"/>
    <x v="14"/>
    <x v="0"/>
  </r>
  <r>
    <x v="2"/>
    <x v="0"/>
    <x v="0"/>
    <x v="0"/>
  </r>
  <r>
    <x v="2"/>
    <x v="1"/>
    <x v="1"/>
    <x v="0"/>
  </r>
  <r>
    <x v="2"/>
    <x v="2"/>
    <x v="10"/>
    <x v="0"/>
  </r>
  <r>
    <x v="2"/>
    <x v="3"/>
    <x v="1"/>
    <x v="0"/>
  </r>
  <r>
    <x v="2"/>
    <x v="4"/>
    <x v="10"/>
    <x v="0"/>
  </r>
  <r>
    <x v="2"/>
    <x v="5"/>
    <x v="4"/>
    <x v="0"/>
  </r>
  <r>
    <x v="2"/>
    <x v="6"/>
    <x v="4"/>
    <x v="0"/>
  </r>
  <r>
    <x v="2"/>
    <x v="7"/>
    <x v="4"/>
    <x v="0"/>
  </r>
  <r>
    <x v="2"/>
    <x v="8"/>
    <x v="4"/>
    <x v="0"/>
  </r>
  <r>
    <x v="2"/>
    <x v="9"/>
    <x v="15"/>
    <x v="0"/>
  </r>
  <r>
    <x v="3"/>
    <x v="0"/>
    <x v="12"/>
    <x v="0"/>
  </r>
  <r>
    <x v="3"/>
    <x v="1"/>
    <x v="1"/>
    <x v="0"/>
  </r>
  <r>
    <x v="3"/>
    <x v="2"/>
    <x v="3"/>
    <x v="0"/>
  </r>
  <r>
    <x v="3"/>
    <x v="3"/>
    <x v="1"/>
    <x v="0"/>
  </r>
  <r>
    <x v="3"/>
    <x v="4"/>
    <x v="13"/>
    <x v="0"/>
  </r>
  <r>
    <x v="3"/>
    <x v="5"/>
    <x v="4"/>
    <x v="0"/>
  </r>
  <r>
    <x v="3"/>
    <x v="6"/>
    <x v="4"/>
    <x v="0"/>
  </r>
  <r>
    <x v="3"/>
    <x v="7"/>
    <x v="4"/>
    <x v="0"/>
  </r>
  <r>
    <x v="3"/>
    <x v="8"/>
    <x v="4"/>
    <x v="0"/>
  </r>
  <r>
    <x v="3"/>
    <x v="9"/>
    <x v="15"/>
    <x v="0"/>
  </r>
  <r>
    <x v="2"/>
    <x v="0"/>
    <x v="0"/>
    <x v="0"/>
  </r>
  <r>
    <x v="2"/>
    <x v="1"/>
    <x v="1"/>
    <x v="0"/>
  </r>
  <r>
    <x v="2"/>
    <x v="2"/>
    <x v="10"/>
    <x v="0"/>
  </r>
  <r>
    <x v="2"/>
    <x v="3"/>
    <x v="1"/>
    <x v="0"/>
  </r>
  <r>
    <x v="2"/>
    <x v="4"/>
    <x v="13"/>
    <x v="0"/>
  </r>
  <r>
    <x v="2"/>
    <x v="5"/>
    <x v="4"/>
    <x v="0"/>
  </r>
  <r>
    <x v="2"/>
    <x v="6"/>
    <x v="4"/>
    <x v="0"/>
  </r>
  <r>
    <x v="2"/>
    <x v="7"/>
    <x v="4"/>
    <x v="0"/>
  </r>
  <r>
    <x v="2"/>
    <x v="8"/>
    <x v="4"/>
    <x v="0"/>
  </r>
  <r>
    <x v="2"/>
    <x v="9"/>
    <x v="2"/>
    <x v="0"/>
  </r>
  <r>
    <x v="4"/>
    <x v="0"/>
    <x v="0"/>
    <x v="0"/>
  </r>
  <r>
    <x v="4"/>
    <x v="1"/>
    <x v="1"/>
    <x v="0"/>
  </r>
  <r>
    <x v="4"/>
    <x v="2"/>
    <x v="10"/>
    <x v="0"/>
  </r>
  <r>
    <x v="4"/>
    <x v="3"/>
    <x v="1"/>
    <x v="0"/>
  </r>
  <r>
    <x v="4"/>
    <x v="4"/>
    <x v="13"/>
    <x v="0"/>
  </r>
  <r>
    <x v="4"/>
    <x v="5"/>
    <x v="4"/>
    <x v="0"/>
  </r>
  <r>
    <x v="4"/>
    <x v="6"/>
    <x v="4"/>
    <x v="0"/>
  </r>
  <r>
    <x v="4"/>
    <x v="7"/>
    <x v="4"/>
    <x v="0"/>
  </r>
  <r>
    <x v="4"/>
    <x v="8"/>
    <x v="4"/>
    <x v="0"/>
  </r>
  <r>
    <x v="4"/>
    <x v="9"/>
    <x v="2"/>
    <x v="0"/>
  </r>
  <r>
    <x v="3"/>
    <x v="0"/>
    <x v="0"/>
    <x v="0"/>
  </r>
  <r>
    <x v="3"/>
    <x v="1"/>
    <x v="1"/>
    <x v="0"/>
  </r>
  <r>
    <x v="3"/>
    <x v="2"/>
    <x v="16"/>
    <x v="0"/>
  </r>
  <r>
    <x v="3"/>
    <x v="3"/>
    <x v="1"/>
    <x v="0"/>
  </r>
  <r>
    <x v="3"/>
    <x v="4"/>
    <x v="13"/>
    <x v="0"/>
  </r>
  <r>
    <x v="3"/>
    <x v="5"/>
    <x v="4"/>
    <x v="0"/>
  </r>
  <r>
    <x v="3"/>
    <x v="6"/>
    <x v="4"/>
    <x v="0"/>
  </r>
  <r>
    <x v="3"/>
    <x v="7"/>
    <x v="4"/>
    <x v="0"/>
  </r>
  <r>
    <x v="3"/>
    <x v="8"/>
    <x v="4"/>
    <x v="0"/>
  </r>
  <r>
    <x v="3"/>
    <x v="9"/>
    <x v="7"/>
    <x v="0"/>
  </r>
  <r>
    <x v="4"/>
    <x v="0"/>
    <x v="0"/>
    <x v="0"/>
  </r>
  <r>
    <x v="4"/>
    <x v="1"/>
    <x v="1"/>
    <x v="0"/>
  </r>
  <r>
    <x v="4"/>
    <x v="2"/>
    <x v="10"/>
    <x v="0"/>
  </r>
  <r>
    <x v="4"/>
    <x v="3"/>
    <x v="1"/>
    <x v="0"/>
  </r>
  <r>
    <x v="4"/>
    <x v="4"/>
    <x v="17"/>
    <x v="0"/>
  </r>
  <r>
    <x v="4"/>
    <x v="5"/>
    <x v="4"/>
    <x v="0"/>
  </r>
  <r>
    <x v="4"/>
    <x v="6"/>
    <x v="4"/>
    <x v="0"/>
  </r>
  <r>
    <x v="4"/>
    <x v="7"/>
    <x v="4"/>
    <x v="0"/>
  </r>
  <r>
    <x v="4"/>
    <x v="8"/>
    <x v="4"/>
    <x v="0"/>
  </r>
  <r>
    <x v="4"/>
    <x v="9"/>
    <x v="7"/>
    <x v="0"/>
  </r>
  <r>
    <x v="5"/>
    <x v="0"/>
    <x v="0"/>
    <x v="0"/>
  </r>
  <r>
    <x v="5"/>
    <x v="1"/>
    <x v="1"/>
    <x v="0"/>
  </r>
  <r>
    <x v="5"/>
    <x v="2"/>
    <x v="3"/>
    <x v="0"/>
  </r>
  <r>
    <x v="5"/>
    <x v="3"/>
    <x v="1"/>
    <x v="0"/>
  </r>
  <r>
    <x v="5"/>
    <x v="4"/>
    <x v="18"/>
    <x v="0"/>
  </r>
  <r>
    <x v="5"/>
    <x v="5"/>
    <x v="4"/>
    <x v="0"/>
  </r>
  <r>
    <x v="5"/>
    <x v="6"/>
    <x v="4"/>
    <x v="0"/>
  </r>
  <r>
    <x v="5"/>
    <x v="7"/>
    <x v="4"/>
    <x v="0"/>
  </r>
  <r>
    <x v="5"/>
    <x v="8"/>
    <x v="4"/>
    <x v="0"/>
  </r>
  <r>
    <x v="5"/>
    <x v="9"/>
    <x v="7"/>
    <x v="0"/>
  </r>
  <r>
    <x v="3"/>
    <x v="0"/>
    <x v="0"/>
    <x v="0"/>
  </r>
  <r>
    <x v="3"/>
    <x v="1"/>
    <x v="1"/>
    <x v="0"/>
  </r>
  <r>
    <x v="3"/>
    <x v="2"/>
    <x v="10"/>
    <x v="0"/>
  </r>
  <r>
    <x v="3"/>
    <x v="3"/>
    <x v="1"/>
    <x v="0"/>
  </r>
  <r>
    <x v="3"/>
    <x v="4"/>
    <x v="19"/>
    <x v="0"/>
  </r>
  <r>
    <x v="3"/>
    <x v="5"/>
    <x v="4"/>
    <x v="0"/>
  </r>
  <r>
    <x v="3"/>
    <x v="6"/>
    <x v="4"/>
    <x v="0"/>
  </r>
  <r>
    <x v="3"/>
    <x v="7"/>
    <x v="4"/>
    <x v="0"/>
  </r>
  <r>
    <x v="3"/>
    <x v="8"/>
    <x v="4"/>
    <x v="0"/>
  </r>
  <r>
    <x v="3"/>
    <x v="9"/>
    <x v="3"/>
    <x v="0"/>
  </r>
  <r>
    <x v="0"/>
    <x v="0"/>
    <x v="0"/>
    <x v="0"/>
  </r>
  <r>
    <x v="0"/>
    <x v="1"/>
    <x v="1"/>
    <x v="0"/>
  </r>
  <r>
    <x v="0"/>
    <x v="2"/>
    <x v="3"/>
    <x v="0"/>
  </r>
  <r>
    <x v="0"/>
    <x v="3"/>
    <x v="4"/>
    <x v="0"/>
  </r>
  <r>
    <x v="0"/>
    <x v="4"/>
    <x v="4"/>
    <x v="0"/>
  </r>
  <r>
    <x v="0"/>
    <x v="5"/>
    <x v="4"/>
    <x v="0"/>
  </r>
  <r>
    <x v="0"/>
    <x v="6"/>
    <x v="4"/>
    <x v="0"/>
  </r>
  <r>
    <x v="0"/>
    <x v="7"/>
    <x v="4"/>
    <x v="0"/>
  </r>
  <r>
    <x v="0"/>
    <x v="8"/>
    <x v="4"/>
    <x v="0"/>
  </r>
  <r>
    <x v="0"/>
    <x v="9"/>
    <x v="3"/>
    <x v="0"/>
  </r>
  <r>
    <x v="0"/>
    <x v="0"/>
    <x v="0"/>
    <x v="0"/>
  </r>
  <r>
    <x v="0"/>
    <x v="1"/>
    <x v="1"/>
    <x v="0"/>
  </r>
  <r>
    <x v="0"/>
    <x v="2"/>
    <x v="3"/>
    <x v="0"/>
  </r>
  <r>
    <x v="0"/>
    <x v="3"/>
    <x v="4"/>
    <x v="0"/>
  </r>
  <r>
    <x v="0"/>
    <x v="4"/>
    <x v="4"/>
    <x v="0"/>
  </r>
  <r>
    <x v="0"/>
    <x v="5"/>
    <x v="4"/>
    <x v="0"/>
  </r>
  <r>
    <x v="0"/>
    <x v="6"/>
    <x v="4"/>
    <x v="0"/>
  </r>
  <r>
    <x v="0"/>
    <x v="7"/>
    <x v="4"/>
    <x v="0"/>
  </r>
  <r>
    <x v="0"/>
    <x v="8"/>
    <x v="4"/>
    <x v="0"/>
  </r>
  <r>
    <x v="0"/>
    <x v="9"/>
    <x v="3"/>
    <x v="0"/>
  </r>
  <r>
    <x v="3"/>
    <x v="0"/>
    <x v="0"/>
    <x v="0"/>
  </r>
  <r>
    <x v="3"/>
    <x v="1"/>
    <x v="1"/>
    <x v="0"/>
  </r>
  <r>
    <x v="3"/>
    <x v="2"/>
    <x v="10"/>
    <x v="0"/>
  </r>
  <r>
    <x v="3"/>
    <x v="3"/>
    <x v="4"/>
    <x v="0"/>
  </r>
  <r>
    <x v="3"/>
    <x v="4"/>
    <x v="4"/>
    <x v="0"/>
  </r>
  <r>
    <x v="3"/>
    <x v="5"/>
    <x v="4"/>
    <x v="0"/>
  </r>
  <r>
    <x v="3"/>
    <x v="6"/>
    <x v="4"/>
    <x v="0"/>
  </r>
  <r>
    <x v="3"/>
    <x v="7"/>
    <x v="4"/>
    <x v="0"/>
  </r>
  <r>
    <x v="3"/>
    <x v="8"/>
    <x v="4"/>
    <x v="0"/>
  </r>
  <r>
    <x v="3"/>
    <x v="9"/>
    <x v="10"/>
    <x v="0"/>
  </r>
  <r>
    <x v="3"/>
    <x v="0"/>
    <x v="12"/>
    <x v="0"/>
  </r>
  <r>
    <x v="3"/>
    <x v="1"/>
    <x v="1"/>
    <x v="0"/>
  </r>
  <r>
    <x v="3"/>
    <x v="2"/>
    <x v="10"/>
    <x v="0"/>
  </r>
  <r>
    <x v="3"/>
    <x v="3"/>
    <x v="4"/>
    <x v="0"/>
  </r>
  <r>
    <x v="3"/>
    <x v="4"/>
    <x v="4"/>
    <x v="0"/>
  </r>
  <r>
    <x v="3"/>
    <x v="5"/>
    <x v="4"/>
    <x v="0"/>
  </r>
  <r>
    <x v="3"/>
    <x v="6"/>
    <x v="4"/>
    <x v="0"/>
  </r>
  <r>
    <x v="3"/>
    <x v="7"/>
    <x v="4"/>
    <x v="0"/>
  </r>
  <r>
    <x v="3"/>
    <x v="8"/>
    <x v="4"/>
    <x v="0"/>
  </r>
  <r>
    <x v="3"/>
    <x v="9"/>
    <x v="10"/>
    <x v="0"/>
  </r>
  <r>
    <x v="5"/>
    <x v="0"/>
    <x v="0"/>
    <x v="0"/>
  </r>
  <r>
    <x v="5"/>
    <x v="1"/>
    <x v="1"/>
    <x v="0"/>
  </r>
  <r>
    <x v="5"/>
    <x v="2"/>
    <x v="10"/>
    <x v="0"/>
  </r>
  <r>
    <x v="5"/>
    <x v="3"/>
    <x v="4"/>
    <x v="0"/>
  </r>
  <r>
    <x v="5"/>
    <x v="4"/>
    <x v="4"/>
    <x v="0"/>
  </r>
  <r>
    <x v="5"/>
    <x v="5"/>
    <x v="4"/>
    <x v="0"/>
  </r>
  <r>
    <x v="5"/>
    <x v="6"/>
    <x v="4"/>
    <x v="0"/>
  </r>
  <r>
    <x v="5"/>
    <x v="7"/>
    <x v="4"/>
    <x v="0"/>
  </r>
  <r>
    <x v="5"/>
    <x v="8"/>
    <x v="4"/>
    <x v="0"/>
  </r>
  <r>
    <x v="5"/>
    <x v="9"/>
    <x v="10"/>
    <x v="0"/>
  </r>
  <r>
    <x v="6"/>
    <x v="0"/>
    <x v="0"/>
    <x v="0"/>
  </r>
  <r>
    <x v="6"/>
    <x v="1"/>
    <x v="1"/>
    <x v="0"/>
  </r>
  <r>
    <x v="6"/>
    <x v="2"/>
    <x v="17"/>
    <x v="0"/>
  </r>
  <r>
    <x v="6"/>
    <x v="3"/>
    <x v="1"/>
    <x v="0"/>
  </r>
  <r>
    <x v="6"/>
    <x v="4"/>
    <x v="19"/>
    <x v="0"/>
  </r>
  <r>
    <x v="6"/>
    <x v="5"/>
    <x v="4"/>
    <x v="0"/>
  </r>
  <r>
    <x v="6"/>
    <x v="6"/>
    <x v="4"/>
    <x v="0"/>
  </r>
  <r>
    <x v="6"/>
    <x v="7"/>
    <x v="4"/>
    <x v="0"/>
  </r>
  <r>
    <x v="6"/>
    <x v="8"/>
    <x v="4"/>
    <x v="0"/>
  </r>
  <r>
    <x v="6"/>
    <x v="9"/>
    <x v="16"/>
    <x v="0"/>
  </r>
  <r>
    <x v="4"/>
    <x v="0"/>
    <x v="0"/>
    <x v="0"/>
  </r>
  <r>
    <x v="4"/>
    <x v="1"/>
    <x v="1"/>
    <x v="0"/>
  </r>
  <r>
    <x v="4"/>
    <x v="2"/>
    <x v="17"/>
    <x v="0"/>
  </r>
  <r>
    <x v="4"/>
    <x v="3"/>
    <x v="4"/>
    <x v="0"/>
  </r>
  <r>
    <x v="4"/>
    <x v="4"/>
    <x v="4"/>
    <x v="0"/>
  </r>
  <r>
    <x v="4"/>
    <x v="5"/>
    <x v="4"/>
    <x v="0"/>
  </r>
  <r>
    <x v="4"/>
    <x v="6"/>
    <x v="4"/>
    <x v="0"/>
  </r>
  <r>
    <x v="4"/>
    <x v="7"/>
    <x v="4"/>
    <x v="0"/>
  </r>
  <r>
    <x v="4"/>
    <x v="8"/>
    <x v="4"/>
    <x v="0"/>
  </r>
  <r>
    <x v="4"/>
    <x v="9"/>
    <x v="17"/>
    <x v="0"/>
  </r>
  <r>
    <x v="5"/>
    <x v="0"/>
    <x v="0"/>
    <x v="0"/>
  </r>
  <r>
    <x v="5"/>
    <x v="1"/>
    <x v="1"/>
    <x v="0"/>
  </r>
  <r>
    <x v="5"/>
    <x v="2"/>
    <x v="19"/>
    <x v="0"/>
  </r>
  <r>
    <x v="5"/>
    <x v="3"/>
    <x v="1"/>
    <x v="0"/>
  </r>
  <r>
    <x v="5"/>
    <x v="4"/>
    <x v="18"/>
    <x v="0"/>
  </r>
  <r>
    <x v="5"/>
    <x v="5"/>
    <x v="4"/>
    <x v="0"/>
  </r>
  <r>
    <x v="5"/>
    <x v="6"/>
    <x v="4"/>
    <x v="0"/>
  </r>
  <r>
    <x v="5"/>
    <x v="7"/>
    <x v="4"/>
    <x v="0"/>
  </r>
  <r>
    <x v="5"/>
    <x v="8"/>
    <x v="4"/>
    <x v="0"/>
  </r>
  <r>
    <x v="5"/>
    <x v="9"/>
    <x v="17"/>
    <x v="0"/>
  </r>
  <r>
    <x v="7"/>
    <x v="0"/>
    <x v="0"/>
    <x v="0"/>
  </r>
  <r>
    <x v="7"/>
    <x v="1"/>
    <x v="1"/>
    <x v="0"/>
  </r>
  <r>
    <x v="7"/>
    <x v="2"/>
    <x v="18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18"/>
    <x v="0"/>
  </r>
  <r>
    <x v="3"/>
    <x v="0"/>
    <x v="0"/>
    <x v="0"/>
  </r>
  <r>
    <x v="3"/>
    <x v="1"/>
    <x v="1"/>
    <x v="0"/>
  </r>
  <r>
    <x v="3"/>
    <x v="2"/>
    <x v="18"/>
    <x v="0"/>
  </r>
  <r>
    <x v="3"/>
    <x v="3"/>
    <x v="4"/>
    <x v="0"/>
  </r>
  <r>
    <x v="3"/>
    <x v="4"/>
    <x v="4"/>
    <x v="0"/>
  </r>
  <r>
    <x v="3"/>
    <x v="5"/>
    <x v="4"/>
    <x v="0"/>
  </r>
  <r>
    <x v="3"/>
    <x v="6"/>
    <x v="4"/>
    <x v="0"/>
  </r>
  <r>
    <x v="3"/>
    <x v="7"/>
    <x v="4"/>
    <x v="0"/>
  </r>
  <r>
    <x v="3"/>
    <x v="8"/>
    <x v="4"/>
    <x v="0"/>
  </r>
  <r>
    <x v="3"/>
    <x v="9"/>
    <x v="18"/>
    <x v="0"/>
  </r>
  <r>
    <x v="5"/>
    <x v="0"/>
    <x v="0"/>
    <x v="0"/>
  </r>
  <r>
    <x v="5"/>
    <x v="1"/>
    <x v="1"/>
    <x v="0"/>
  </r>
  <r>
    <x v="5"/>
    <x v="2"/>
    <x v="19"/>
    <x v="0"/>
  </r>
  <r>
    <x v="5"/>
    <x v="3"/>
    <x v="1"/>
    <x v="0"/>
  </r>
  <r>
    <x v="5"/>
    <x v="4"/>
    <x v="19"/>
    <x v="0"/>
  </r>
  <r>
    <x v="5"/>
    <x v="5"/>
    <x v="4"/>
    <x v="0"/>
  </r>
  <r>
    <x v="5"/>
    <x v="6"/>
    <x v="4"/>
    <x v="0"/>
  </r>
  <r>
    <x v="5"/>
    <x v="7"/>
    <x v="4"/>
    <x v="0"/>
  </r>
  <r>
    <x v="5"/>
    <x v="8"/>
    <x v="4"/>
    <x v="0"/>
  </r>
  <r>
    <x v="5"/>
    <x v="9"/>
    <x v="18"/>
    <x v="0"/>
  </r>
  <r>
    <x v="6"/>
    <x v="0"/>
    <x v="0"/>
    <x v="0"/>
  </r>
  <r>
    <x v="6"/>
    <x v="1"/>
    <x v="1"/>
    <x v="0"/>
  </r>
  <r>
    <x v="6"/>
    <x v="2"/>
    <x v="18"/>
    <x v="0"/>
  </r>
  <r>
    <x v="6"/>
    <x v="3"/>
    <x v="4"/>
    <x v="0"/>
  </r>
  <r>
    <x v="6"/>
    <x v="4"/>
    <x v="4"/>
    <x v="0"/>
  </r>
  <r>
    <x v="6"/>
    <x v="5"/>
    <x v="4"/>
    <x v="0"/>
  </r>
  <r>
    <x v="6"/>
    <x v="6"/>
    <x v="4"/>
    <x v="0"/>
  </r>
  <r>
    <x v="6"/>
    <x v="7"/>
    <x v="4"/>
    <x v="0"/>
  </r>
  <r>
    <x v="6"/>
    <x v="8"/>
    <x v="4"/>
    <x v="0"/>
  </r>
  <r>
    <x v="6"/>
    <x v="9"/>
    <x v="18"/>
    <x v="0"/>
  </r>
  <r>
    <x v="5"/>
    <x v="0"/>
    <x v="0"/>
    <x v="0"/>
  </r>
  <r>
    <x v="5"/>
    <x v="1"/>
    <x v="1"/>
    <x v="0"/>
  </r>
  <r>
    <x v="5"/>
    <x v="2"/>
    <x v="18"/>
    <x v="0"/>
  </r>
  <r>
    <x v="5"/>
    <x v="3"/>
    <x v="4"/>
    <x v="0"/>
  </r>
  <r>
    <x v="5"/>
    <x v="4"/>
    <x v="4"/>
    <x v="0"/>
  </r>
  <r>
    <x v="5"/>
    <x v="5"/>
    <x v="4"/>
    <x v="0"/>
  </r>
  <r>
    <x v="5"/>
    <x v="6"/>
    <x v="4"/>
    <x v="0"/>
  </r>
  <r>
    <x v="5"/>
    <x v="7"/>
    <x v="4"/>
    <x v="0"/>
  </r>
  <r>
    <x v="5"/>
    <x v="8"/>
    <x v="4"/>
    <x v="0"/>
  </r>
  <r>
    <x v="5"/>
    <x v="9"/>
    <x v="18"/>
    <x v="0"/>
  </r>
  <r>
    <x v="7"/>
    <x v="0"/>
    <x v="0"/>
    <x v="0"/>
  </r>
  <r>
    <x v="7"/>
    <x v="1"/>
    <x v="1"/>
    <x v="0"/>
  </r>
  <r>
    <x v="7"/>
    <x v="2"/>
    <x v="19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19"/>
    <x v="0"/>
  </r>
  <r>
    <x v="4"/>
    <x v="0"/>
    <x v="0"/>
    <x v="0"/>
  </r>
  <r>
    <x v="4"/>
    <x v="1"/>
    <x v="1"/>
    <x v="0"/>
  </r>
  <r>
    <x v="4"/>
    <x v="2"/>
    <x v="19"/>
    <x v="0"/>
  </r>
  <r>
    <x v="4"/>
    <x v="3"/>
    <x v="4"/>
    <x v="0"/>
  </r>
  <r>
    <x v="4"/>
    <x v="4"/>
    <x v="4"/>
    <x v="0"/>
  </r>
  <r>
    <x v="4"/>
    <x v="5"/>
    <x v="4"/>
    <x v="0"/>
  </r>
  <r>
    <x v="4"/>
    <x v="6"/>
    <x v="4"/>
    <x v="0"/>
  </r>
  <r>
    <x v="4"/>
    <x v="7"/>
    <x v="4"/>
    <x v="0"/>
  </r>
  <r>
    <x v="4"/>
    <x v="8"/>
    <x v="4"/>
    <x v="0"/>
  </r>
  <r>
    <x v="4"/>
    <x v="9"/>
    <x v="19"/>
    <x v="0"/>
  </r>
  <r>
    <x v="8"/>
    <x v="0"/>
    <x v="0"/>
    <x v="0"/>
  </r>
  <r>
    <x v="8"/>
    <x v="1"/>
    <x v="1"/>
    <x v="0"/>
  </r>
  <r>
    <x v="8"/>
    <x v="2"/>
    <x v="19"/>
    <x v="0"/>
  </r>
  <r>
    <x v="8"/>
    <x v="3"/>
    <x v="4"/>
    <x v="0"/>
  </r>
  <r>
    <x v="8"/>
    <x v="4"/>
    <x v="4"/>
    <x v="0"/>
  </r>
  <r>
    <x v="8"/>
    <x v="5"/>
    <x v="4"/>
    <x v="0"/>
  </r>
  <r>
    <x v="8"/>
    <x v="6"/>
    <x v="4"/>
    <x v="0"/>
  </r>
  <r>
    <x v="8"/>
    <x v="7"/>
    <x v="4"/>
    <x v="0"/>
  </r>
  <r>
    <x v="8"/>
    <x v="8"/>
    <x v="4"/>
    <x v="0"/>
  </r>
  <r>
    <x v="8"/>
    <x v="9"/>
    <x v="19"/>
    <x v="0"/>
  </r>
  <r>
    <x v="3"/>
    <x v="0"/>
    <x v="0"/>
    <x v="0"/>
  </r>
  <r>
    <x v="3"/>
    <x v="1"/>
    <x v="1"/>
    <x v="0"/>
  </r>
  <r>
    <x v="3"/>
    <x v="2"/>
    <x v="1"/>
    <x v="0"/>
  </r>
  <r>
    <x v="3"/>
    <x v="3"/>
    <x v="1"/>
    <x v="0"/>
  </r>
  <r>
    <x v="3"/>
    <x v="4"/>
    <x v="19"/>
    <x v="0"/>
  </r>
  <r>
    <x v="3"/>
    <x v="5"/>
    <x v="4"/>
    <x v="0"/>
  </r>
  <r>
    <x v="3"/>
    <x v="6"/>
    <x v="4"/>
    <x v="0"/>
  </r>
  <r>
    <x v="3"/>
    <x v="7"/>
    <x v="4"/>
    <x v="0"/>
  </r>
  <r>
    <x v="3"/>
    <x v="8"/>
    <x v="4"/>
    <x v="0"/>
  </r>
  <r>
    <x v="3"/>
    <x v="9"/>
    <x v="19"/>
    <x v="0"/>
  </r>
  <r>
    <x v="3"/>
    <x v="0"/>
    <x v="0"/>
    <x v="0"/>
  </r>
  <r>
    <x v="3"/>
    <x v="1"/>
    <x v="1"/>
    <x v="0"/>
  </r>
  <r>
    <x v="3"/>
    <x v="2"/>
    <x v="19"/>
    <x v="0"/>
  </r>
  <r>
    <x v="3"/>
    <x v="3"/>
    <x v="4"/>
    <x v="0"/>
  </r>
  <r>
    <x v="3"/>
    <x v="4"/>
    <x v="4"/>
    <x v="0"/>
  </r>
  <r>
    <x v="3"/>
    <x v="5"/>
    <x v="4"/>
    <x v="0"/>
  </r>
  <r>
    <x v="3"/>
    <x v="6"/>
    <x v="4"/>
    <x v="0"/>
  </r>
  <r>
    <x v="3"/>
    <x v="7"/>
    <x v="4"/>
    <x v="0"/>
  </r>
  <r>
    <x v="3"/>
    <x v="8"/>
    <x v="4"/>
    <x v="0"/>
  </r>
  <r>
    <x v="3"/>
    <x v="9"/>
    <x v="19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3"/>
    <x v="0"/>
    <x v="0"/>
    <x v="0"/>
  </r>
  <r>
    <x v="3"/>
    <x v="1"/>
    <x v="4"/>
    <x v="0"/>
  </r>
  <r>
    <x v="3"/>
    <x v="2"/>
    <x v="4"/>
    <x v="0"/>
  </r>
  <r>
    <x v="3"/>
    <x v="3"/>
    <x v="4"/>
    <x v="0"/>
  </r>
  <r>
    <x v="3"/>
    <x v="4"/>
    <x v="4"/>
    <x v="0"/>
  </r>
  <r>
    <x v="3"/>
    <x v="5"/>
    <x v="4"/>
    <x v="0"/>
  </r>
  <r>
    <x v="3"/>
    <x v="6"/>
    <x v="4"/>
    <x v="0"/>
  </r>
  <r>
    <x v="3"/>
    <x v="7"/>
    <x v="4"/>
    <x v="0"/>
  </r>
  <r>
    <x v="3"/>
    <x v="8"/>
    <x v="4"/>
    <x v="0"/>
  </r>
  <r>
    <x v="3"/>
    <x v="9"/>
    <x v="21"/>
    <x v="0"/>
  </r>
  <r>
    <x v="3"/>
    <x v="0"/>
    <x v="0"/>
    <x v="0"/>
  </r>
  <r>
    <x v="3"/>
    <x v="1"/>
    <x v="4"/>
    <x v="0"/>
  </r>
  <r>
    <x v="3"/>
    <x v="2"/>
    <x v="4"/>
    <x v="0"/>
  </r>
  <r>
    <x v="3"/>
    <x v="3"/>
    <x v="4"/>
    <x v="0"/>
  </r>
  <r>
    <x v="3"/>
    <x v="4"/>
    <x v="4"/>
    <x v="0"/>
  </r>
  <r>
    <x v="3"/>
    <x v="5"/>
    <x v="4"/>
    <x v="0"/>
  </r>
  <r>
    <x v="3"/>
    <x v="6"/>
    <x v="4"/>
    <x v="0"/>
  </r>
  <r>
    <x v="3"/>
    <x v="7"/>
    <x v="4"/>
    <x v="0"/>
  </r>
  <r>
    <x v="3"/>
    <x v="8"/>
    <x v="4"/>
    <x v="0"/>
  </r>
  <r>
    <x v="3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3"/>
    <x v="0"/>
    <x v="0"/>
    <x v="0"/>
  </r>
  <r>
    <x v="3"/>
    <x v="1"/>
    <x v="4"/>
    <x v="0"/>
  </r>
  <r>
    <x v="3"/>
    <x v="2"/>
    <x v="4"/>
    <x v="0"/>
  </r>
  <r>
    <x v="3"/>
    <x v="3"/>
    <x v="4"/>
    <x v="0"/>
  </r>
  <r>
    <x v="3"/>
    <x v="4"/>
    <x v="4"/>
    <x v="0"/>
  </r>
  <r>
    <x v="3"/>
    <x v="5"/>
    <x v="4"/>
    <x v="0"/>
  </r>
  <r>
    <x v="3"/>
    <x v="6"/>
    <x v="4"/>
    <x v="0"/>
  </r>
  <r>
    <x v="3"/>
    <x v="7"/>
    <x v="4"/>
    <x v="0"/>
  </r>
  <r>
    <x v="3"/>
    <x v="8"/>
    <x v="4"/>
    <x v="0"/>
  </r>
  <r>
    <x v="3"/>
    <x v="9"/>
    <x v="21"/>
    <x v="0"/>
  </r>
  <r>
    <x v="0"/>
    <x v="0"/>
    <x v="20"/>
    <x v="0"/>
  </r>
  <r>
    <x v="0"/>
    <x v="1"/>
    <x v="4"/>
    <x v="0"/>
  </r>
  <r>
    <x v="0"/>
    <x v="2"/>
    <x v="4"/>
    <x v="0"/>
  </r>
  <r>
    <x v="0"/>
    <x v="3"/>
    <x v="4"/>
    <x v="0"/>
  </r>
  <r>
    <x v="0"/>
    <x v="4"/>
    <x v="4"/>
    <x v="0"/>
  </r>
  <r>
    <x v="0"/>
    <x v="5"/>
    <x v="4"/>
    <x v="0"/>
  </r>
  <r>
    <x v="0"/>
    <x v="6"/>
    <x v="4"/>
    <x v="0"/>
  </r>
  <r>
    <x v="0"/>
    <x v="7"/>
    <x v="4"/>
    <x v="0"/>
  </r>
  <r>
    <x v="0"/>
    <x v="8"/>
    <x v="4"/>
    <x v="0"/>
  </r>
  <r>
    <x v="0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1"/>
    <x v="0"/>
    <x v="0"/>
    <x v="0"/>
  </r>
  <r>
    <x v="1"/>
    <x v="1"/>
    <x v="4"/>
    <x v="0"/>
  </r>
  <r>
    <x v="1"/>
    <x v="2"/>
    <x v="4"/>
    <x v="0"/>
  </r>
  <r>
    <x v="1"/>
    <x v="3"/>
    <x v="4"/>
    <x v="0"/>
  </r>
  <r>
    <x v="1"/>
    <x v="4"/>
    <x v="4"/>
    <x v="0"/>
  </r>
  <r>
    <x v="1"/>
    <x v="5"/>
    <x v="4"/>
    <x v="0"/>
  </r>
  <r>
    <x v="1"/>
    <x v="6"/>
    <x v="4"/>
    <x v="0"/>
  </r>
  <r>
    <x v="1"/>
    <x v="7"/>
    <x v="4"/>
    <x v="0"/>
  </r>
  <r>
    <x v="1"/>
    <x v="8"/>
    <x v="4"/>
    <x v="0"/>
  </r>
  <r>
    <x v="1"/>
    <x v="9"/>
    <x v="21"/>
    <x v="0"/>
  </r>
  <r>
    <x v="4"/>
    <x v="0"/>
    <x v="20"/>
    <x v="0"/>
  </r>
  <r>
    <x v="4"/>
    <x v="1"/>
    <x v="4"/>
    <x v="0"/>
  </r>
  <r>
    <x v="4"/>
    <x v="2"/>
    <x v="4"/>
    <x v="0"/>
  </r>
  <r>
    <x v="4"/>
    <x v="3"/>
    <x v="4"/>
    <x v="0"/>
  </r>
  <r>
    <x v="4"/>
    <x v="4"/>
    <x v="4"/>
    <x v="0"/>
  </r>
  <r>
    <x v="4"/>
    <x v="5"/>
    <x v="4"/>
    <x v="0"/>
  </r>
  <r>
    <x v="4"/>
    <x v="6"/>
    <x v="4"/>
    <x v="0"/>
  </r>
  <r>
    <x v="4"/>
    <x v="7"/>
    <x v="4"/>
    <x v="0"/>
  </r>
  <r>
    <x v="4"/>
    <x v="8"/>
    <x v="4"/>
    <x v="0"/>
  </r>
  <r>
    <x v="4"/>
    <x v="9"/>
    <x v="21"/>
    <x v="0"/>
  </r>
  <r>
    <x v="1"/>
    <x v="0"/>
    <x v="0"/>
    <x v="0"/>
  </r>
  <r>
    <x v="1"/>
    <x v="1"/>
    <x v="4"/>
    <x v="0"/>
  </r>
  <r>
    <x v="1"/>
    <x v="2"/>
    <x v="4"/>
    <x v="0"/>
  </r>
  <r>
    <x v="1"/>
    <x v="3"/>
    <x v="4"/>
    <x v="0"/>
  </r>
  <r>
    <x v="1"/>
    <x v="4"/>
    <x v="4"/>
    <x v="0"/>
  </r>
  <r>
    <x v="1"/>
    <x v="5"/>
    <x v="4"/>
    <x v="0"/>
  </r>
  <r>
    <x v="1"/>
    <x v="6"/>
    <x v="4"/>
    <x v="0"/>
  </r>
  <r>
    <x v="1"/>
    <x v="7"/>
    <x v="4"/>
    <x v="0"/>
  </r>
  <r>
    <x v="1"/>
    <x v="8"/>
    <x v="4"/>
    <x v="0"/>
  </r>
  <r>
    <x v="1"/>
    <x v="9"/>
    <x v="21"/>
    <x v="0"/>
  </r>
  <r>
    <x v="5"/>
    <x v="0"/>
    <x v="0"/>
    <x v="0"/>
  </r>
  <r>
    <x v="5"/>
    <x v="1"/>
    <x v="4"/>
    <x v="0"/>
  </r>
  <r>
    <x v="5"/>
    <x v="2"/>
    <x v="4"/>
    <x v="0"/>
  </r>
  <r>
    <x v="5"/>
    <x v="3"/>
    <x v="4"/>
    <x v="0"/>
  </r>
  <r>
    <x v="5"/>
    <x v="4"/>
    <x v="4"/>
    <x v="0"/>
  </r>
  <r>
    <x v="5"/>
    <x v="5"/>
    <x v="4"/>
    <x v="0"/>
  </r>
  <r>
    <x v="5"/>
    <x v="6"/>
    <x v="4"/>
    <x v="0"/>
  </r>
  <r>
    <x v="5"/>
    <x v="7"/>
    <x v="4"/>
    <x v="0"/>
  </r>
  <r>
    <x v="5"/>
    <x v="8"/>
    <x v="4"/>
    <x v="0"/>
  </r>
  <r>
    <x v="5"/>
    <x v="9"/>
    <x v="21"/>
    <x v="0"/>
  </r>
  <r>
    <x v="0"/>
    <x v="0"/>
    <x v="20"/>
    <x v="0"/>
  </r>
  <r>
    <x v="0"/>
    <x v="1"/>
    <x v="4"/>
    <x v="0"/>
  </r>
  <r>
    <x v="0"/>
    <x v="2"/>
    <x v="4"/>
    <x v="0"/>
  </r>
  <r>
    <x v="0"/>
    <x v="3"/>
    <x v="4"/>
    <x v="0"/>
  </r>
  <r>
    <x v="0"/>
    <x v="4"/>
    <x v="4"/>
    <x v="0"/>
  </r>
  <r>
    <x v="0"/>
    <x v="5"/>
    <x v="4"/>
    <x v="0"/>
  </r>
  <r>
    <x v="0"/>
    <x v="6"/>
    <x v="4"/>
    <x v="0"/>
  </r>
  <r>
    <x v="0"/>
    <x v="7"/>
    <x v="4"/>
    <x v="0"/>
  </r>
  <r>
    <x v="0"/>
    <x v="8"/>
    <x v="4"/>
    <x v="0"/>
  </r>
  <r>
    <x v="0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3"/>
    <x v="0"/>
    <x v="0"/>
    <x v="0"/>
  </r>
  <r>
    <x v="3"/>
    <x v="1"/>
    <x v="4"/>
    <x v="0"/>
  </r>
  <r>
    <x v="3"/>
    <x v="2"/>
    <x v="4"/>
    <x v="0"/>
  </r>
  <r>
    <x v="3"/>
    <x v="3"/>
    <x v="4"/>
    <x v="0"/>
  </r>
  <r>
    <x v="3"/>
    <x v="4"/>
    <x v="4"/>
    <x v="0"/>
  </r>
  <r>
    <x v="3"/>
    <x v="5"/>
    <x v="4"/>
    <x v="0"/>
  </r>
  <r>
    <x v="3"/>
    <x v="6"/>
    <x v="4"/>
    <x v="0"/>
  </r>
  <r>
    <x v="3"/>
    <x v="7"/>
    <x v="4"/>
    <x v="0"/>
  </r>
  <r>
    <x v="3"/>
    <x v="8"/>
    <x v="4"/>
    <x v="0"/>
  </r>
  <r>
    <x v="3"/>
    <x v="9"/>
    <x v="21"/>
    <x v="0"/>
  </r>
  <r>
    <x v="9"/>
    <x v="0"/>
    <x v="0"/>
    <x v="0"/>
  </r>
  <r>
    <x v="9"/>
    <x v="1"/>
    <x v="4"/>
    <x v="0"/>
  </r>
  <r>
    <x v="9"/>
    <x v="2"/>
    <x v="4"/>
    <x v="0"/>
  </r>
  <r>
    <x v="9"/>
    <x v="3"/>
    <x v="4"/>
    <x v="0"/>
  </r>
  <r>
    <x v="9"/>
    <x v="4"/>
    <x v="4"/>
    <x v="0"/>
  </r>
  <r>
    <x v="9"/>
    <x v="5"/>
    <x v="4"/>
    <x v="0"/>
  </r>
  <r>
    <x v="9"/>
    <x v="6"/>
    <x v="4"/>
    <x v="0"/>
  </r>
  <r>
    <x v="9"/>
    <x v="7"/>
    <x v="4"/>
    <x v="0"/>
  </r>
  <r>
    <x v="9"/>
    <x v="8"/>
    <x v="4"/>
    <x v="0"/>
  </r>
  <r>
    <x v="9"/>
    <x v="9"/>
    <x v="21"/>
    <x v="0"/>
  </r>
  <r>
    <x v="0"/>
    <x v="0"/>
    <x v="20"/>
    <x v="0"/>
  </r>
  <r>
    <x v="0"/>
    <x v="1"/>
    <x v="4"/>
    <x v="0"/>
  </r>
  <r>
    <x v="0"/>
    <x v="2"/>
    <x v="4"/>
    <x v="0"/>
  </r>
  <r>
    <x v="0"/>
    <x v="3"/>
    <x v="4"/>
    <x v="0"/>
  </r>
  <r>
    <x v="0"/>
    <x v="4"/>
    <x v="4"/>
    <x v="0"/>
  </r>
  <r>
    <x v="0"/>
    <x v="5"/>
    <x v="4"/>
    <x v="0"/>
  </r>
  <r>
    <x v="0"/>
    <x v="6"/>
    <x v="4"/>
    <x v="0"/>
  </r>
  <r>
    <x v="0"/>
    <x v="7"/>
    <x v="4"/>
    <x v="0"/>
  </r>
  <r>
    <x v="0"/>
    <x v="8"/>
    <x v="4"/>
    <x v="0"/>
  </r>
  <r>
    <x v="0"/>
    <x v="9"/>
    <x v="21"/>
    <x v="0"/>
  </r>
  <r>
    <x v="4"/>
    <x v="0"/>
    <x v="20"/>
    <x v="0"/>
  </r>
  <r>
    <x v="4"/>
    <x v="1"/>
    <x v="4"/>
    <x v="0"/>
  </r>
  <r>
    <x v="4"/>
    <x v="2"/>
    <x v="4"/>
    <x v="0"/>
  </r>
  <r>
    <x v="4"/>
    <x v="3"/>
    <x v="4"/>
    <x v="0"/>
  </r>
  <r>
    <x v="4"/>
    <x v="4"/>
    <x v="4"/>
    <x v="0"/>
  </r>
  <r>
    <x v="4"/>
    <x v="5"/>
    <x v="4"/>
    <x v="0"/>
  </r>
  <r>
    <x v="4"/>
    <x v="6"/>
    <x v="4"/>
    <x v="0"/>
  </r>
  <r>
    <x v="4"/>
    <x v="7"/>
    <x v="4"/>
    <x v="0"/>
  </r>
  <r>
    <x v="4"/>
    <x v="8"/>
    <x v="4"/>
    <x v="0"/>
  </r>
  <r>
    <x v="4"/>
    <x v="9"/>
    <x v="21"/>
    <x v="0"/>
  </r>
  <r>
    <x v="3"/>
    <x v="0"/>
    <x v="0"/>
    <x v="0"/>
  </r>
  <r>
    <x v="3"/>
    <x v="1"/>
    <x v="4"/>
    <x v="0"/>
  </r>
  <r>
    <x v="3"/>
    <x v="2"/>
    <x v="4"/>
    <x v="0"/>
  </r>
  <r>
    <x v="3"/>
    <x v="3"/>
    <x v="4"/>
    <x v="0"/>
  </r>
  <r>
    <x v="3"/>
    <x v="4"/>
    <x v="4"/>
    <x v="0"/>
  </r>
  <r>
    <x v="3"/>
    <x v="5"/>
    <x v="4"/>
    <x v="0"/>
  </r>
  <r>
    <x v="3"/>
    <x v="6"/>
    <x v="4"/>
    <x v="0"/>
  </r>
  <r>
    <x v="3"/>
    <x v="7"/>
    <x v="4"/>
    <x v="0"/>
  </r>
  <r>
    <x v="3"/>
    <x v="8"/>
    <x v="4"/>
    <x v="0"/>
  </r>
  <r>
    <x v="3"/>
    <x v="9"/>
    <x v="21"/>
    <x v="0"/>
  </r>
  <r>
    <x v="1"/>
    <x v="0"/>
    <x v="0"/>
    <x v="0"/>
  </r>
  <r>
    <x v="1"/>
    <x v="1"/>
    <x v="4"/>
    <x v="0"/>
  </r>
  <r>
    <x v="1"/>
    <x v="2"/>
    <x v="4"/>
    <x v="0"/>
  </r>
  <r>
    <x v="1"/>
    <x v="3"/>
    <x v="4"/>
    <x v="0"/>
  </r>
  <r>
    <x v="1"/>
    <x v="4"/>
    <x v="4"/>
    <x v="0"/>
  </r>
  <r>
    <x v="1"/>
    <x v="5"/>
    <x v="4"/>
    <x v="0"/>
  </r>
  <r>
    <x v="1"/>
    <x v="6"/>
    <x v="4"/>
    <x v="0"/>
  </r>
  <r>
    <x v="1"/>
    <x v="7"/>
    <x v="4"/>
    <x v="0"/>
  </r>
  <r>
    <x v="1"/>
    <x v="8"/>
    <x v="4"/>
    <x v="0"/>
  </r>
  <r>
    <x v="1"/>
    <x v="9"/>
    <x v="21"/>
    <x v="0"/>
  </r>
  <r>
    <x v="0"/>
    <x v="0"/>
    <x v="20"/>
    <x v="0"/>
  </r>
  <r>
    <x v="0"/>
    <x v="1"/>
    <x v="4"/>
    <x v="0"/>
  </r>
  <r>
    <x v="0"/>
    <x v="2"/>
    <x v="4"/>
    <x v="0"/>
  </r>
  <r>
    <x v="0"/>
    <x v="3"/>
    <x v="4"/>
    <x v="0"/>
  </r>
  <r>
    <x v="0"/>
    <x v="4"/>
    <x v="4"/>
    <x v="0"/>
  </r>
  <r>
    <x v="0"/>
    <x v="5"/>
    <x v="4"/>
    <x v="0"/>
  </r>
  <r>
    <x v="0"/>
    <x v="6"/>
    <x v="4"/>
    <x v="0"/>
  </r>
  <r>
    <x v="0"/>
    <x v="7"/>
    <x v="4"/>
    <x v="0"/>
  </r>
  <r>
    <x v="0"/>
    <x v="8"/>
    <x v="4"/>
    <x v="0"/>
  </r>
  <r>
    <x v="0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1"/>
    <x v="0"/>
    <x v="0"/>
    <x v="0"/>
  </r>
  <r>
    <x v="1"/>
    <x v="1"/>
    <x v="4"/>
    <x v="0"/>
  </r>
  <r>
    <x v="1"/>
    <x v="2"/>
    <x v="4"/>
    <x v="0"/>
  </r>
  <r>
    <x v="1"/>
    <x v="3"/>
    <x v="4"/>
    <x v="0"/>
  </r>
  <r>
    <x v="1"/>
    <x v="4"/>
    <x v="4"/>
    <x v="0"/>
  </r>
  <r>
    <x v="1"/>
    <x v="5"/>
    <x v="4"/>
    <x v="0"/>
  </r>
  <r>
    <x v="1"/>
    <x v="6"/>
    <x v="4"/>
    <x v="0"/>
  </r>
  <r>
    <x v="1"/>
    <x v="7"/>
    <x v="4"/>
    <x v="0"/>
  </r>
  <r>
    <x v="1"/>
    <x v="8"/>
    <x v="4"/>
    <x v="0"/>
  </r>
  <r>
    <x v="1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9"/>
    <x v="0"/>
    <x v="0"/>
    <x v="0"/>
  </r>
  <r>
    <x v="9"/>
    <x v="1"/>
    <x v="4"/>
    <x v="0"/>
  </r>
  <r>
    <x v="9"/>
    <x v="2"/>
    <x v="4"/>
    <x v="0"/>
  </r>
  <r>
    <x v="9"/>
    <x v="3"/>
    <x v="4"/>
    <x v="0"/>
  </r>
  <r>
    <x v="9"/>
    <x v="4"/>
    <x v="4"/>
    <x v="0"/>
  </r>
  <r>
    <x v="9"/>
    <x v="5"/>
    <x v="4"/>
    <x v="0"/>
  </r>
  <r>
    <x v="9"/>
    <x v="6"/>
    <x v="4"/>
    <x v="0"/>
  </r>
  <r>
    <x v="9"/>
    <x v="7"/>
    <x v="4"/>
    <x v="0"/>
  </r>
  <r>
    <x v="9"/>
    <x v="8"/>
    <x v="4"/>
    <x v="0"/>
  </r>
  <r>
    <x v="9"/>
    <x v="9"/>
    <x v="21"/>
    <x v="0"/>
  </r>
  <r>
    <x v="0"/>
    <x v="0"/>
    <x v="20"/>
    <x v="0"/>
  </r>
  <r>
    <x v="0"/>
    <x v="1"/>
    <x v="4"/>
    <x v="0"/>
  </r>
  <r>
    <x v="0"/>
    <x v="2"/>
    <x v="4"/>
    <x v="0"/>
  </r>
  <r>
    <x v="0"/>
    <x v="3"/>
    <x v="4"/>
    <x v="0"/>
  </r>
  <r>
    <x v="0"/>
    <x v="4"/>
    <x v="4"/>
    <x v="0"/>
  </r>
  <r>
    <x v="0"/>
    <x v="5"/>
    <x v="4"/>
    <x v="0"/>
  </r>
  <r>
    <x v="0"/>
    <x v="6"/>
    <x v="4"/>
    <x v="0"/>
  </r>
  <r>
    <x v="0"/>
    <x v="7"/>
    <x v="4"/>
    <x v="0"/>
  </r>
  <r>
    <x v="0"/>
    <x v="8"/>
    <x v="4"/>
    <x v="0"/>
  </r>
  <r>
    <x v="0"/>
    <x v="9"/>
    <x v="21"/>
    <x v="0"/>
  </r>
  <r>
    <x v="3"/>
    <x v="0"/>
    <x v="0"/>
    <x v="0"/>
  </r>
  <r>
    <x v="3"/>
    <x v="1"/>
    <x v="4"/>
    <x v="0"/>
  </r>
  <r>
    <x v="3"/>
    <x v="2"/>
    <x v="4"/>
    <x v="0"/>
  </r>
  <r>
    <x v="3"/>
    <x v="3"/>
    <x v="4"/>
    <x v="0"/>
  </r>
  <r>
    <x v="3"/>
    <x v="4"/>
    <x v="4"/>
    <x v="0"/>
  </r>
  <r>
    <x v="3"/>
    <x v="5"/>
    <x v="4"/>
    <x v="0"/>
  </r>
  <r>
    <x v="3"/>
    <x v="6"/>
    <x v="4"/>
    <x v="0"/>
  </r>
  <r>
    <x v="3"/>
    <x v="7"/>
    <x v="4"/>
    <x v="0"/>
  </r>
  <r>
    <x v="3"/>
    <x v="8"/>
    <x v="4"/>
    <x v="0"/>
  </r>
  <r>
    <x v="3"/>
    <x v="9"/>
    <x v="21"/>
    <x v="0"/>
  </r>
  <r>
    <x v="0"/>
    <x v="0"/>
    <x v="20"/>
    <x v="0"/>
  </r>
  <r>
    <x v="0"/>
    <x v="1"/>
    <x v="4"/>
    <x v="0"/>
  </r>
  <r>
    <x v="0"/>
    <x v="2"/>
    <x v="4"/>
    <x v="0"/>
  </r>
  <r>
    <x v="0"/>
    <x v="3"/>
    <x v="4"/>
    <x v="0"/>
  </r>
  <r>
    <x v="0"/>
    <x v="4"/>
    <x v="4"/>
    <x v="0"/>
  </r>
  <r>
    <x v="0"/>
    <x v="5"/>
    <x v="4"/>
    <x v="0"/>
  </r>
  <r>
    <x v="0"/>
    <x v="6"/>
    <x v="4"/>
    <x v="0"/>
  </r>
  <r>
    <x v="0"/>
    <x v="7"/>
    <x v="4"/>
    <x v="0"/>
  </r>
  <r>
    <x v="0"/>
    <x v="8"/>
    <x v="4"/>
    <x v="0"/>
  </r>
  <r>
    <x v="0"/>
    <x v="9"/>
    <x v="21"/>
    <x v="0"/>
  </r>
  <r>
    <x v="5"/>
    <x v="0"/>
    <x v="0"/>
    <x v="0"/>
  </r>
  <r>
    <x v="5"/>
    <x v="1"/>
    <x v="4"/>
    <x v="0"/>
  </r>
  <r>
    <x v="5"/>
    <x v="2"/>
    <x v="4"/>
    <x v="0"/>
  </r>
  <r>
    <x v="5"/>
    <x v="3"/>
    <x v="4"/>
    <x v="0"/>
  </r>
  <r>
    <x v="5"/>
    <x v="4"/>
    <x v="4"/>
    <x v="0"/>
  </r>
  <r>
    <x v="5"/>
    <x v="5"/>
    <x v="4"/>
    <x v="0"/>
  </r>
  <r>
    <x v="5"/>
    <x v="6"/>
    <x v="4"/>
    <x v="0"/>
  </r>
  <r>
    <x v="5"/>
    <x v="7"/>
    <x v="4"/>
    <x v="0"/>
  </r>
  <r>
    <x v="5"/>
    <x v="8"/>
    <x v="4"/>
    <x v="0"/>
  </r>
  <r>
    <x v="5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3"/>
    <x v="0"/>
    <x v="0"/>
    <x v="0"/>
  </r>
  <r>
    <x v="3"/>
    <x v="1"/>
    <x v="4"/>
    <x v="0"/>
  </r>
  <r>
    <x v="3"/>
    <x v="2"/>
    <x v="4"/>
    <x v="0"/>
  </r>
  <r>
    <x v="3"/>
    <x v="3"/>
    <x v="4"/>
    <x v="0"/>
  </r>
  <r>
    <x v="3"/>
    <x v="4"/>
    <x v="4"/>
    <x v="0"/>
  </r>
  <r>
    <x v="3"/>
    <x v="5"/>
    <x v="4"/>
    <x v="0"/>
  </r>
  <r>
    <x v="3"/>
    <x v="6"/>
    <x v="4"/>
    <x v="0"/>
  </r>
  <r>
    <x v="3"/>
    <x v="7"/>
    <x v="4"/>
    <x v="0"/>
  </r>
  <r>
    <x v="3"/>
    <x v="8"/>
    <x v="4"/>
    <x v="0"/>
  </r>
  <r>
    <x v="3"/>
    <x v="9"/>
    <x v="21"/>
    <x v="0"/>
  </r>
  <r>
    <x v="5"/>
    <x v="0"/>
    <x v="0"/>
    <x v="0"/>
  </r>
  <r>
    <x v="5"/>
    <x v="1"/>
    <x v="4"/>
    <x v="0"/>
  </r>
  <r>
    <x v="5"/>
    <x v="2"/>
    <x v="4"/>
    <x v="0"/>
  </r>
  <r>
    <x v="5"/>
    <x v="3"/>
    <x v="4"/>
    <x v="0"/>
  </r>
  <r>
    <x v="5"/>
    <x v="4"/>
    <x v="4"/>
    <x v="0"/>
  </r>
  <r>
    <x v="5"/>
    <x v="5"/>
    <x v="4"/>
    <x v="0"/>
  </r>
  <r>
    <x v="5"/>
    <x v="6"/>
    <x v="4"/>
    <x v="0"/>
  </r>
  <r>
    <x v="5"/>
    <x v="7"/>
    <x v="4"/>
    <x v="0"/>
  </r>
  <r>
    <x v="5"/>
    <x v="8"/>
    <x v="4"/>
    <x v="0"/>
  </r>
  <r>
    <x v="5"/>
    <x v="9"/>
    <x v="21"/>
    <x v="0"/>
  </r>
  <r>
    <x v="3"/>
    <x v="0"/>
    <x v="0"/>
    <x v="0"/>
  </r>
  <r>
    <x v="3"/>
    <x v="1"/>
    <x v="4"/>
    <x v="0"/>
  </r>
  <r>
    <x v="3"/>
    <x v="2"/>
    <x v="4"/>
    <x v="0"/>
  </r>
  <r>
    <x v="3"/>
    <x v="3"/>
    <x v="4"/>
    <x v="0"/>
  </r>
  <r>
    <x v="3"/>
    <x v="4"/>
    <x v="4"/>
    <x v="0"/>
  </r>
  <r>
    <x v="3"/>
    <x v="5"/>
    <x v="4"/>
    <x v="0"/>
  </r>
  <r>
    <x v="3"/>
    <x v="6"/>
    <x v="4"/>
    <x v="0"/>
  </r>
  <r>
    <x v="3"/>
    <x v="7"/>
    <x v="4"/>
    <x v="0"/>
  </r>
  <r>
    <x v="3"/>
    <x v="8"/>
    <x v="4"/>
    <x v="0"/>
  </r>
  <r>
    <x v="3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4"/>
    <x v="0"/>
    <x v="20"/>
    <x v="0"/>
  </r>
  <r>
    <x v="4"/>
    <x v="1"/>
    <x v="4"/>
    <x v="0"/>
  </r>
  <r>
    <x v="4"/>
    <x v="2"/>
    <x v="4"/>
    <x v="0"/>
  </r>
  <r>
    <x v="4"/>
    <x v="3"/>
    <x v="4"/>
    <x v="0"/>
  </r>
  <r>
    <x v="4"/>
    <x v="4"/>
    <x v="4"/>
    <x v="0"/>
  </r>
  <r>
    <x v="4"/>
    <x v="5"/>
    <x v="4"/>
    <x v="0"/>
  </r>
  <r>
    <x v="4"/>
    <x v="6"/>
    <x v="4"/>
    <x v="0"/>
  </r>
  <r>
    <x v="4"/>
    <x v="7"/>
    <x v="4"/>
    <x v="0"/>
  </r>
  <r>
    <x v="4"/>
    <x v="8"/>
    <x v="4"/>
    <x v="0"/>
  </r>
  <r>
    <x v="4"/>
    <x v="9"/>
    <x v="21"/>
    <x v="0"/>
  </r>
  <r>
    <x v="0"/>
    <x v="0"/>
    <x v="20"/>
    <x v="0"/>
  </r>
  <r>
    <x v="0"/>
    <x v="1"/>
    <x v="4"/>
    <x v="0"/>
  </r>
  <r>
    <x v="0"/>
    <x v="2"/>
    <x v="4"/>
    <x v="0"/>
  </r>
  <r>
    <x v="0"/>
    <x v="3"/>
    <x v="4"/>
    <x v="0"/>
  </r>
  <r>
    <x v="0"/>
    <x v="4"/>
    <x v="4"/>
    <x v="0"/>
  </r>
  <r>
    <x v="0"/>
    <x v="5"/>
    <x v="4"/>
    <x v="0"/>
  </r>
  <r>
    <x v="0"/>
    <x v="6"/>
    <x v="4"/>
    <x v="0"/>
  </r>
  <r>
    <x v="0"/>
    <x v="7"/>
    <x v="4"/>
    <x v="0"/>
  </r>
  <r>
    <x v="0"/>
    <x v="8"/>
    <x v="4"/>
    <x v="0"/>
  </r>
  <r>
    <x v="0"/>
    <x v="9"/>
    <x v="21"/>
    <x v="0"/>
  </r>
  <r>
    <x v="3"/>
    <x v="0"/>
    <x v="0"/>
    <x v="0"/>
  </r>
  <r>
    <x v="3"/>
    <x v="1"/>
    <x v="4"/>
    <x v="0"/>
  </r>
  <r>
    <x v="3"/>
    <x v="2"/>
    <x v="4"/>
    <x v="0"/>
  </r>
  <r>
    <x v="3"/>
    <x v="3"/>
    <x v="4"/>
    <x v="0"/>
  </r>
  <r>
    <x v="3"/>
    <x v="4"/>
    <x v="4"/>
    <x v="0"/>
  </r>
  <r>
    <x v="3"/>
    <x v="5"/>
    <x v="4"/>
    <x v="0"/>
  </r>
  <r>
    <x v="3"/>
    <x v="6"/>
    <x v="4"/>
    <x v="0"/>
  </r>
  <r>
    <x v="3"/>
    <x v="7"/>
    <x v="4"/>
    <x v="0"/>
  </r>
  <r>
    <x v="3"/>
    <x v="8"/>
    <x v="4"/>
    <x v="0"/>
  </r>
  <r>
    <x v="3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0"/>
    <x v="0"/>
    <x v="20"/>
    <x v="0"/>
  </r>
  <r>
    <x v="0"/>
    <x v="1"/>
    <x v="4"/>
    <x v="0"/>
  </r>
  <r>
    <x v="0"/>
    <x v="2"/>
    <x v="4"/>
    <x v="0"/>
  </r>
  <r>
    <x v="0"/>
    <x v="3"/>
    <x v="4"/>
    <x v="0"/>
  </r>
  <r>
    <x v="0"/>
    <x v="4"/>
    <x v="4"/>
    <x v="0"/>
  </r>
  <r>
    <x v="0"/>
    <x v="5"/>
    <x v="4"/>
    <x v="0"/>
  </r>
  <r>
    <x v="0"/>
    <x v="6"/>
    <x v="4"/>
    <x v="0"/>
  </r>
  <r>
    <x v="0"/>
    <x v="7"/>
    <x v="4"/>
    <x v="0"/>
  </r>
  <r>
    <x v="0"/>
    <x v="8"/>
    <x v="4"/>
    <x v="0"/>
  </r>
  <r>
    <x v="0"/>
    <x v="9"/>
    <x v="21"/>
    <x v="0"/>
  </r>
  <r>
    <x v="0"/>
    <x v="0"/>
    <x v="20"/>
    <x v="0"/>
  </r>
  <r>
    <x v="0"/>
    <x v="1"/>
    <x v="4"/>
    <x v="0"/>
  </r>
  <r>
    <x v="0"/>
    <x v="2"/>
    <x v="4"/>
    <x v="0"/>
  </r>
  <r>
    <x v="0"/>
    <x v="3"/>
    <x v="4"/>
    <x v="0"/>
  </r>
  <r>
    <x v="0"/>
    <x v="4"/>
    <x v="4"/>
    <x v="0"/>
  </r>
  <r>
    <x v="0"/>
    <x v="5"/>
    <x v="4"/>
    <x v="0"/>
  </r>
  <r>
    <x v="0"/>
    <x v="6"/>
    <x v="4"/>
    <x v="0"/>
  </r>
  <r>
    <x v="0"/>
    <x v="7"/>
    <x v="4"/>
    <x v="0"/>
  </r>
  <r>
    <x v="0"/>
    <x v="8"/>
    <x v="4"/>
    <x v="0"/>
  </r>
  <r>
    <x v="0"/>
    <x v="9"/>
    <x v="21"/>
    <x v="0"/>
  </r>
  <r>
    <x v="0"/>
    <x v="0"/>
    <x v="20"/>
    <x v="0"/>
  </r>
  <r>
    <x v="0"/>
    <x v="1"/>
    <x v="4"/>
    <x v="0"/>
  </r>
  <r>
    <x v="0"/>
    <x v="2"/>
    <x v="4"/>
    <x v="0"/>
  </r>
  <r>
    <x v="0"/>
    <x v="3"/>
    <x v="4"/>
    <x v="0"/>
  </r>
  <r>
    <x v="0"/>
    <x v="4"/>
    <x v="4"/>
    <x v="0"/>
  </r>
  <r>
    <x v="0"/>
    <x v="5"/>
    <x v="4"/>
    <x v="0"/>
  </r>
  <r>
    <x v="0"/>
    <x v="6"/>
    <x v="4"/>
    <x v="0"/>
  </r>
  <r>
    <x v="0"/>
    <x v="7"/>
    <x v="4"/>
    <x v="0"/>
  </r>
  <r>
    <x v="0"/>
    <x v="8"/>
    <x v="4"/>
    <x v="0"/>
  </r>
  <r>
    <x v="0"/>
    <x v="9"/>
    <x v="21"/>
    <x v="0"/>
  </r>
  <r>
    <x v="4"/>
    <x v="0"/>
    <x v="20"/>
    <x v="0"/>
  </r>
  <r>
    <x v="4"/>
    <x v="1"/>
    <x v="4"/>
    <x v="0"/>
  </r>
  <r>
    <x v="4"/>
    <x v="2"/>
    <x v="4"/>
    <x v="0"/>
  </r>
  <r>
    <x v="4"/>
    <x v="3"/>
    <x v="4"/>
    <x v="0"/>
  </r>
  <r>
    <x v="4"/>
    <x v="4"/>
    <x v="4"/>
    <x v="0"/>
  </r>
  <r>
    <x v="4"/>
    <x v="5"/>
    <x v="4"/>
    <x v="0"/>
  </r>
  <r>
    <x v="4"/>
    <x v="6"/>
    <x v="4"/>
    <x v="0"/>
  </r>
  <r>
    <x v="4"/>
    <x v="7"/>
    <x v="4"/>
    <x v="0"/>
  </r>
  <r>
    <x v="4"/>
    <x v="8"/>
    <x v="4"/>
    <x v="0"/>
  </r>
  <r>
    <x v="4"/>
    <x v="9"/>
    <x v="21"/>
    <x v="0"/>
  </r>
  <r>
    <x v="0"/>
    <x v="0"/>
    <x v="20"/>
    <x v="0"/>
  </r>
  <r>
    <x v="0"/>
    <x v="1"/>
    <x v="4"/>
    <x v="0"/>
  </r>
  <r>
    <x v="0"/>
    <x v="2"/>
    <x v="4"/>
    <x v="0"/>
  </r>
  <r>
    <x v="0"/>
    <x v="3"/>
    <x v="4"/>
    <x v="0"/>
  </r>
  <r>
    <x v="0"/>
    <x v="4"/>
    <x v="4"/>
    <x v="0"/>
  </r>
  <r>
    <x v="0"/>
    <x v="5"/>
    <x v="4"/>
    <x v="0"/>
  </r>
  <r>
    <x v="0"/>
    <x v="6"/>
    <x v="4"/>
    <x v="0"/>
  </r>
  <r>
    <x v="0"/>
    <x v="7"/>
    <x v="4"/>
    <x v="0"/>
  </r>
  <r>
    <x v="0"/>
    <x v="8"/>
    <x v="4"/>
    <x v="0"/>
  </r>
  <r>
    <x v="0"/>
    <x v="9"/>
    <x v="21"/>
    <x v="0"/>
  </r>
  <r>
    <x v="0"/>
    <x v="0"/>
    <x v="20"/>
    <x v="0"/>
  </r>
  <r>
    <x v="0"/>
    <x v="1"/>
    <x v="4"/>
    <x v="0"/>
  </r>
  <r>
    <x v="0"/>
    <x v="2"/>
    <x v="4"/>
    <x v="0"/>
  </r>
  <r>
    <x v="0"/>
    <x v="3"/>
    <x v="4"/>
    <x v="0"/>
  </r>
  <r>
    <x v="0"/>
    <x v="4"/>
    <x v="4"/>
    <x v="0"/>
  </r>
  <r>
    <x v="0"/>
    <x v="5"/>
    <x v="4"/>
    <x v="0"/>
  </r>
  <r>
    <x v="0"/>
    <x v="6"/>
    <x v="4"/>
    <x v="0"/>
  </r>
  <r>
    <x v="0"/>
    <x v="7"/>
    <x v="4"/>
    <x v="0"/>
  </r>
  <r>
    <x v="0"/>
    <x v="8"/>
    <x v="4"/>
    <x v="0"/>
  </r>
  <r>
    <x v="0"/>
    <x v="9"/>
    <x v="21"/>
    <x v="0"/>
  </r>
  <r>
    <x v="0"/>
    <x v="0"/>
    <x v="20"/>
    <x v="0"/>
  </r>
  <r>
    <x v="0"/>
    <x v="1"/>
    <x v="4"/>
    <x v="0"/>
  </r>
  <r>
    <x v="0"/>
    <x v="2"/>
    <x v="4"/>
    <x v="0"/>
  </r>
  <r>
    <x v="0"/>
    <x v="3"/>
    <x v="4"/>
    <x v="0"/>
  </r>
  <r>
    <x v="0"/>
    <x v="4"/>
    <x v="4"/>
    <x v="0"/>
  </r>
  <r>
    <x v="0"/>
    <x v="5"/>
    <x v="4"/>
    <x v="0"/>
  </r>
  <r>
    <x v="0"/>
    <x v="6"/>
    <x v="4"/>
    <x v="0"/>
  </r>
  <r>
    <x v="0"/>
    <x v="7"/>
    <x v="4"/>
    <x v="0"/>
  </r>
  <r>
    <x v="0"/>
    <x v="8"/>
    <x v="4"/>
    <x v="0"/>
  </r>
  <r>
    <x v="0"/>
    <x v="9"/>
    <x v="21"/>
    <x v="0"/>
  </r>
  <r>
    <x v="3"/>
    <x v="0"/>
    <x v="0"/>
    <x v="0"/>
  </r>
  <r>
    <x v="3"/>
    <x v="1"/>
    <x v="4"/>
    <x v="0"/>
  </r>
  <r>
    <x v="3"/>
    <x v="2"/>
    <x v="4"/>
    <x v="0"/>
  </r>
  <r>
    <x v="3"/>
    <x v="3"/>
    <x v="4"/>
    <x v="0"/>
  </r>
  <r>
    <x v="3"/>
    <x v="4"/>
    <x v="4"/>
    <x v="0"/>
  </r>
  <r>
    <x v="3"/>
    <x v="5"/>
    <x v="4"/>
    <x v="0"/>
  </r>
  <r>
    <x v="3"/>
    <x v="6"/>
    <x v="4"/>
    <x v="0"/>
  </r>
  <r>
    <x v="3"/>
    <x v="7"/>
    <x v="4"/>
    <x v="0"/>
  </r>
  <r>
    <x v="3"/>
    <x v="8"/>
    <x v="4"/>
    <x v="0"/>
  </r>
  <r>
    <x v="3"/>
    <x v="9"/>
    <x v="21"/>
    <x v="0"/>
  </r>
  <r>
    <x v="8"/>
    <x v="0"/>
    <x v="0"/>
    <x v="0"/>
  </r>
  <r>
    <x v="8"/>
    <x v="1"/>
    <x v="4"/>
    <x v="0"/>
  </r>
  <r>
    <x v="8"/>
    <x v="2"/>
    <x v="4"/>
    <x v="0"/>
  </r>
  <r>
    <x v="8"/>
    <x v="3"/>
    <x v="4"/>
    <x v="0"/>
  </r>
  <r>
    <x v="8"/>
    <x v="4"/>
    <x v="4"/>
    <x v="0"/>
  </r>
  <r>
    <x v="8"/>
    <x v="5"/>
    <x v="4"/>
    <x v="0"/>
  </r>
  <r>
    <x v="8"/>
    <x v="6"/>
    <x v="4"/>
    <x v="0"/>
  </r>
  <r>
    <x v="8"/>
    <x v="7"/>
    <x v="4"/>
    <x v="0"/>
  </r>
  <r>
    <x v="8"/>
    <x v="8"/>
    <x v="4"/>
    <x v="0"/>
  </r>
  <r>
    <x v="8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1"/>
    <x v="0"/>
    <x v="0"/>
    <x v="0"/>
  </r>
  <r>
    <x v="1"/>
    <x v="1"/>
    <x v="4"/>
    <x v="0"/>
  </r>
  <r>
    <x v="1"/>
    <x v="2"/>
    <x v="4"/>
    <x v="0"/>
  </r>
  <r>
    <x v="1"/>
    <x v="3"/>
    <x v="4"/>
    <x v="0"/>
  </r>
  <r>
    <x v="1"/>
    <x v="4"/>
    <x v="4"/>
    <x v="0"/>
  </r>
  <r>
    <x v="1"/>
    <x v="5"/>
    <x v="4"/>
    <x v="0"/>
  </r>
  <r>
    <x v="1"/>
    <x v="6"/>
    <x v="4"/>
    <x v="0"/>
  </r>
  <r>
    <x v="1"/>
    <x v="7"/>
    <x v="4"/>
    <x v="0"/>
  </r>
  <r>
    <x v="1"/>
    <x v="8"/>
    <x v="4"/>
    <x v="0"/>
  </r>
  <r>
    <x v="1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10"/>
    <x v="0"/>
    <x v="4"/>
    <x v="0"/>
  </r>
  <r>
    <x v="10"/>
    <x v="1"/>
    <x v="4"/>
    <x v="0"/>
  </r>
  <r>
    <x v="10"/>
    <x v="2"/>
    <x v="4"/>
    <x v="0"/>
  </r>
  <r>
    <x v="10"/>
    <x v="3"/>
    <x v="4"/>
    <x v="0"/>
  </r>
  <r>
    <x v="10"/>
    <x v="4"/>
    <x v="4"/>
    <x v="0"/>
  </r>
  <r>
    <x v="10"/>
    <x v="5"/>
    <x v="4"/>
    <x v="0"/>
  </r>
  <r>
    <x v="10"/>
    <x v="6"/>
    <x v="4"/>
    <x v="0"/>
  </r>
  <r>
    <x v="10"/>
    <x v="7"/>
    <x v="4"/>
    <x v="0"/>
  </r>
  <r>
    <x v="10"/>
    <x v="8"/>
    <x v="4"/>
    <x v="0"/>
  </r>
  <r>
    <x v="10"/>
    <x v="9"/>
    <x v="21"/>
    <x v="0"/>
  </r>
  <r>
    <x v="11"/>
    <x v="0"/>
    <x v="4"/>
    <x v="0"/>
  </r>
  <r>
    <x v="11"/>
    <x v="1"/>
    <x v="4"/>
    <x v="0"/>
  </r>
  <r>
    <x v="11"/>
    <x v="2"/>
    <x v="4"/>
    <x v="0"/>
  </r>
  <r>
    <x v="11"/>
    <x v="3"/>
    <x v="4"/>
    <x v="0"/>
  </r>
  <r>
    <x v="11"/>
    <x v="4"/>
    <x v="4"/>
    <x v="0"/>
  </r>
  <r>
    <x v="11"/>
    <x v="5"/>
    <x v="4"/>
    <x v="0"/>
  </r>
  <r>
    <x v="11"/>
    <x v="6"/>
    <x v="4"/>
    <x v="0"/>
  </r>
  <r>
    <x v="11"/>
    <x v="7"/>
    <x v="4"/>
    <x v="0"/>
  </r>
  <r>
    <x v="11"/>
    <x v="8"/>
    <x v="4"/>
    <x v="0"/>
  </r>
  <r>
    <x v="11"/>
    <x v="9"/>
    <x v="21"/>
    <x v="0"/>
  </r>
  <r>
    <x v="11"/>
    <x v="0"/>
    <x v="4"/>
    <x v="0"/>
  </r>
  <r>
    <x v="11"/>
    <x v="1"/>
    <x v="4"/>
    <x v="0"/>
  </r>
  <r>
    <x v="11"/>
    <x v="2"/>
    <x v="4"/>
    <x v="0"/>
  </r>
  <r>
    <x v="11"/>
    <x v="3"/>
    <x v="4"/>
    <x v="0"/>
  </r>
  <r>
    <x v="11"/>
    <x v="4"/>
    <x v="4"/>
    <x v="0"/>
  </r>
  <r>
    <x v="11"/>
    <x v="5"/>
    <x v="4"/>
    <x v="0"/>
  </r>
  <r>
    <x v="11"/>
    <x v="6"/>
    <x v="4"/>
    <x v="0"/>
  </r>
  <r>
    <x v="11"/>
    <x v="7"/>
    <x v="4"/>
    <x v="0"/>
  </r>
  <r>
    <x v="11"/>
    <x v="8"/>
    <x v="4"/>
    <x v="0"/>
  </r>
  <r>
    <x v="11"/>
    <x v="9"/>
    <x v="21"/>
    <x v="0"/>
  </r>
  <r>
    <x v="11"/>
    <x v="0"/>
    <x v="4"/>
    <x v="0"/>
  </r>
  <r>
    <x v="11"/>
    <x v="1"/>
    <x v="4"/>
    <x v="0"/>
  </r>
  <r>
    <x v="11"/>
    <x v="2"/>
    <x v="4"/>
    <x v="0"/>
  </r>
  <r>
    <x v="11"/>
    <x v="3"/>
    <x v="4"/>
    <x v="0"/>
  </r>
  <r>
    <x v="11"/>
    <x v="4"/>
    <x v="4"/>
    <x v="0"/>
  </r>
  <r>
    <x v="11"/>
    <x v="5"/>
    <x v="4"/>
    <x v="0"/>
  </r>
  <r>
    <x v="11"/>
    <x v="6"/>
    <x v="4"/>
    <x v="0"/>
  </r>
  <r>
    <x v="11"/>
    <x v="7"/>
    <x v="4"/>
    <x v="0"/>
  </r>
  <r>
    <x v="11"/>
    <x v="8"/>
    <x v="4"/>
    <x v="0"/>
  </r>
  <r>
    <x v="11"/>
    <x v="9"/>
    <x v="21"/>
    <x v="0"/>
  </r>
  <r>
    <x v="11"/>
    <x v="0"/>
    <x v="4"/>
    <x v="0"/>
  </r>
  <r>
    <x v="11"/>
    <x v="1"/>
    <x v="4"/>
    <x v="0"/>
  </r>
  <r>
    <x v="11"/>
    <x v="2"/>
    <x v="4"/>
    <x v="0"/>
  </r>
  <r>
    <x v="11"/>
    <x v="3"/>
    <x v="4"/>
    <x v="0"/>
  </r>
  <r>
    <x v="11"/>
    <x v="4"/>
    <x v="4"/>
    <x v="0"/>
  </r>
  <r>
    <x v="11"/>
    <x v="5"/>
    <x v="4"/>
    <x v="0"/>
  </r>
  <r>
    <x v="11"/>
    <x v="6"/>
    <x v="4"/>
    <x v="0"/>
  </r>
  <r>
    <x v="11"/>
    <x v="7"/>
    <x v="4"/>
    <x v="0"/>
  </r>
  <r>
    <x v="11"/>
    <x v="8"/>
    <x v="4"/>
    <x v="0"/>
  </r>
  <r>
    <x v="11"/>
    <x v="9"/>
    <x v="21"/>
    <x v="0"/>
  </r>
  <r>
    <x v="11"/>
    <x v="0"/>
    <x v="4"/>
    <x v="0"/>
  </r>
  <r>
    <x v="11"/>
    <x v="1"/>
    <x v="4"/>
    <x v="0"/>
  </r>
  <r>
    <x v="11"/>
    <x v="2"/>
    <x v="4"/>
    <x v="0"/>
  </r>
  <r>
    <x v="11"/>
    <x v="3"/>
    <x v="4"/>
    <x v="0"/>
  </r>
  <r>
    <x v="11"/>
    <x v="4"/>
    <x v="4"/>
    <x v="0"/>
  </r>
  <r>
    <x v="11"/>
    <x v="5"/>
    <x v="4"/>
    <x v="0"/>
  </r>
  <r>
    <x v="11"/>
    <x v="6"/>
    <x v="4"/>
    <x v="0"/>
  </r>
  <r>
    <x v="11"/>
    <x v="7"/>
    <x v="4"/>
    <x v="0"/>
  </r>
  <r>
    <x v="11"/>
    <x v="8"/>
    <x v="4"/>
    <x v="0"/>
  </r>
  <r>
    <x v="11"/>
    <x v="9"/>
    <x v="21"/>
    <x v="0"/>
  </r>
  <r>
    <x v="11"/>
    <x v="0"/>
    <x v="4"/>
    <x v="0"/>
  </r>
  <r>
    <x v="11"/>
    <x v="1"/>
    <x v="4"/>
    <x v="0"/>
  </r>
  <r>
    <x v="11"/>
    <x v="2"/>
    <x v="4"/>
    <x v="0"/>
  </r>
  <r>
    <x v="11"/>
    <x v="3"/>
    <x v="4"/>
    <x v="0"/>
  </r>
  <r>
    <x v="11"/>
    <x v="4"/>
    <x v="4"/>
    <x v="0"/>
  </r>
  <r>
    <x v="11"/>
    <x v="5"/>
    <x v="4"/>
    <x v="0"/>
  </r>
  <r>
    <x v="11"/>
    <x v="6"/>
    <x v="4"/>
    <x v="0"/>
  </r>
  <r>
    <x v="11"/>
    <x v="7"/>
    <x v="4"/>
    <x v="0"/>
  </r>
  <r>
    <x v="11"/>
    <x v="8"/>
    <x v="4"/>
    <x v="0"/>
  </r>
  <r>
    <x v="11"/>
    <x v="9"/>
    <x v="21"/>
    <x v="0"/>
  </r>
  <r>
    <x v="11"/>
    <x v="0"/>
    <x v="4"/>
    <x v="0"/>
  </r>
  <r>
    <x v="11"/>
    <x v="1"/>
    <x v="4"/>
    <x v="0"/>
  </r>
  <r>
    <x v="11"/>
    <x v="2"/>
    <x v="4"/>
    <x v="0"/>
  </r>
  <r>
    <x v="11"/>
    <x v="3"/>
    <x v="4"/>
    <x v="0"/>
  </r>
  <r>
    <x v="11"/>
    <x v="4"/>
    <x v="4"/>
    <x v="0"/>
  </r>
  <r>
    <x v="11"/>
    <x v="5"/>
    <x v="4"/>
    <x v="0"/>
  </r>
  <r>
    <x v="11"/>
    <x v="6"/>
    <x v="4"/>
    <x v="0"/>
  </r>
  <r>
    <x v="11"/>
    <x v="7"/>
    <x v="4"/>
    <x v="0"/>
  </r>
  <r>
    <x v="11"/>
    <x v="8"/>
    <x v="4"/>
    <x v="0"/>
  </r>
  <r>
    <x v="11"/>
    <x v="9"/>
    <x v="21"/>
    <x v="0"/>
  </r>
  <r>
    <x v="11"/>
    <x v="0"/>
    <x v="4"/>
    <x v="0"/>
  </r>
  <r>
    <x v="11"/>
    <x v="1"/>
    <x v="4"/>
    <x v="0"/>
  </r>
  <r>
    <x v="11"/>
    <x v="2"/>
    <x v="4"/>
    <x v="0"/>
  </r>
  <r>
    <x v="11"/>
    <x v="3"/>
    <x v="4"/>
    <x v="0"/>
  </r>
  <r>
    <x v="11"/>
    <x v="4"/>
    <x v="4"/>
    <x v="0"/>
  </r>
  <r>
    <x v="11"/>
    <x v="5"/>
    <x v="4"/>
    <x v="0"/>
  </r>
  <r>
    <x v="11"/>
    <x v="6"/>
    <x v="4"/>
    <x v="0"/>
  </r>
  <r>
    <x v="11"/>
    <x v="7"/>
    <x v="4"/>
    <x v="0"/>
  </r>
  <r>
    <x v="11"/>
    <x v="8"/>
    <x v="4"/>
    <x v="0"/>
  </r>
  <r>
    <x v="11"/>
    <x v="9"/>
    <x v="21"/>
    <x v="0"/>
  </r>
  <r>
    <x v="11"/>
    <x v="0"/>
    <x v="4"/>
    <x v="0"/>
  </r>
  <r>
    <x v="11"/>
    <x v="1"/>
    <x v="4"/>
    <x v="0"/>
  </r>
  <r>
    <x v="11"/>
    <x v="2"/>
    <x v="4"/>
    <x v="0"/>
  </r>
  <r>
    <x v="11"/>
    <x v="3"/>
    <x v="4"/>
    <x v="0"/>
  </r>
  <r>
    <x v="11"/>
    <x v="4"/>
    <x v="4"/>
    <x v="0"/>
  </r>
  <r>
    <x v="11"/>
    <x v="5"/>
    <x v="4"/>
    <x v="0"/>
  </r>
  <r>
    <x v="11"/>
    <x v="6"/>
    <x v="4"/>
    <x v="0"/>
  </r>
  <r>
    <x v="11"/>
    <x v="7"/>
    <x v="4"/>
    <x v="0"/>
  </r>
  <r>
    <x v="11"/>
    <x v="8"/>
    <x v="4"/>
    <x v="0"/>
  </r>
  <r>
    <x v="11"/>
    <x v="9"/>
    <x v="21"/>
    <x v="0"/>
  </r>
  <r>
    <x v="11"/>
    <x v="0"/>
    <x v="4"/>
    <x v="0"/>
  </r>
  <r>
    <x v="11"/>
    <x v="1"/>
    <x v="4"/>
    <x v="0"/>
  </r>
  <r>
    <x v="11"/>
    <x v="2"/>
    <x v="4"/>
    <x v="0"/>
  </r>
  <r>
    <x v="11"/>
    <x v="3"/>
    <x v="4"/>
    <x v="0"/>
  </r>
  <r>
    <x v="11"/>
    <x v="4"/>
    <x v="4"/>
    <x v="0"/>
  </r>
  <r>
    <x v="11"/>
    <x v="5"/>
    <x v="4"/>
    <x v="0"/>
  </r>
  <r>
    <x v="11"/>
    <x v="6"/>
    <x v="4"/>
    <x v="0"/>
  </r>
  <r>
    <x v="11"/>
    <x v="7"/>
    <x v="4"/>
    <x v="0"/>
  </r>
  <r>
    <x v="11"/>
    <x v="8"/>
    <x v="4"/>
    <x v="0"/>
  </r>
  <r>
    <x v="11"/>
    <x v="9"/>
    <x v="21"/>
    <x v="0"/>
  </r>
  <r>
    <x v="11"/>
    <x v="0"/>
    <x v="4"/>
    <x v="0"/>
  </r>
  <r>
    <x v="11"/>
    <x v="1"/>
    <x v="4"/>
    <x v="0"/>
  </r>
  <r>
    <x v="11"/>
    <x v="2"/>
    <x v="4"/>
    <x v="0"/>
  </r>
  <r>
    <x v="11"/>
    <x v="3"/>
    <x v="4"/>
    <x v="0"/>
  </r>
  <r>
    <x v="11"/>
    <x v="4"/>
    <x v="4"/>
    <x v="0"/>
  </r>
  <r>
    <x v="11"/>
    <x v="5"/>
    <x v="4"/>
    <x v="0"/>
  </r>
  <r>
    <x v="11"/>
    <x v="6"/>
    <x v="4"/>
    <x v="0"/>
  </r>
  <r>
    <x v="11"/>
    <x v="7"/>
    <x v="4"/>
    <x v="0"/>
  </r>
  <r>
    <x v="11"/>
    <x v="8"/>
    <x v="4"/>
    <x v="0"/>
  </r>
  <r>
    <x v="11"/>
    <x v="9"/>
    <x v="21"/>
    <x v="0"/>
  </r>
  <r>
    <x v="11"/>
    <x v="0"/>
    <x v="4"/>
    <x v="0"/>
  </r>
  <r>
    <x v="11"/>
    <x v="1"/>
    <x v="4"/>
    <x v="0"/>
  </r>
  <r>
    <x v="11"/>
    <x v="2"/>
    <x v="4"/>
    <x v="0"/>
  </r>
  <r>
    <x v="11"/>
    <x v="3"/>
    <x v="4"/>
    <x v="0"/>
  </r>
  <r>
    <x v="11"/>
    <x v="4"/>
    <x v="4"/>
    <x v="0"/>
  </r>
  <r>
    <x v="11"/>
    <x v="5"/>
    <x v="4"/>
    <x v="0"/>
  </r>
  <r>
    <x v="11"/>
    <x v="6"/>
    <x v="4"/>
    <x v="0"/>
  </r>
  <r>
    <x v="11"/>
    <x v="7"/>
    <x v="4"/>
    <x v="0"/>
  </r>
  <r>
    <x v="11"/>
    <x v="8"/>
    <x v="4"/>
    <x v="0"/>
  </r>
  <r>
    <x v="11"/>
    <x v="9"/>
    <x v="21"/>
    <x v="0"/>
  </r>
  <r>
    <x v="11"/>
    <x v="0"/>
    <x v="4"/>
    <x v="0"/>
  </r>
  <r>
    <x v="11"/>
    <x v="1"/>
    <x v="4"/>
    <x v="0"/>
  </r>
  <r>
    <x v="11"/>
    <x v="2"/>
    <x v="4"/>
    <x v="0"/>
  </r>
  <r>
    <x v="11"/>
    <x v="3"/>
    <x v="4"/>
    <x v="0"/>
  </r>
  <r>
    <x v="11"/>
    <x v="4"/>
    <x v="4"/>
    <x v="0"/>
  </r>
  <r>
    <x v="11"/>
    <x v="5"/>
    <x v="4"/>
    <x v="0"/>
  </r>
  <r>
    <x v="11"/>
    <x v="6"/>
    <x v="4"/>
    <x v="0"/>
  </r>
  <r>
    <x v="11"/>
    <x v="7"/>
    <x v="4"/>
    <x v="0"/>
  </r>
  <r>
    <x v="11"/>
    <x v="8"/>
    <x v="4"/>
    <x v="0"/>
  </r>
  <r>
    <x v="11"/>
    <x v="9"/>
    <x v="21"/>
    <x v="0"/>
  </r>
  <r>
    <x v="11"/>
    <x v="0"/>
    <x v="4"/>
    <x v="0"/>
  </r>
  <r>
    <x v="11"/>
    <x v="1"/>
    <x v="4"/>
    <x v="0"/>
  </r>
  <r>
    <x v="11"/>
    <x v="2"/>
    <x v="4"/>
    <x v="0"/>
  </r>
  <r>
    <x v="11"/>
    <x v="3"/>
    <x v="4"/>
    <x v="0"/>
  </r>
  <r>
    <x v="11"/>
    <x v="4"/>
    <x v="4"/>
    <x v="0"/>
  </r>
  <r>
    <x v="11"/>
    <x v="5"/>
    <x v="4"/>
    <x v="0"/>
  </r>
  <r>
    <x v="11"/>
    <x v="6"/>
    <x v="4"/>
    <x v="0"/>
  </r>
  <r>
    <x v="11"/>
    <x v="7"/>
    <x v="4"/>
    <x v="0"/>
  </r>
  <r>
    <x v="11"/>
    <x v="8"/>
    <x v="4"/>
    <x v="0"/>
  </r>
  <r>
    <x v="11"/>
    <x v="9"/>
    <x v="21"/>
    <x v="0"/>
  </r>
  <r>
    <x v="11"/>
    <x v="0"/>
    <x v="4"/>
    <x v="0"/>
  </r>
  <r>
    <x v="11"/>
    <x v="1"/>
    <x v="4"/>
    <x v="0"/>
  </r>
  <r>
    <x v="11"/>
    <x v="2"/>
    <x v="4"/>
    <x v="0"/>
  </r>
  <r>
    <x v="11"/>
    <x v="3"/>
    <x v="4"/>
    <x v="0"/>
  </r>
  <r>
    <x v="11"/>
    <x v="4"/>
    <x v="4"/>
    <x v="0"/>
  </r>
  <r>
    <x v="11"/>
    <x v="5"/>
    <x v="4"/>
    <x v="0"/>
  </r>
  <r>
    <x v="11"/>
    <x v="6"/>
    <x v="4"/>
    <x v="0"/>
  </r>
  <r>
    <x v="11"/>
    <x v="7"/>
    <x v="4"/>
    <x v="0"/>
  </r>
  <r>
    <x v="11"/>
    <x v="8"/>
    <x v="4"/>
    <x v="0"/>
  </r>
  <r>
    <x v="11"/>
    <x v="9"/>
    <x v="21"/>
    <x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0">
  <r>
    <x v="0"/>
    <x v="0"/>
    <m/>
    <x v="0"/>
  </r>
  <r>
    <x v="0"/>
    <x v="1"/>
    <d v="2025-11-30T00:00:00"/>
    <x v="0"/>
  </r>
  <r>
    <x v="0"/>
    <x v="0"/>
    <m/>
    <x v="0"/>
  </r>
  <r>
    <x v="0"/>
    <x v="2"/>
    <d v="2026-01-18T00:00:00"/>
    <x v="0"/>
  </r>
  <r>
    <x v="0"/>
    <x v="0"/>
    <m/>
    <x v="0"/>
  </r>
  <r>
    <x v="0"/>
    <x v="3"/>
    <d v="2026-03-22T00:00:00"/>
    <x v="0"/>
  </r>
  <r>
    <x v="0"/>
    <x v="0"/>
    <m/>
    <x v="0"/>
  </r>
  <r>
    <x v="0"/>
    <x v="4"/>
    <d v="2026-06-07T00:00:00"/>
    <x v="0"/>
  </r>
  <r>
    <x v="0"/>
    <x v="0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1"/>
    <x v="0"/>
    <s v="Class."/>
    <x v="0"/>
  </r>
  <r>
    <x v="1"/>
    <x v="1"/>
    <s v="Pr. T1"/>
    <x v="0"/>
  </r>
  <r>
    <x v="1"/>
    <x v="0"/>
    <s v="Points T1"/>
    <x v="0"/>
  </r>
  <r>
    <x v="1"/>
    <x v="2"/>
    <s v="Pr. T2"/>
    <x v="0"/>
  </r>
  <r>
    <x v="1"/>
    <x v="0"/>
    <s v="Points T2"/>
    <x v="0"/>
  </r>
  <r>
    <x v="1"/>
    <x v="3"/>
    <s v="Pr. T3"/>
    <x v="0"/>
  </r>
  <r>
    <x v="1"/>
    <x v="0"/>
    <s v="Points T3"/>
    <x v="0"/>
  </r>
  <r>
    <x v="1"/>
    <x v="4"/>
    <s v="Pr. T4"/>
    <x v="0"/>
  </r>
  <r>
    <x v="1"/>
    <x v="0"/>
    <s v="Points T4"/>
    <x v="0"/>
  </r>
  <r>
    <x v="1"/>
    <x v="0"/>
    <s v="TOTAL"/>
    <x v="0"/>
  </r>
  <r>
    <x v="2"/>
    <x v="0"/>
    <n v="548"/>
    <x v="0"/>
  </r>
  <r>
    <x v="2"/>
    <x v="1"/>
    <s v="x"/>
    <x v="0"/>
  </r>
  <r>
    <x v="2"/>
    <x v="0"/>
    <n v="15"/>
    <x v="0"/>
  </r>
  <r>
    <x v="2"/>
    <x v="2"/>
    <s v="x"/>
    <x v="0"/>
  </r>
  <r>
    <x v="2"/>
    <x v="0"/>
    <n v="12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27"/>
    <x v="0"/>
  </r>
  <r>
    <x v="3"/>
    <x v="0"/>
    <s v="500"/>
    <x v="0"/>
  </r>
  <r>
    <x v="3"/>
    <x v="1"/>
    <s v="x"/>
    <x v="0"/>
  </r>
  <r>
    <x v="3"/>
    <x v="0"/>
    <n v="12"/>
    <x v="0"/>
  </r>
  <r>
    <x v="3"/>
    <x v="2"/>
    <s v="x"/>
    <x v="0"/>
  </r>
  <r>
    <x v="3"/>
    <x v="0"/>
    <n v="11"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23"/>
    <x v="0"/>
  </r>
  <r>
    <x v="4"/>
    <x v="0"/>
    <n v="500"/>
    <x v="0"/>
  </r>
  <r>
    <x v="4"/>
    <x v="1"/>
    <s v="x"/>
    <x v="0"/>
  </r>
  <r>
    <x v="4"/>
    <x v="0"/>
    <n v="12"/>
    <x v="0"/>
  </r>
  <r>
    <x v="4"/>
    <x v="2"/>
    <s v="x"/>
    <x v="0"/>
  </r>
  <r>
    <x v="4"/>
    <x v="0"/>
    <n v="10"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4"/>
    <x v="0"/>
    <n v="22"/>
    <x v="0"/>
  </r>
  <r>
    <x v="4"/>
    <x v="0"/>
    <n v="500"/>
    <x v="0"/>
  </r>
  <r>
    <x v="4"/>
    <x v="1"/>
    <s v="x"/>
    <x v="0"/>
  </r>
  <r>
    <x v="4"/>
    <x v="0"/>
    <n v="11"/>
    <x v="0"/>
  </r>
  <r>
    <x v="4"/>
    <x v="2"/>
    <s v="x"/>
    <x v="0"/>
  </r>
  <r>
    <x v="4"/>
    <x v="0"/>
    <n v="11"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4"/>
    <x v="0"/>
    <n v="22"/>
    <x v="0"/>
  </r>
  <r>
    <x v="2"/>
    <x v="0"/>
    <n v="500"/>
    <x v="0"/>
  </r>
  <r>
    <x v="2"/>
    <x v="1"/>
    <s v="x"/>
    <x v="0"/>
  </r>
  <r>
    <x v="2"/>
    <x v="0"/>
    <n v="11"/>
    <x v="0"/>
  </r>
  <r>
    <x v="2"/>
    <x v="2"/>
    <s v="x"/>
    <x v="0"/>
  </r>
  <r>
    <x v="2"/>
    <x v="0"/>
    <n v="10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21"/>
    <x v="0"/>
  </r>
  <r>
    <x v="2"/>
    <x v="0"/>
    <n v="501"/>
    <x v="0"/>
  </r>
  <r>
    <x v="2"/>
    <x v="1"/>
    <s v="x"/>
    <x v="0"/>
  </r>
  <r>
    <x v="2"/>
    <x v="0"/>
    <n v="11"/>
    <x v="0"/>
  </r>
  <r>
    <x v="2"/>
    <x v="2"/>
    <s v="x"/>
    <x v="0"/>
  </r>
  <r>
    <x v="2"/>
    <x v="0"/>
    <n v="9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20"/>
    <x v="0"/>
  </r>
  <r>
    <x v="5"/>
    <x v="0"/>
    <n v="500"/>
    <x v="0"/>
  </r>
  <r>
    <x v="5"/>
    <x v="1"/>
    <s v="x"/>
    <x v="0"/>
  </r>
  <r>
    <x v="5"/>
    <x v="0"/>
    <n v="10"/>
    <x v="0"/>
  </r>
  <r>
    <x v="5"/>
    <x v="2"/>
    <s v="x"/>
    <x v="0"/>
  </r>
  <r>
    <x v="5"/>
    <x v="0"/>
    <n v="10"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n v="20"/>
    <x v="0"/>
  </r>
  <r>
    <x v="2"/>
    <x v="0"/>
    <n v="500"/>
    <x v="0"/>
  </r>
  <r>
    <x v="2"/>
    <x v="1"/>
    <s v="x"/>
    <x v="0"/>
  </r>
  <r>
    <x v="2"/>
    <x v="0"/>
    <n v="10"/>
    <x v="0"/>
  </r>
  <r>
    <x v="2"/>
    <x v="2"/>
    <s v="x"/>
    <x v="0"/>
  </r>
  <r>
    <x v="2"/>
    <x v="0"/>
    <n v="10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20"/>
    <x v="0"/>
  </r>
  <r>
    <x v="3"/>
    <x v="0"/>
    <s v="500"/>
    <x v="0"/>
  </r>
  <r>
    <x v="3"/>
    <x v="1"/>
    <s v="x"/>
    <x v="0"/>
  </r>
  <r>
    <x v="3"/>
    <x v="0"/>
    <n v="10"/>
    <x v="0"/>
  </r>
  <r>
    <x v="3"/>
    <x v="2"/>
    <s v="x"/>
    <x v="0"/>
  </r>
  <r>
    <x v="3"/>
    <x v="0"/>
    <n v="9"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19"/>
    <x v="0"/>
  </r>
  <r>
    <x v="4"/>
    <x v="0"/>
    <n v="500"/>
    <x v="0"/>
  </r>
  <r>
    <x v="4"/>
    <x v="1"/>
    <s v="x"/>
    <x v="0"/>
  </r>
  <r>
    <x v="4"/>
    <x v="0"/>
    <n v="10"/>
    <x v="0"/>
  </r>
  <r>
    <x v="4"/>
    <x v="2"/>
    <s v="x"/>
    <x v="0"/>
  </r>
  <r>
    <x v="4"/>
    <x v="0"/>
    <n v="9"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4"/>
    <x v="0"/>
    <n v="19"/>
    <x v="0"/>
  </r>
  <r>
    <x v="3"/>
    <x v="0"/>
    <s v="500"/>
    <x v="0"/>
  </r>
  <r>
    <x v="3"/>
    <x v="1"/>
    <s v="x"/>
    <x v="0"/>
  </r>
  <r>
    <x v="3"/>
    <x v="0"/>
    <n v="10"/>
    <x v="0"/>
  </r>
  <r>
    <x v="3"/>
    <x v="2"/>
    <s v="x"/>
    <x v="0"/>
  </r>
  <r>
    <x v="3"/>
    <x v="0"/>
    <n v="9"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19"/>
    <x v="0"/>
  </r>
  <r>
    <x v="6"/>
    <x v="0"/>
    <n v="500"/>
    <x v="0"/>
  </r>
  <r>
    <x v="6"/>
    <x v="1"/>
    <s v="x"/>
    <x v="0"/>
  </r>
  <r>
    <x v="6"/>
    <x v="0"/>
    <n v="9"/>
    <x v="0"/>
  </r>
  <r>
    <x v="6"/>
    <x v="2"/>
    <s v="x"/>
    <x v="0"/>
  </r>
  <r>
    <x v="6"/>
    <x v="0"/>
    <n v="9"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6"/>
    <x v="0"/>
    <n v="18"/>
    <x v="0"/>
  </r>
  <r>
    <x v="7"/>
    <x v="0"/>
    <n v="500"/>
    <x v="0"/>
  </r>
  <r>
    <x v="7"/>
    <x v="1"/>
    <s v="x"/>
    <x v="0"/>
  </r>
  <r>
    <x v="7"/>
    <x v="0"/>
    <n v="9"/>
    <x v="0"/>
  </r>
  <r>
    <x v="7"/>
    <x v="2"/>
    <s v="x"/>
    <x v="0"/>
  </r>
  <r>
    <x v="7"/>
    <x v="0"/>
    <n v="8"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7"/>
    <x v="0"/>
    <n v="17"/>
    <x v="0"/>
  </r>
  <r>
    <x v="4"/>
    <x v="0"/>
    <n v="500"/>
    <x v="0"/>
  </r>
  <r>
    <x v="4"/>
    <x v="1"/>
    <s v="x"/>
    <x v="0"/>
  </r>
  <r>
    <x v="4"/>
    <x v="0"/>
    <n v="9"/>
    <x v="0"/>
  </r>
  <r>
    <x v="4"/>
    <x v="2"/>
    <s v="x"/>
    <x v="0"/>
  </r>
  <r>
    <x v="4"/>
    <x v="0"/>
    <n v="8"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4"/>
    <x v="0"/>
    <n v="17"/>
    <x v="0"/>
  </r>
  <r>
    <x v="8"/>
    <x v="0"/>
    <s v="500"/>
    <x v="0"/>
  </r>
  <r>
    <x v="8"/>
    <x v="1"/>
    <s v="x"/>
    <x v="0"/>
  </r>
  <r>
    <x v="8"/>
    <x v="0"/>
    <n v="10"/>
    <x v="0"/>
  </r>
  <r>
    <x v="8"/>
    <x v="2"/>
    <s v="x"/>
    <x v="0"/>
  </r>
  <r>
    <x v="8"/>
    <x v="0"/>
    <n v="7"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17"/>
    <x v="0"/>
  </r>
  <r>
    <x v="2"/>
    <x v="0"/>
    <n v="500"/>
    <x v="0"/>
  </r>
  <r>
    <x v="2"/>
    <x v="1"/>
    <s v="x"/>
    <x v="0"/>
  </r>
  <r>
    <x v="2"/>
    <x v="0"/>
    <n v="9"/>
    <x v="0"/>
  </r>
  <r>
    <x v="2"/>
    <x v="2"/>
    <s v="x"/>
    <x v="0"/>
  </r>
  <r>
    <x v="2"/>
    <x v="0"/>
    <n v="8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17"/>
    <x v="0"/>
  </r>
  <r>
    <x v="2"/>
    <x v="0"/>
    <n v="500"/>
    <x v="0"/>
  </r>
  <r>
    <x v="2"/>
    <x v="1"/>
    <s v="x"/>
    <x v="0"/>
  </r>
  <r>
    <x v="2"/>
    <x v="0"/>
    <n v="8"/>
    <x v="0"/>
  </r>
  <r>
    <x v="2"/>
    <x v="2"/>
    <s v="x"/>
    <x v="0"/>
  </r>
  <r>
    <x v="2"/>
    <x v="0"/>
    <n v="8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16"/>
    <x v="0"/>
  </r>
  <r>
    <x v="3"/>
    <x v="0"/>
    <s v="500"/>
    <x v="0"/>
  </r>
  <r>
    <x v="3"/>
    <x v="1"/>
    <s v="x"/>
    <x v="0"/>
  </r>
  <r>
    <x v="3"/>
    <x v="0"/>
    <n v="8"/>
    <x v="0"/>
  </r>
  <r>
    <x v="3"/>
    <x v="2"/>
    <s v="x"/>
    <x v="0"/>
  </r>
  <r>
    <x v="3"/>
    <x v="0"/>
    <n v="8"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16"/>
    <x v="0"/>
  </r>
  <r>
    <x v="9"/>
    <x v="0"/>
    <s v="500"/>
    <x v="0"/>
  </r>
  <r>
    <x v="9"/>
    <x v="1"/>
    <s v="x"/>
    <x v="0"/>
  </r>
  <r>
    <x v="9"/>
    <x v="0"/>
    <n v="9"/>
    <x v="0"/>
  </r>
  <r>
    <x v="9"/>
    <x v="2"/>
    <s v="x"/>
    <x v="0"/>
  </r>
  <r>
    <x v="9"/>
    <x v="0"/>
    <n v="7"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9"/>
    <x v="0"/>
    <n v="16"/>
    <x v="0"/>
  </r>
  <r>
    <x v="10"/>
    <x v="0"/>
    <s v="500"/>
    <x v="0"/>
  </r>
  <r>
    <x v="10"/>
    <x v="1"/>
    <s v="x"/>
    <x v="0"/>
  </r>
  <r>
    <x v="10"/>
    <x v="0"/>
    <n v="9"/>
    <x v="0"/>
  </r>
  <r>
    <x v="10"/>
    <x v="2"/>
    <s v="x"/>
    <x v="0"/>
  </r>
  <r>
    <x v="10"/>
    <x v="0"/>
    <n v="7"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16"/>
    <x v="0"/>
  </r>
  <r>
    <x v="2"/>
    <x v="0"/>
    <n v="500"/>
    <x v="0"/>
  </r>
  <r>
    <x v="2"/>
    <x v="1"/>
    <s v="x"/>
    <x v="0"/>
  </r>
  <r>
    <x v="2"/>
    <x v="0"/>
    <n v="9"/>
    <x v="0"/>
  </r>
  <r>
    <x v="2"/>
    <x v="2"/>
    <s v="x"/>
    <x v="0"/>
  </r>
  <r>
    <x v="2"/>
    <x v="0"/>
    <n v="7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16"/>
    <x v="0"/>
  </r>
  <r>
    <x v="2"/>
    <x v="0"/>
    <n v="500"/>
    <x v="0"/>
  </r>
  <r>
    <x v="2"/>
    <x v="1"/>
    <s v="x"/>
    <x v="0"/>
  </r>
  <r>
    <x v="2"/>
    <x v="0"/>
    <n v="9"/>
    <x v="0"/>
  </r>
  <r>
    <x v="2"/>
    <x v="2"/>
    <s v="x"/>
    <x v="0"/>
  </r>
  <r>
    <x v="2"/>
    <x v="0"/>
    <n v="7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16"/>
    <x v="0"/>
  </r>
  <r>
    <x v="2"/>
    <x v="0"/>
    <n v="500"/>
    <x v="0"/>
  </r>
  <r>
    <x v="2"/>
    <x v="1"/>
    <s v="x"/>
    <x v="0"/>
  </r>
  <r>
    <x v="2"/>
    <x v="0"/>
    <n v="8"/>
    <x v="0"/>
  </r>
  <r>
    <x v="2"/>
    <x v="2"/>
    <s v="x"/>
    <x v="0"/>
  </r>
  <r>
    <x v="2"/>
    <x v="0"/>
    <n v="7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15"/>
    <x v="0"/>
  </r>
  <r>
    <x v="3"/>
    <x v="0"/>
    <s v="500"/>
    <x v="0"/>
  </r>
  <r>
    <x v="3"/>
    <x v="1"/>
    <m/>
    <x v="0"/>
  </r>
  <r>
    <x v="3"/>
    <x v="0"/>
    <m/>
    <x v="0"/>
  </r>
  <r>
    <x v="3"/>
    <x v="2"/>
    <s v="x"/>
    <x v="0"/>
  </r>
  <r>
    <x v="3"/>
    <x v="0"/>
    <n v="14"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14"/>
    <x v="0"/>
  </r>
  <r>
    <x v="6"/>
    <x v="0"/>
    <n v="511"/>
    <x v="0"/>
  </r>
  <r>
    <x v="6"/>
    <x v="1"/>
    <s v="x"/>
    <x v="0"/>
  </r>
  <r>
    <x v="6"/>
    <x v="0"/>
    <n v="4"/>
    <x v="0"/>
  </r>
  <r>
    <x v="6"/>
    <x v="2"/>
    <s v="x"/>
    <x v="0"/>
  </r>
  <r>
    <x v="6"/>
    <x v="0"/>
    <n v="9"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6"/>
    <x v="0"/>
    <n v="13"/>
    <x v="0"/>
  </r>
  <r>
    <x v="2"/>
    <x v="0"/>
    <n v="500"/>
    <x v="0"/>
  </r>
  <r>
    <x v="2"/>
    <x v="1"/>
    <s v="x"/>
    <x v="0"/>
  </r>
  <r>
    <x v="2"/>
    <x v="0"/>
    <n v="9"/>
    <x v="0"/>
  </r>
  <r>
    <x v="2"/>
    <x v="2"/>
    <s v="x"/>
    <x v="0"/>
  </r>
  <r>
    <x v="2"/>
    <x v="0"/>
    <n v="4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13"/>
    <x v="0"/>
  </r>
  <r>
    <x v="4"/>
    <x v="0"/>
    <n v="500"/>
    <x v="0"/>
  </r>
  <r>
    <x v="4"/>
    <x v="1"/>
    <s v="x"/>
    <x v="0"/>
  </r>
  <r>
    <x v="4"/>
    <x v="0"/>
    <n v="9"/>
    <x v="0"/>
  </r>
  <r>
    <x v="4"/>
    <x v="2"/>
    <s v="x"/>
    <x v="0"/>
  </r>
  <r>
    <x v="4"/>
    <x v="0"/>
    <n v="4"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4"/>
    <x v="0"/>
    <n v="13"/>
    <x v="0"/>
  </r>
  <r>
    <x v="3"/>
    <x v="0"/>
    <s v="539"/>
    <x v="0"/>
  </r>
  <r>
    <x v="3"/>
    <x v="1"/>
    <s v="x"/>
    <x v="0"/>
  </r>
  <r>
    <x v="3"/>
    <x v="0"/>
    <n v="13"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13"/>
    <x v="0"/>
  </r>
  <r>
    <x v="10"/>
    <x v="0"/>
    <s v="500"/>
    <x v="0"/>
  </r>
  <r>
    <x v="10"/>
    <x v="1"/>
    <s v="x"/>
    <x v="0"/>
  </r>
  <r>
    <x v="10"/>
    <x v="0"/>
    <n v="5"/>
    <x v="0"/>
  </r>
  <r>
    <x v="10"/>
    <x v="2"/>
    <s v="x"/>
    <x v="0"/>
  </r>
  <r>
    <x v="10"/>
    <x v="0"/>
    <n v="8"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13"/>
    <x v="0"/>
  </r>
  <r>
    <x v="5"/>
    <x v="0"/>
    <n v="500"/>
    <x v="0"/>
  </r>
  <r>
    <x v="5"/>
    <x v="1"/>
    <s v="x"/>
    <x v="0"/>
  </r>
  <r>
    <x v="5"/>
    <x v="0"/>
    <n v="4"/>
    <x v="0"/>
  </r>
  <r>
    <x v="5"/>
    <x v="2"/>
    <s v="x"/>
    <x v="0"/>
  </r>
  <r>
    <x v="5"/>
    <x v="0"/>
    <n v="9"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n v="13"/>
    <x v="0"/>
  </r>
  <r>
    <x v="9"/>
    <x v="0"/>
    <n v="500"/>
    <x v="0"/>
  </r>
  <r>
    <x v="9"/>
    <x v="1"/>
    <s v="x"/>
    <x v="0"/>
  </r>
  <r>
    <x v="9"/>
    <x v="0"/>
    <n v="9"/>
    <x v="0"/>
  </r>
  <r>
    <x v="9"/>
    <x v="2"/>
    <s v="x"/>
    <x v="0"/>
  </r>
  <r>
    <x v="9"/>
    <x v="0"/>
    <n v="3"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9"/>
    <x v="0"/>
    <n v="12"/>
    <x v="0"/>
  </r>
  <r>
    <x v="6"/>
    <x v="0"/>
    <n v="500"/>
    <x v="0"/>
  </r>
  <r>
    <x v="6"/>
    <x v="1"/>
    <s v="x"/>
    <x v="0"/>
  </r>
  <r>
    <x v="6"/>
    <x v="0"/>
    <n v="4"/>
    <x v="0"/>
  </r>
  <r>
    <x v="6"/>
    <x v="2"/>
    <s v="x"/>
    <x v="0"/>
  </r>
  <r>
    <x v="6"/>
    <x v="0"/>
    <n v="8"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6"/>
    <x v="0"/>
    <n v="12"/>
    <x v="0"/>
  </r>
  <r>
    <x v="8"/>
    <x v="0"/>
    <s v="500"/>
    <x v="0"/>
  </r>
  <r>
    <x v="8"/>
    <x v="1"/>
    <s v="x"/>
    <x v="0"/>
  </r>
  <r>
    <x v="8"/>
    <x v="0"/>
    <n v="11"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11"/>
    <x v="0"/>
  </r>
  <r>
    <x v="2"/>
    <x v="0"/>
    <n v="500"/>
    <x v="0"/>
  </r>
  <r>
    <x v="2"/>
    <x v="1"/>
    <s v="x"/>
    <x v="0"/>
  </r>
  <r>
    <x v="2"/>
    <x v="0"/>
    <n v="4"/>
    <x v="0"/>
  </r>
  <r>
    <x v="2"/>
    <x v="2"/>
    <s v="x"/>
    <x v="0"/>
  </r>
  <r>
    <x v="2"/>
    <x v="0"/>
    <n v="7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11"/>
    <x v="0"/>
  </r>
  <r>
    <x v="2"/>
    <x v="0"/>
    <n v="500"/>
    <x v="0"/>
  </r>
  <r>
    <x v="2"/>
    <x v="1"/>
    <s v="x"/>
    <x v="0"/>
  </r>
  <r>
    <x v="2"/>
    <x v="0"/>
    <n v="8"/>
    <x v="0"/>
  </r>
  <r>
    <x v="2"/>
    <x v="2"/>
    <s v="x"/>
    <x v="0"/>
  </r>
  <r>
    <x v="2"/>
    <x v="0"/>
    <n v="2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10"/>
    <x v="0"/>
  </r>
  <r>
    <x v="2"/>
    <x v="0"/>
    <n v="500"/>
    <x v="0"/>
  </r>
  <r>
    <x v="2"/>
    <x v="1"/>
    <s v="x"/>
    <x v="0"/>
  </r>
  <r>
    <x v="2"/>
    <x v="0"/>
    <n v="3"/>
    <x v="0"/>
  </r>
  <r>
    <x v="2"/>
    <x v="2"/>
    <s v="x"/>
    <x v="0"/>
  </r>
  <r>
    <x v="2"/>
    <x v="0"/>
    <n v="7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10"/>
    <x v="0"/>
  </r>
  <r>
    <x v="2"/>
    <x v="0"/>
    <n v="500"/>
    <x v="0"/>
  </r>
  <r>
    <x v="2"/>
    <x v="1"/>
    <s v="x"/>
    <x v="0"/>
  </r>
  <r>
    <x v="2"/>
    <x v="0"/>
    <n v="8"/>
    <x v="0"/>
  </r>
  <r>
    <x v="2"/>
    <x v="2"/>
    <s v="x"/>
    <x v="0"/>
  </r>
  <r>
    <x v="2"/>
    <x v="0"/>
    <n v="2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10"/>
    <x v="0"/>
  </r>
  <r>
    <x v="2"/>
    <x v="0"/>
    <n v="500"/>
    <x v="0"/>
  </r>
  <r>
    <x v="2"/>
    <x v="1"/>
    <s v="x"/>
    <x v="0"/>
  </r>
  <r>
    <x v="2"/>
    <x v="0"/>
    <n v="10"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10"/>
    <x v="0"/>
  </r>
  <r>
    <x v="9"/>
    <x v="0"/>
    <n v="500"/>
    <x v="0"/>
  </r>
  <r>
    <x v="9"/>
    <x v="1"/>
    <s v="x"/>
    <x v="0"/>
  </r>
  <r>
    <x v="9"/>
    <x v="0"/>
    <n v="10"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9"/>
    <x v="0"/>
    <n v="10"/>
    <x v="0"/>
  </r>
  <r>
    <x v="9"/>
    <x v="0"/>
    <n v="500"/>
    <x v="0"/>
  </r>
  <r>
    <x v="9"/>
    <x v="1"/>
    <s v="x"/>
    <x v="0"/>
  </r>
  <r>
    <x v="9"/>
    <x v="0"/>
    <n v="3"/>
    <x v="0"/>
  </r>
  <r>
    <x v="9"/>
    <x v="2"/>
    <s v="x"/>
    <x v="0"/>
  </r>
  <r>
    <x v="9"/>
    <x v="0"/>
    <n v="7"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9"/>
    <x v="0"/>
    <n v="10"/>
    <x v="0"/>
  </r>
  <r>
    <x v="10"/>
    <x v="0"/>
    <n v="500"/>
    <x v="0"/>
  </r>
  <r>
    <x v="10"/>
    <x v="1"/>
    <s v="x"/>
    <x v="0"/>
  </r>
  <r>
    <x v="10"/>
    <x v="0"/>
    <n v="8"/>
    <x v="0"/>
  </r>
  <r>
    <x v="10"/>
    <x v="2"/>
    <s v="x"/>
    <x v="0"/>
  </r>
  <r>
    <x v="10"/>
    <x v="0"/>
    <n v="2"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10"/>
    <x v="0"/>
  </r>
  <r>
    <x v="5"/>
    <x v="0"/>
    <n v="500"/>
    <x v="0"/>
  </r>
  <r>
    <x v="5"/>
    <x v="1"/>
    <s v="x"/>
    <x v="0"/>
  </r>
  <r>
    <x v="5"/>
    <x v="0"/>
    <n v="9"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n v="9"/>
    <x v="0"/>
  </r>
  <r>
    <x v="2"/>
    <x v="0"/>
    <n v="500"/>
    <x v="0"/>
  </r>
  <r>
    <x v="2"/>
    <x v="1"/>
    <s v="x"/>
    <x v="0"/>
  </r>
  <r>
    <x v="2"/>
    <x v="0"/>
    <n v="2"/>
    <x v="0"/>
  </r>
  <r>
    <x v="2"/>
    <x v="2"/>
    <s v="x"/>
    <x v="0"/>
  </r>
  <r>
    <x v="2"/>
    <x v="0"/>
    <n v="7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9"/>
    <x v="0"/>
  </r>
  <r>
    <x v="9"/>
    <x v="0"/>
    <s v="500"/>
    <x v="0"/>
  </r>
  <r>
    <x v="9"/>
    <x v="1"/>
    <s v="x"/>
    <x v="0"/>
  </r>
  <r>
    <x v="9"/>
    <x v="0"/>
    <n v="9"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9"/>
    <x v="0"/>
    <n v="9"/>
    <x v="0"/>
  </r>
  <r>
    <x v="7"/>
    <x v="0"/>
    <n v="500"/>
    <x v="0"/>
  </r>
  <r>
    <x v="7"/>
    <x v="1"/>
    <s v="x"/>
    <x v="0"/>
  </r>
  <r>
    <x v="7"/>
    <x v="0"/>
    <n v="9"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7"/>
    <x v="0"/>
    <n v="9"/>
    <x v="0"/>
  </r>
  <r>
    <x v="5"/>
    <x v="0"/>
    <n v="500"/>
    <x v="0"/>
  </r>
  <r>
    <x v="5"/>
    <x v="1"/>
    <m/>
    <x v="0"/>
  </r>
  <r>
    <x v="5"/>
    <x v="0"/>
    <m/>
    <x v="0"/>
  </r>
  <r>
    <x v="5"/>
    <x v="2"/>
    <s v="x"/>
    <x v="0"/>
  </r>
  <r>
    <x v="5"/>
    <x v="0"/>
    <n v="9"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n v="9"/>
    <x v="0"/>
  </r>
  <r>
    <x v="9"/>
    <x v="0"/>
    <n v="500"/>
    <x v="0"/>
  </r>
  <r>
    <x v="9"/>
    <x v="1"/>
    <s v="x"/>
    <x v="0"/>
  </r>
  <r>
    <x v="9"/>
    <x v="0"/>
    <n v="9"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9"/>
    <x v="0"/>
    <n v="9"/>
    <x v="0"/>
  </r>
  <r>
    <x v="4"/>
    <x v="0"/>
    <n v="500"/>
    <x v="0"/>
  </r>
  <r>
    <x v="4"/>
    <x v="1"/>
    <s v="x"/>
    <x v="0"/>
  </r>
  <r>
    <x v="4"/>
    <x v="0"/>
    <n v="9"/>
    <x v="0"/>
  </r>
  <r>
    <x v="4"/>
    <x v="2"/>
    <m/>
    <x v="0"/>
  </r>
  <r>
    <x v="4"/>
    <x v="0"/>
    <m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4"/>
    <x v="0"/>
    <n v="9"/>
    <x v="0"/>
  </r>
  <r>
    <x v="9"/>
    <x v="0"/>
    <n v="500"/>
    <x v="0"/>
  </r>
  <r>
    <x v="9"/>
    <x v="1"/>
    <s v="x"/>
    <x v="0"/>
  </r>
  <r>
    <x v="9"/>
    <x v="0"/>
    <n v="8"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9"/>
    <x v="0"/>
    <n v="8"/>
    <x v="0"/>
  </r>
  <r>
    <x v="9"/>
    <x v="0"/>
    <n v="500"/>
    <x v="0"/>
  </r>
  <r>
    <x v="9"/>
    <x v="1"/>
    <s v="x"/>
    <x v="0"/>
  </r>
  <r>
    <x v="9"/>
    <x v="0"/>
    <n v="8"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9"/>
    <x v="0"/>
    <n v="8"/>
    <x v="0"/>
  </r>
  <r>
    <x v="9"/>
    <x v="0"/>
    <n v="500"/>
    <x v="0"/>
  </r>
  <r>
    <x v="9"/>
    <x v="1"/>
    <s v="x"/>
    <x v="0"/>
  </r>
  <r>
    <x v="9"/>
    <x v="0"/>
    <n v="8"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9"/>
    <x v="0"/>
    <n v="8"/>
    <x v="0"/>
  </r>
  <r>
    <x v="2"/>
    <x v="0"/>
    <n v="500"/>
    <x v="0"/>
  </r>
  <r>
    <x v="2"/>
    <x v="1"/>
    <s v="x"/>
    <x v="0"/>
  </r>
  <r>
    <x v="2"/>
    <x v="0"/>
    <n v="8"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8"/>
    <x v="0"/>
  </r>
  <r>
    <x v="2"/>
    <x v="0"/>
    <n v="500"/>
    <x v="0"/>
  </r>
  <r>
    <x v="2"/>
    <x v="1"/>
    <s v="x"/>
    <x v="0"/>
  </r>
  <r>
    <x v="2"/>
    <x v="0"/>
    <n v="8"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8"/>
    <x v="0"/>
  </r>
  <r>
    <x v="11"/>
    <x v="0"/>
    <n v="500"/>
    <x v="0"/>
  </r>
  <r>
    <x v="11"/>
    <x v="1"/>
    <s v="x"/>
    <x v="0"/>
  </r>
  <r>
    <x v="11"/>
    <x v="0"/>
    <n v="8"/>
    <x v="0"/>
  </r>
  <r>
    <x v="11"/>
    <x v="2"/>
    <m/>
    <x v="0"/>
  </r>
  <r>
    <x v="11"/>
    <x v="0"/>
    <m/>
    <x v="0"/>
  </r>
  <r>
    <x v="11"/>
    <x v="3"/>
    <m/>
    <x v="0"/>
  </r>
  <r>
    <x v="11"/>
    <x v="0"/>
    <m/>
    <x v="0"/>
  </r>
  <r>
    <x v="11"/>
    <x v="4"/>
    <m/>
    <x v="0"/>
  </r>
  <r>
    <x v="11"/>
    <x v="0"/>
    <m/>
    <x v="0"/>
  </r>
  <r>
    <x v="11"/>
    <x v="0"/>
    <n v="8"/>
    <x v="0"/>
  </r>
  <r>
    <x v="4"/>
    <x v="0"/>
    <n v="521"/>
    <x v="0"/>
  </r>
  <r>
    <x v="4"/>
    <x v="1"/>
    <m/>
    <x v="0"/>
  </r>
  <r>
    <x v="4"/>
    <x v="0"/>
    <m/>
    <x v="0"/>
  </r>
  <r>
    <x v="4"/>
    <x v="2"/>
    <s v="x"/>
    <x v="0"/>
  </r>
  <r>
    <x v="4"/>
    <x v="0"/>
    <n v="8"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4"/>
    <x v="0"/>
    <n v="8"/>
    <x v="0"/>
  </r>
  <r>
    <x v="4"/>
    <x v="0"/>
    <n v="500"/>
    <x v="0"/>
  </r>
  <r>
    <x v="4"/>
    <x v="1"/>
    <s v="x"/>
    <x v="0"/>
  </r>
  <r>
    <x v="4"/>
    <x v="0"/>
    <n v="8"/>
    <x v="0"/>
  </r>
  <r>
    <x v="4"/>
    <x v="2"/>
    <m/>
    <x v="0"/>
  </r>
  <r>
    <x v="4"/>
    <x v="0"/>
    <m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4"/>
    <x v="0"/>
    <n v="8"/>
    <x v="0"/>
  </r>
  <r>
    <x v="3"/>
    <x v="0"/>
    <s v="500"/>
    <x v="0"/>
  </r>
  <r>
    <x v="3"/>
    <x v="1"/>
    <m/>
    <x v="0"/>
  </r>
  <r>
    <x v="3"/>
    <x v="0"/>
    <m/>
    <x v="0"/>
  </r>
  <r>
    <x v="3"/>
    <x v="2"/>
    <s v="x"/>
    <x v="0"/>
  </r>
  <r>
    <x v="3"/>
    <x v="0"/>
    <n v="7"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7"/>
    <x v="0"/>
  </r>
  <r>
    <x v="6"/>
    <x v="0"/>
    <n v="500"/>
    <x v="0"/>
  </r>
  <r>
    <x v="6"/>
    <x v="1"/>
    <m/>
    <x v="0"/>
  </r>
  <r>
    <x v="6"/>
    <x v="0"/>
    <m/>
    <x v="0"/>
  </r>
  <r>
    <x v="6"/>
    <x v="2"/>
    <s v="x"/>
    <x v="0"/>
  </r>
  <r>
    <x v="6"/>
    <x v="0"/>
    <n v="7"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6"/>
    <x v="0"/>
    <n v="7"/>
    <x v="0"/>
  </r>
  <r>
    <x v="6"/>
    <x v="0"/>
    <n v="500"/>
    <x v="0"/>
  </r>
  <r>
    <x v="6"/>
    <x v="1"/>
    <s v="x"/>
    <x v="0"/>
  </r>
  <r>
    <x v="6"/>
    <x v="0"/>
    <n v="5"/>
    <x v="0"/>
  </r>
  <r>
    <x v="6"/>
    <x v="2"/>
    <s v="x"/>
    <x v="0"/>
  </r>
  <r>
    <x v="6"/>
    <x v="0"/>
    <n v="2"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6"/>
    <x v="0"/>
    <n v="7"/>
    <x v="0"/>
  </r>
  <r>
    <x v="3"/>
    <x v="0"/>
    <m/>
    <x v="0"/>
  </r>
  <r>
    <x v="3"/>
    <x v="1"/>
    <m/>
    <x v="0"/>
  </r>
  <r>
    <x v="3"/>
    <x v="0"/>
    <m/>
    <x v="0"/>
  </r>
  <r>
    <x v="3"/>
    <x v="2"/>
    <s v="x"/>
    <x v="0"/>
  </r>
  <r>
    <x v="3"/>
    <x v="0"/>
    <n v="7"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7"/>
    <x v="0"/>
  </r>
  <r>
    <x v="4"/>
    <x v="0"/>
    <n v="500"/>
    <x v="0"/>
  </r>
  <r>
    <x v="4"/>
    <x v="1"/>
    <s v="x"/>
    <x v="0"/>
  </r>
  <r>
    <x v="4"/>
    <x v="0"/>
    <n v="6"/>
    <x v="0"/>
  </r>
  <r>
    <x v="4"/>
    <x v="2"/>
    <m/>
    <x v="0"/>
  </r>
  <r>
    <x v="4"/>
    <x v="0"/>
    <m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4"/>
    <x v="0"/>
    <n v="6"/>
    <x v="0"/>
  </r>
  <r>
    <x v="2"/>
    <x v="0"/>
    <n v="500"/>
    <x v="0"/>
  </r>
  <r>
    <x v="2"/>
    <x v="1"/>
    <s v="x"/>
    <x v="0"/>
  </r>
  <r>
    <x v="2"/>
    <x v="0"/>
    <n v="3"/>
    <x v="0"/>
  </r>
  <r>
    <x v="2"/>
    <x v="2"/>
    <s v="x"/>
    <x v="0"/>
  </r>
  <r>
    <x v="2"/>
    <x v="0"/>
    <n v="3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6"/>
    <x v="0"/>
  </r>
  <r>
    <x v="2"/>
    <x v="0"/>
    <n v="500"/>
    <x v="0"/>
  </r>
  <r>
    <x v="2"/>
    <x v="1"/>
    <s v="x"/>
    <x v="0"/>
  </r>
  <r>
    <x v="2"/>
    <x v="0"/>
    <n v="3"/>
    <x v="0"/>
  </r>
  <r>
    <x v="2"/>
    <x v="2"/>
    <s v="x"/>
    <x v="0"/>
  </r>
  <r>
    <x v="2"/>
    <x v="0"/>
    <n v="2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5"/>
    <x v="0"/>
  </r>
  <r>
    <x v="9"/>
    <x v="0"/>
    <m/>
    <x v="0"/>
  </r>
  <r>
    <x v="9"/>
    <x v="1"/>
    <m/>
    <x v="0"/>
  </r>
  <r>
    <x v="9"/>
    <x v="0"/>
    <m/>
    <x v="0"/>
  </r>
  <r>
    <x v="9"/>
    <x v="2"/>
    <s v="x"/>
    <x v="0"/>
  </r>
  <r>
    <x v="9"/>
    <x v="0"/>
    <n v="5"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9"/>
    <x v="0"/>
    <n v="5"/>
    <x v="0"/>
  </r>
  <r>
    <x v="5"/>
    <x v="0"/>
    <n v="500"/>
    <x v="0"/>
  </r>
  <r>
    <x v="5"/>
    <x v="1"/>
    <s v="x"/>
    <x v="0"/>
  </r>
  <r>
    <x v="5"/>
    <x v="0"/>
    <n v="2"/>
    <x v="0"/>
  </r>
  <r>
    <x v="5"/>
    <x v="2"/>
    <s v="x"/>
    <x v="0"/>
  </r>
  <r>
    <x v="5"/>
    <x v="0"/>
    <n v="2"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n v="4"/>
    <x v="0"/>
  </r>
  <r>
    <x v="5"/>
    <x v="0"/>
    <n v="500"/>
    <x v="0"/>
  </r>
  <r>
    <x v="5"/>
    <x v="1"/>
    <s v="x"/>
    <x v="0"/>
  </r>
  <r>
    <x v="5"/>
    <x v="0"/>
    <n v="3"/>
    <x v="0"/>
  </r>
  <r>
    <x v="5"/>
    <x v="2"/>
    <s v="x"/>
    <x v="0"/>
  </r>
  <r>
    <x v="5"/>
    <x v="0"/>
    <n v="1"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n v="4"/>
    <x v="0"/>
  </r>
  <r>
    <x v="4"/>
    <x v="0"/>
    <m/>
    <x v="0"/>
  </r>
  <r>
    <x v="4"/>
    <x v="1"/>
    <m/>
    <x v="0"/>
  </r>
  <r>
    <x v="4"/>
    <x v="0"/>
    <m/>
    <x v="0"/>
  </r>
  <r>
    <x v="4"/>
    <x v="2"/>
    <s v="x"/>
    <x v="0"/>
  </r>
  <r>
    <x v="4"/>
    <x v="0"/>
    <n v="3"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4"/>
    <x v="0"/>
    <n v="3"/>
    <x v="0"/>
  </r>
  <r>
    <x v="5"/>
    <x v="0"/>
    <n v="500"/>
    <x v="0"/>
  </r>
  <r>
    <x v="5"/>
    <x v="1"/>
    <s v="x"/>
    <x v="0"/>
  </r>
  <r>
    <x v="5"/>
    <x v="0"/>
    <n v="1"/>
    <x v="0"/>
  </r>
  <r>
    <x v="5"/>
    <x v="2"/>
    <s v="x"/>
    <x v="0"/>
  </r>
  <r>
    <x v="5"/>
    <x v="0"/>
    <n v="2"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n v="3"/>
    <x v="0"/>
  </r>
  <r>
    <x v="3"/>
    <x v="0"/>
    <s v="500"/>
    <x v="0"/>
  </r>
  <r>
    <x v="3"/>
    <x v="1"/>
    <m/>
    <x v="0"/>
  </r>
  <r>
    <x v="3"/>
    <x v="0"/>
    <m/>
    <x v="0"/>
  </r>
  <r>
    <x v="3"/>
    <x v="2"/>
    <s v="x"/>
    <x v="0"/>
  </r>
  <r>
    <x v="3"/>
    <x v="0"/>
    <n v="3"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3"/>
    <x v="0"/>
  </r>
  <r>
    <x v="8"/>
    <x v="0"/>
    <s v="500"/>
    <x v="0"/>
  </r>
  <r>
    <x v="8"/>
    <x v="1"/>
    <s v="x"/>
    <x v="0"/>
  </r>
  <r>
    <x v="8"/>
    <x v="0"/>
    <n v="3"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3"/>
    <x v="0"/>
  </r>
  <r>
    <x v="5"/>
    <x v="0"/>
    <n v="500"/>
    <x v="0"/>
  </r>
  <r>
    <x v="5"/>
    <x v="1"/>
    <s v="x"/>
    <x v="0"/>
  </r>
  <r>
    <x v="5"/>
    <x v="0"/>
    <n v="2"/>
    <x v="0"/>
  </r>
  <r>
    <x v="5"/>
    <x v="2"/>
    <s v="x"/>
    <x v="0"/>
  </r>
  <r>
    <x v="5"/>
    <x v="0"/>
    <n v="1"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n v="3"/>
    <x v="0"/>
  </r>
  <r>
    <x v="8"/>
    <x v="0"/>
    <s v="500"/>
    <x v="0"/>
  </r>
  <r>
    <x v="8"/>
    <x v="1"/>
    <s v="x"/>
    <x v="0"/>
  </r>
  <r>
    <x v="8"/>
    <x v="0"/>
    <n v="3"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3"/>
    <x v="0"/>
  </r>
  <r>
    <x v="3"/>
    <x v="0"/>
    <s v="500"/>
    <x v="0"/>
  </r>
  <r>
    <x v="3"/>
    <x v="1"/>
    <s v="x"/>
    <x v="0"/>
  </r>
  <r>
    <x v="3"/>
    <x v="0"/>
    <n v="2"/>
    <x v="0"/>
  </r>
  <r>
    <x v="3"/>
    <x v="2"/>
    <s v="x"/>
    <x v="0"/>
  </r>
  <r>
    <x v="3"/>
    <x v="0"/>
    <n v="1"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3"/>
    <x v="0"/>
  </r>
  <r>
    <x v="4"/>
    <x v="0"/>
    <n v="500"/>
    <x v="0"/>
  </r>
  <r>
    <x v="4"/>
    <x v="1"/>
    <s v="x"/>
    <x v="0"/>
  </r>
  <r>
    <x v="4"/>
    <x v="0"/>
    <n v="3"/>
    <x v="0"/>
  </r>
  <r>
    <x v="4"/>
    <x v="2"/>
    <m/>
    <x v="0"/>
  </r>
  <r>
    <x v="4"/>
    <x v="0"/>
    <m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4"/>
    <x v="0"/>
    <n v="3"/>
    <x v="0"/>
  </r>
  <r>
    <x v="7"/>
    <x v="0"/>
    <n v="500"/>
    <x v="0"/>
  </r>
  <r>
    <x v="7"/>
    <x v="1"/>
    <s v="x"/>
    <x v="0"/>
  </r>
  <r>
    <x v="7"/>
    <x v="0"/>
    <n v="2"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7"/>
    <x v="0"/>
    <n v="2"/>
    <x v="0"/>
  </r>
  <r>
    <x v="3"/>
    <x v="0"/>
    <s v="500"/>
    <x v="0"/>
  </r>
  <r>
    <x v="3"/>
    <x v="1"/>
    <s v="x"/>
    <x v="0"/>
  </r>
  <r>
    <x v="3"/>
    <x v="0"/>
    <n v="2"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2"/>
    <x v="0"/>
  </r>
  <r>
    <x v="5"/>
    <x v="0"/>
    <n v="500"/>
    <x v="0"/>
  </r>
  <r>
    <x v="5"/>
    <x v="1"/>
    <s v="x"/>
    <x v="0"/>
  </r>
  <r>
    <x v="5"/>
    <x v="0"/>
    <n v="2"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n v="2"/>
    <x v="0"/>
  </r>
  <r>
    <x v="3"/>
    <x v="0"/>
    <s v="500"/>
    <x v="0"/>
  </r>
  <r>
    <x v="3"/>
    <x v="1"/>
    <s v="x"/>
    <x v="0"/>
  </r>
  <r>
    <x v="3"/>
    <x v="0"/>
    <n v="2"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2"/>
    <x v="0"/>
  </r>
  <r>
    <x v="7"/>
    <x v="0"/>
    <n v="500"/>
    <x v="0"/>
  </r>
  <r>
    <x v="7"/>
    <x v="1"/>
    <s v="x"/>
    <x v="0"/>
  </r>
  <r>
    <x v="7"/>
    <x v="0"/>
    <n v="2"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7"/>
    <x v="0"/>
    <n v="2"/>
    <x v="0"/>
  </r>
  <r>
    <x v="5"/>
    <x v="0"/>
    <n v="500"/>
    <x v="0"/>
  </r>
  <r>
    <x v="5"/>
    <x v="1"/>
    <s v="x"/>
    <x v="0"/>
  </r>
  <r>
    <x v="5"/>
    <x v="0"/>
    <n v="1"/>
    <x v="0"/>
  </r>
  <r>
    <x v="5"/>
    <x v="2"/>
    <s v="x"/>
    <x v="0"/>
  </r>
  <r>
    <x v="5"/>
    <x v="0"/>
    <n v="1"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n v="2"/>
    <x v="0"/>
  </r>
  <r>
    <x v="8"/>
    <x v="0"/>
    <s v="500"/>
    <x v="0"/>
  </r>
  <r>
    <x v="8"/>
    <x v="1"/>
    <s v="x"/>
    <x v="0"/>
  </r>
  <r>
    <x v="8"/>
    <x v="0"/>
    <n v="2"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2"/>
    <x v="0"/>
  </r>
  <r>
    <x v="6"/>
    <x v="0"/>
    <n v="500"/>
    <x v="0"/>
  </r>
  <r>
    <x v="6"/>
    <x v="1"/>
    <s v="x"/>
    <x v="0"/>
  </r>
  <r>
    <x v="6"/>
    <x v="0"/>
    <n v="2"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6"/>
    <x v="0"/>
    <n v="2"/>
    <x v="0"/>
  </r>
  <r>
    <x v="3"/>
    <x v="0"/>
    <s v="500"/>
    <x v="0"/>
  </r>
  <r>
    <x v="3"/>
    <x v="1"/>
    <s v="x"/>
    <x v="0"/>
  </r>
  <r>
    <x v="3"/>
    <x v="0"/>
    <n v="2"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2"/>
    <x v="0"/>
  </r>
  <r>
    <x v="2"/>
    <x v="0"/>
    <n v="500"/>
    <x v="0"/>
  </r>
  <r>
    <x v="2"/>
    <x v="1"/>
    <s v="x"/>
    <x v="0"/>
  </r>
  <r>
    <x v="2"/>
    <x v="0"/>
    <n v="2"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2"/>
    <x v="0"/>
  </r>
  <r>
    <x v="10"/>
    <x v="0"/>
    <s v="500"/>
    <x v="0"/>
  </r>
  <r>
    <x v="10"/>
    <x v="1"/>
    <s v="x"/>
    <x v="0"/>
  </r>
  <r>
    <x v="10"/>
    <x v="0"/>
    <n v="2"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2"/>
    <x v="0"/>
  </r>
  <r>
    <x v="2"/>
    <x v="0"/>
    <n v="500"/>
    <x v="0"/>
  </r>
  <r>
    <x v="2"/>
    <x v="1"/>
    <s v="x"/>
    <x v="0"/>
  </r>
  <r>
    <x v="2"/>
    <x v="0"/>
    <n v="1"/>
    <x v="0"/>
  </r>
  <r>
    <x v="2"/>
    <x v="2"/>
    <s v="x"/>
    <x v="0"/>
  </r>
  <r>
    <x v="2"/>
    <x v="0"/>
    <n v="1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2"/>
    <x v="0"/>
  </r>
  <r>
    <x v="10"/>
    <x v="0"/>
    <s v="500"/>
    <x v="0"/>
  </r>
  <r>
    <x v="10"/>
    <x v="1"/>
    <s v="x"/>
    <x v="0"/>
  </r>
  <r>
    <x v="10"/>
    <x v="0"/>
    <n v="2"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2"/>
    <x v="0"/>
  </r>
  <r>
    <x v="3"/>
    <x v="0"/>
    <s v="500"/>
    <x v="0"/>
  </r>
  <r>
    <x v="3"/>
    <x v="1"/>
    <s v="x"/>
    <x v="0"/>
  </r>
  <r>
    <x v="3"/>
    <x v="0"/>
    <n v="2"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2"/>
    <x v="0"/>
  </r>
  <r>
    <x v="7"/>
    <x v="0"/>
    <n v="500"/>
    <x v="0"/>
  </r>
  <r>
    <x v="7"/>
    <x v="1"/>
    <m/>
    <x v="0"/>
  </r>
  <r>
    <x v="7"/>
    <x v="0"/>
    <m/>
    <x v="0"/>
  </r>
  <r>
    <x v="7"/>
    <x v="2"/>
    <s v="x"/>
    <x v="0"/>
  </r>
  <r>
    <x v="7"/>
    <x v="0"/>
    <n v="2"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7"/>
    <x v="0"/>
    <n v="2"/>
    <x v="0"/>
  </r>
  <r>
    <x v="5"/>
    <x v="0"/>
    <n v="500"/>
    <x v="0"/>
  </r>
  <r>
    <x v="5"/>
    <x v="1"/>
    <s v="x"/>
    <x v="0"/>
  </r>
  <r>
    <x v="5"/>
    <x v="0"/>
    <n v="1"/>
    <x v="0"/>
  </r>
  <r>
    <x v="5"/>
    <x v="2"/>
    <s v="x"/>
    <x v="0"/>
  </r>
  <r>
    <x v="5"/>
    <x v="0"/>
    <n v="1"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n v="2"/>
    <x v="0"/>
  </r>
  <r>
    <x v="3"/>
    <x v="0"/>
    <s v="500"/>
    <x v="0"/>
  </r>
  <r>
    <x v="3"/>
    <x v="1"/>
    <s v="x"/>
    <x v="0"/>
  </r>
  <r>
    <x v="3"/>
    <x v="0"/>
    <n v="1"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1"/>
    <x v="0"/>
  </r>
  <r>
    <x v="3"/>
    <x v="0"/>
    <s v="500"/>
    <x v="0"/>
  </r>
  <r>
    <x v="3"/>
    <x v="1"/>
    <s v="x"/>
    <x v="0"/>
  </r>
  <r>
    <x v="3"/>
    <x v="0"/>
    <n v="1"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1"/>
    <x v="0"/>
  </r>
  <r>
    <x v="3"/>
    <x v="0"/>
    <s v="500"/>
    <x v="0"/>
  </r>
  <r>
    <x v="3"/>
    <x v="1"/>
    <s v="x"/>
    <x v="0"/>
  </r>
  <r>
    <x v="3"/>
    <x v="0"/>
    <n v="1"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1"/>
    <x v="0"/>
  </r>
  <r>
    <x v="5"/>
    <x v="0"/>
    <n v="500"/>
    <x v="0"/>
  </r>
  <r>
    <x v="5"/>
    <x v="1"/>
    <m/>
    <x v="0"/>
  </r>
  <r>
    <x v="5"/>
    <x v="0"/>
    <m/>
    <x v="0"/>
  </r>
  <r>
    <x v="5"/>
    <x v="2"/>
    <s v="x"/>
    <x v="0"/>
  </r>
  <r>
    <x v="5"/>
    <x v="0"/>
    <n v="1"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n v="1"/>
    <x v="0"/>
  </r>
  <r>
    <x v="4"/>
    <x v="0"/>
    <n v="500"/>
    <x v="0"/>
  </r>
  <r>
    <x v="4"/>
    <x v="1"/>
    <m/>
    <x v="0"/>
  </r>
  <r>
    <x v="4"/>
    <x v="0"/>
    <m/>
    <x v="0"/>
  </r>
  <r>
    <x v="4"/>
    <x v="2"/>
    <s v="x"/>
    <x v="0"/>
  </r>
  <r>
    <x v="4"/>
    <x v="0"/>
    <n v="1"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4"/>
    <x v="0"/>
    <n v="1"/>
    <x v="0"/>
  </r>
  <r>
    <x v="7"/>
    <x v="0"/>
    <n v="500"/>
    <x v="0"/>
  </r>
  <r>
    <x v="7"/>
    <x v="1"/>
    <m/>
    <x v="0"/>
  </r>
  <r>
    <x v="7"/>
    <x v="0"/>
    <m/>
    <x v="0"/>
  </r>
  <r>
    <x v="7"/>
    <x v="2"/>
    <s v="x"/>
    <x v="0"/>
  </r>
  <r>
    <x v="7"/>
    <x v="0"/>
    <n v="1"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7"/>
    <x v="0"/>
    <n v="1"/>
    <x v="0"/>
  </r>
  <r>
    <x v="3"/>
    <x v="0"/>
    <s v="500"/>
    <x v="0"/>
  </r>
  <r>
    <x v="3"/>
    <x v="1"/>
    <m/>
    <x v="0"/>
  </r>
  <r>
    <x v="3"/>
    <x v="0"/>
    <m/>
    <x v="0"/>
  </r>
  <r>
    <x v="3"/>
    <x v="2"/>
    <s v="x"/>
    <x v="0"/>
  </r>
  <r>
    <x v="3"/>
    <x v="0"/>
    <n v="1"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1"/>
    <x v="0"/>
  </r>
  <r>
    <x v="3"/>
    <x v="0"/>
    <s v="500"/>
    <x v="0"/>
  </r>
  <r>
    <x v="3"/>
    <x v="1"/>
    <s v="x"/>
    <x v="0"/>
  </r>
  <r>
    <x v="3"/>
    <x v="0"/>
    <n v="1"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1"/>
    <x v="0"/>
  </r>
  <r>
    <x v="2"/>
    <x v="0"/>
    <n v="500"/>
    <x v="0"/>
  </r>
  <r>
    <x v="2"/>
    <x v="1"/>
    <s v="x"/>
    <x v="0"/>
  </r>
  <r>
    <x v="2"/>
    <x v="0"/>
    <n v="1"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1"/>
    <x v="0"/>
  </r>
  <r>
    <x v="3"/>
    <x v="0"/>
    <s v="500"/>
    <x v="0"/>
  </r>
  <r>
    <x v="3"/>
    <x v="1"/>
    <s v="x"/>
    <x v="0"/>
  </r>
  <r>
    <x v="3"/>
    <x v="0"/>
    <n v="1"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1"/>
    <x v="0"/>
  </r>
  <r>
    <x v="10"/>
    <x v="0"/>
    <s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0"/>
    <x v="0"/>
  </r>
  <r>
    <x v="6"/>
    <x v="0"/>
    <n v="500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6"/>
    <x v="0"/>
    <n v="0"/>
    <x v="0"/>
  </r>
  <r>
    <x v="11"/>
    <x v="0"/>
    <n v="500"/>
    <x v="0"/>
  </r>
  <r>
    <x v="11"/>
    <x v="1"/>
    <m/>
    <x v="0"/>
  </r>
  <r>
    <x v="11"/>
    <x v="0"/>
    <m/>
    <x v="0"/>
  </r>
  <r>
    <x v="11"/>
    <x v="2"/>
    <m/>
    <x v="0"/>
  </r>
  <r>
    <x v="11"/>
    <x v="0"/>
    <m/>
    <x v="0"/>
  </r>
  <r>
    <x v="11"/>
    <x v="3"/>
    <m/>
    <x v="0"/>
  </r>
  <r>
    <x v="11"/>
    <x v="0"/>
    <m/>
    <x v="0"/>
  </r>
  <r>
    <x v="11"/>
    <x v="4"/>
    <m/>
    <x v="0"/>
  </r>
  <r>
    <x v="11"/>
    <x v="0"/>
    <m/>
    <x v="0"/>
  </r>
  <r>
    <x v="11"/>
    <x v="0"/>
    <n v="0"/>
    <x v="0"/>
  </r>
  <r>
    <x v="2"/>
    <x v="0"/>
    <n v="500"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0"/>
    <x v="0"/>
  </r>
  <r>
    <x v="3"/>
    <x v="0"/>
    <s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4"/>
    <x v="0"/>
    <n v="504"/>
    <x v="0"/>
  </r>
  <r>
    <x v="4"/>
    <x v="1"/>
    <m/>
    <x v="0"/>
  </r>
  <r>
    <x v="4"/>
    <x v="0"/>
    <m/>
    <x v="0"/>
  </r>
  <r>
    <x v="4"/>
    <x v="2"/>
    <m/>
    <x v="0"/>
  </r>
  <r>
    <x v="4"/>
    <x v="0"/>
    <m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4"/>
    <x v="0"/>
    <n v="0"/>
    <x v="0"/>
  </r>
  <r>
    <x v="10"/>
    <x v="0"/>
    <s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0"/>
    <x v="0"/>
  </r>
  <r>
    <x v="10"/>
    <x v="0"/>
    <s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0"/>
    <x v="0"/>
  </r>
  <r>
    <x v="3"/>
    <x v="0"/>
    <s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0"/>
    <x v="0"/>
  </r>
  <r>
    <x v="3"/>
    <x v="0"/>
    <s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10"/>
    <x v="0"/>
    <s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0"/>
    <x v="0"/>
  </r>
  <r>
    <x v="7"/>
    <x v="0"/>
    <n v="500"/>
    <x v="0"/>
  </r>
  <r>
    <x v="7"/>
    <x v="1"/>
    <m/>
    <x v="0"/>
  </r>
  <r>
    <x v="7"/>
    <x v="0"/>
    <m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7"/>
    <x v="0"/>
    <n v="0"/>
    <x v="0"/>
  </r>
  <r>
    <x v="7"/>
    <x v="0"/>
    <n v="500"/>
    <x v="0"/>
  </r>
  <r>
    <x v="7"/>
    <x v="1"/>
    <m/>
    <x v="0"/>
  </r>
  <r>
    <x v="7"/>
    <x v="0"/>
    <m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7"/>
    <x v="0"/>
    <n v="0"/>
    <x v="0"/>
  </r>
  <r>
    <x v="2"/>
    <x v="0"/>
    <n v="500"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0"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0"/>
    <x v="0"/>
  </r>
  <r>
    <x v="7"/>
    <x v="0"/>
    <n v="500"/>
    <x v="0"/>
  </r>
  <r>
    <x v="7"/>
    <x v="1"/>
    <m/>
    <x v="0"/>
  </r>
  <r>
    <x v="7"/>
    <x v="0"/>
    <m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7"/>
    <x v="0"/>
    <n v="0"/>
    <x v="0"/>
  </r>
  <r>
    <x v="3"/>
    <x v="0"/>
    <s v="532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10"/>
    <x v="0"/>
    <s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0"/>
    <x v="0"/>
  </r>
  <r>
    <x v="6"/>
    <x v="0"/>
    <n v="500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6"/>
    <x v="0"/>
    <n v="0"/>
    <x v="0"/>
  </r>
  <r>
    <x v="6"/>
    <x v="0"/>
    <n v="500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6"/>
    <x v="0"/>
    <n v="0"/>
    <x v="0"/>
  </r>
  <r>
    <x v="10"/>
    <x v="0"/>
    <s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0"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0"/>
    <x v="0"/>
  </r>
  <r>
    <x v="2"/>
    <x v="0"/>
    <n v="500"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0"/>
    <x v="0"/>
  </r>
  <r>
    <x v="3"/>
    <x v="0"/>
    <s v="519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6"/>
    <x v="0"/>
    <n v="500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6"/>
    <x v="0"/>
    <n v="0"/>
    <x v="0"/>
  </r>
  <r>
    <x v="10"/>
    <x v="0"/>
    <s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0"/>
    <x v="0"/>
  </r>
  <r>
    <x v="3"/>
    <x v="0"/>
    <s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7"/>
    <x v="0"/>
    <n v="500"/>
    <x v="0"/>
  </r>
  <r>
    <x v="7"/>
    <x v="1"/>
    <m/>
    <x v="0"/>
  </r>
  <r>
    <x v="7"/>
    <x v="0"/>
    <m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7"/>
    <x v="0"/>
    <n v="0"/>
    <x v="0"/>
  </r>
  <r>
    <x v="7"/>
    <x v="0"/>
    <n v="500"/>
    <x v="0"/>
  </r>
  <r>
    <x v="7"/>
    <x v="1"/>
    <m/>
    <x v="0"/>
  </r>
  <r>
    <x v="7"/>
    <x v="0"/>
    <m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7"/>
    <x v="0"/>
    <n v="0"/>
    <x v="0"/>
  </r>
  <r>
    <x v="6"/>
    <x v="0"/>
    <n v="500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6"/>
    <x v="0"/>
    <n v="0"/>
    <x v="0"/>
  </r>
  <r>
    <x v="2"/>
    <x v="0"/>
    <n v="500"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0"/>
    <x v="0"/>
  </r>
  <r>
    <x v="2"/>
    <x v="0"/>
    <n v="500"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0"/>
    <x v="0"/>
  </r>
  <r>
    <x v="3"/>
    <x v="0"/>
    <s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3"/>
    <x v="0"/>
    <s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5"/>
    <x v="0"/>
    <n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n v="0"/>
    <x v="0"/>
  </r>
  <r>
    <x v="7"/>
    <x v="0"/>
    <n v="500"/>
    <x v="0"/>
  </r>
  <r>
    <x v="7"/>
    <x v="1"/>
    <m/>
    <x v="0"/>
  </r>
  <r>
    <x v="7"/>
    <x v="0"/>
    <m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7"/>
    <x v="0"/>
    <n v="0"/>
    <x v="0"/>
  </r>
  <r>
    <x v="10"/>
    <x v="0"/>
    <s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0"/>
    <x v="0"/>
  </r>
  <r>
    <x v="10"/>
    <x v="0"/>
    <s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0"/>
    <x v="0"/>
  </r>
  <r>
    <x v="3"/>
    <x v="0"/>
    <s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2"/>
    <x v="0"/>
    <n v="500"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0"/>
    <x v="0"/>
  </r>
  <r>
    <x v="6"/>
    <x v="0"/>
    <n v="500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6"/>
    <x v="0"/>
    <n v="0"/>
    <x v="0"/>
  </r>
  <r>
    <x v="3"/>
    <x v="0"/>
    <s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10"/>
    <x v="0"/>
    <s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0"/>
    <x v="0"/>
  </r>
  <r>
    <x v="3"/>
    <x v="0"/>
    <s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0"/>
    <x v="0"/>
  </r>
  <r>
    <x v="10"/>
    <x v="0"/>
    <s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0"/>
    <x v="0"/>
  </r>
  <r>
    <x v="2"/>
    <x v="0"/>
    <n v="500"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0"/>
    <x v="0"/>
  </r>
  <r>
    <x v="3"/>
    <x v="0"/>
    <s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2"/>
    <x v="0"/>
    <n v="500"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0"/>
    <x v="0"/>
  </r>
  <r>
    <x v="10"/>
    <x v="0"/>
    <s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0"/>
    <x v="0"/>
  </r>
  <r>
    <x v="3"/>
    <x v="0"/>
    <s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3"/>
    <x v="0"/>
    <s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2"/>
    <x v="0"/>
    <n v="500"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0"/>
    <x v="0"/>
  </r>
  <r>
    <x v="3"/>
    <x v="0"/>
    <s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0"/>
    <x v="0"/>
  </r>
  <r>
    <x v="11"/>
    <x v="0"/>
    <n v="500"/>
    <x v="0"/>
  </r>
  <r>
    <x v="11"/>
    <x v="1"/>
    <m/>
    <x v="0"/>
  </r>
  <r>
    <x v="11"/>
    <x v="0"/>
    <m/>
    <x v="0"/>
  </r>
  <r>
    <x v="11"/>
    <x v="2"/>
    <m/>
    <x v="0"/>
  </r>
  <r>
    <x v="11"/>
    <x v="0"/>
    <m/>
    <x v="0"/>
  </r>
  <r>
    <x v="11"/>
    <x v="3"/>
    <m/>
    <x v="0"/>
  </r>
  <r>
    <x v="11"/>
    <x v="0"/>
    <m/>
    <x v="0"/>
  </r>
  <r>
    <x v="11"/>
    <x v="4"/>
    <m/>
    <x v="0"/>
  </r>
  <r>
    <x v="11"/>
    <x v="0"/>
    <m/>
    <x v="0"/>
  </r>
  <r>
    <x v="11"/>
    <x v="0"/>
    <n v="0"/>
    <x v="0"/>
  </r>
  <r>
    <x v="3"/>
    <x v="0"/>
    <s v="502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3"/>
    <x v="0"/>
    <s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11"/>
    <x v="0"/>
    <n v="500"/>
    <x v="0"/>
  </r>
  <r>
    <x v="11"/>
    <x v="1"/>
    <m/>
    <x v="0"/>
  </r>
  <r>
    <x v="11"/>
    <x v="0"/>
    <m/>
    <x v="0"/>
  </r>
  <r>
    <x v="11"/>
    <x v="2"/>
    <m/>
    <x v="0"/>
  </r>
  <r>
    <x v="11"/>
    <x v="0"/>
    <m/>
    <x v="0"/>
  </r>
  <r>
    <x v="11"/>
    <x v="3"/>
    <m/>
    <x v="0"/>
  </r>
  <r>
    <x v="11"/>
    <x v="0"/>
    <m/>
    <x v="0"/>
  </r>
  <r>
    <x v="11"/>
    <x v="4"/>
    <m/>
    <x v="0"/>
  </r>
  <r>
    <x v="11"/>
    <x v="0"/>
    <m/>
    <x v="0"/>
  </r>
  <r>
    <x v="11"/>
    <x v="0"/>
    <n v="0"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0"/>
    <x v="0"/>
  </r>
  <r>
    <x v="10"/>
    <x v="0"/>
    <s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0"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0"/>
    <x v="0"/>
  </r>
  <r>
    <x v="5"/>
    <x v="0"/>
    <n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n v="0"/>
    <x v="0"/>
  </r>
  <r>
    <x v="4"/>
    <x v="0"/>
    <n v="500"/>
    <x v="0"/>
  </r>
  <r>
    <x v="4"/>
    <x v="1"/>
    <m/>
    <x v="0"/>
  </r>
  <r>
    <x v="4"/>
    <x v="0"/>
    <m/>
    <x v="0"/>
  </r>
  <r>
    <x v="4"/>
    <x v="2"/>
    <m/>
    <x v="0"/>
  </r>
  <r>
    <x v="4"/>
    <x v="0"/>
    <m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4"/>
    <x v="0"/>
    <n v="0"/>
    <x v="0"/>
  </r>
  <r>
    <x v="3"/>
    <x v="0"/>
    <s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3"/>
    <x v="0"/>
    <s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2"/>
    <x v="0"/>
    <n v="500"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0"/>
    <x v="0"/>
  </r>
  <r>
    <x v="7"/>
    <x v="0"/>
    <n v="500"/>
    <x v="0"/>
  </r>
  <r>
    <x v="7"/>
    <x v="1"/>
    <m/>
    <x v="0"/>
  </r>
  <r>
    <x v="7"/>
    <x v="0"/>
    <m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7"/>
    <x v="0"/>
    <n v="0"/>
    <x v="0"/>
  </r>
  <r>
    <x v="4"/>
    <x v="0"/>
    <n v="526"/>
    <x v="0"/>
  </r>
  <r>
    <x v="4"/>
    <x v="1"/>
    <m/>
    <x v="0"/>
  </r>
  <r>
    <x v="4"/>
    <x v="0"/>
    <m/>
    <x v="0"/>
  </r>
  <r>
    <x v="4"/>
    <x v="2"/>
    <m/>
    <x v="0"/>
  </r>
  <r>
    <x v="4"/>
    <x v="0"/>
    <m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4"/>
    <x v="0"/>
    <n v="0"/>
    <x v="0"/>
  </r>
  <r>
    <x v="2"/>
    <x v="0"/>
    <n v="500"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0"/>
    <x v="0"/>
  </r>
  <r>
    <x v="11"/>
    <x v="0"/>
    <n v="500"/>
    <x v="0"/>
  </r>
  <r>
    <x v="11"/>
    <x v="1"/>
    <m/>
    <x v="0"/>
  </r>
  <r>
    <x v="11"/>
    <x v="0"/>
    <m/>
    <x v="0"/>
  </r>
  <r>
    <x v="11"/>
    <x v="2"/>
    <m/>
    <x v="0"/>
  </r>
  <r>
    <x v="11"/>
    <x v="0"/>
    <m/>
    <x v="0"/>
  </r>
  <r>
    <x v="11"/>
    <x v="3"/>
    <m/>
    <x v="0"/>
  </r>
  <r>
    <x v="11"/>
    <x v="0"/>
    <m/>
    <x v="0"/>
  </r>
  <r>
    <x v="11"/>
    <x v="4"/>
    <m/>
    <x v="0"/>
  </r>
  <r>
    <x v="11"/>
    <x v="0"/>
    <m/>
    <x v="0"/>
  </r>
  <r>
    <x v="11"/>
    <x v="0"/>
    <n v="0"/>
    <x v="0"/>
  </r>
  <r>
    <x v="7"/>
    <x v="0"/>
    <n v="500"/>
    <x v="0"/>
  </r>
  <r>
    <x v="7"/>
    <x v="1"/>
    <m/>
    <x v="0"/>
  </r>
  <r>
    <x v="7"/>
    <x v="0"/>
    <m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7"/>
    <x v="0"/>
    <n v="0"/>
    <x v="0"/>
  </r>
  <r>
    <x v="10"/>
    <x v="0"/>
    <s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0"/>
    <x v="0"/>
  </r>
  <r>
    <x v="3"/>
    <x v="0"/>
    <s v="848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7"/>
    <x v="0"/>
    <n v="500"/>
    <x v="0"/>
  </r>
  <r>
    <x v="7"/>
    <x v="1"/>
    <m/>
    <x v="0"/>
  </r>
  <r>
    <x v="7"/>
    <x v="0"/>
    <m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7"/>
    <x v="0"/>
    <n v="0"/>
    <x v="0"/>
  </r>
  <r>
    <x v="2"/>
    <x v="0"/>
    <n v="678"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0"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0"/>
    <x v="0"/>
  </r>
  <r>
    <x v="6"/>
    <x v="0"/>
    <n v="500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6"/>
    <x v="0"/>
    <n v="0"/>
    <x v="0"/>
  </r>
  <r>
    <x v="2"/>
    <x v="0"/>
    <n v="500"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0"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0"/>
    <x v="0"/>
  </r>
  <r>
    <x v="2"/>
    <x v="0"/>
    <n v="500"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0"/>
    <x v="0"/>
  </r>
  <r>
    <x v="3"/>
    <x v="0"/>
    <s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4"/>
    <x v="0"/>
    <n v="513"/>
    <x v="0"/>
  </r>
  <r>
    <x v="4"/>
    <x v="1"/>
    <m/>
    <x v="0"/>
  </r>
  <r>
    <x v="4"/>
    <x v="0"/>
    <m/>
    <x v="0"/>
  </r>
  <r>
    <x v="4"/>
    <x v="2"/>
    <m/>
    <x v="0"/>
  </r>
  <r>
    <x v="4"/>
    <x v="0"/>
    <m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4"/>
    <x v="0"/>
    <n v="0"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0"/>
    <x v="0"/>
  </r>
  <r>
    <x v="4"/>
    <x v="0"/>
    <n v="500"/>
    <x v="0"/>
  </r>
  <r>
    <x v="4"/>
    <x v="1"/>
    <m/>
    <x v="0"/>
  </r>
  <r>
    <x v="4"/>
    <x v="0"/>
    <m/>
    <x v="0"/>
  </r>
  <r>
    <x v="4"/>
    <x v="2"/>
    <m/>
    <x v="0"/>
  </r>
  <r>
    <x v="4"/>
    <x v="0"/>
    <m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4"/>
    <x v="0"/>
    <n v="0"/>
    <x v="0"/>
  </r>
  <r>
    <x v="3"/>
    <x v="0"/>
    <s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12"/>
    <x v="0"/>
    <m/>
    <x v="0"/>
  </r>
  <r>
    <x v="12"/>
    <x v="1"/>
    <m/>
    <x v="0"/>
  </r>
  <r>
    <x v="12"/>
    <x v="0"/>
    <m/>
    <x v="0"/>
  </r>
  <r>
    <x v="12"/>
    <x v="2"/>
    <m/>
    <x v="0"/>
  </r>
  <r>
    <x v="12"/>
    <x v="0"/>
    <m/>
    <x v="0"/>
  </r>
  <r>
    <x v="12"/>
    <x v="3"/>
    <m/>
    <x v="0"/>
  </r>
  <r>
    <x v="12"/>
    <x v="0"/>
    <m/>
    <x v="0"/>
  </r>
  <r>
    <x v="12"/>
    <x v="4"/>
    <m/>
    <x v="0"/>
  </r>
  <r>
    <x v="12"/>
    <x v="0"/>
    <m/>
    <x v="0"/>
  </r>
  <r>
    <x v="12"/>
    <x v="0"/>
    <n v="0"/>
    <x v="0"/>
  </r>
  <r>
    <x v="2"/>
    <x v="0"/>
    <m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0"/>
    <x v="0"/>
  </r>
  <r>
    <x v="8"/>
    <x v="0"/>
    <m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0"/>
    <x v="0"/>
  </r>
  <r>
    <x v="6"/>
    <x v="0"/>
    <m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6"/>
    <x v="0"/>
    <n v="0"/>
    <x v="0"/>
  </r>
  <r>
    <x v="3"/>
    <x v="0"/>
    <m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11"/>
    <x v="0"/>
    <m/>
    <x v="0"/>
  </r>
  <r>
    <x v="11"/>
    <x v="1"/>
    <m/>
    <x v="0"/>
  </r>
  <r>
    <x v="11"/>
    <x v="0"/>
    <m/>
    <x v="0"/>
  </r>
  <r>
    <x v="11"/>
    <x v="2"/>
    <m/>
    <x v="0"/>
  </r>
  <r>
    <x v="11"/>
    <x v="0"/>
    <m/>
    <x v="0"/>
  </r>
  <r>
    <x v="11"/>
    <x v="3"/>
    <m/>
    <x v="0"/>
  </r>
  <r>
    <x v="11"/>
    <x v="0"/>
    <m/>
    <x v="0"/>
  </r>
  <r>
    <x v="11"/>
    <x v="4"/>
    <m/>
    <x v="0"/>
  </r>
  <r>
    <x v="11"/>
    <x v="0"/>
    <m/>
    <x v="0"/>
  </r>
  <r>
    <x v="11"/>
    <x v="0"/>
    <n v="0"/>
    <x v="0"/>
  </r>
  <r>
    <x v="5"/>
    <x v="0"/>
    <m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n v="0"/>
    <x v="0"/>
  </r>
  <r>
    <x v="10"/>
    <x v="0"/>
    <m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0"/>
    <x v="0"/>
  </r>
  <r>
    <x v="9"/>
    <x v="0"/>
    <m/>
    <x v="0"/>
  </r>
  <r>
    <x v="9"/>
    <x v="1"/>
    <m/>
    <x v="0"/>
  </r>
  <r>
    <x v="9"/>
    <x v="0"/>
    <m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9"/>
    <x v="0"/>
    <n v="0"/>
    <x v="0"/>
  </r>
  <r>
    <x v="4"/>
    <x v="0"/>
    <m/>
    <x v="0"/>
  </r>
  <r>
    <x v="4"/>
    <x v="1"/>
    <m/>
    <x v="0"/>
  </r>
  <r>
    <x v="4"/>
    <x v="0"/>
    <m/>
    <x v="0"/>
  </r>
  <r>
    <x v="4"/>
    <x v="2"/>
    <m/>
    <x v="0"/>
  </r>
  <r>
    <x v="4"/>
    <x v="0"/>
    <m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4"/>
    <x v="0"/>
    <n v="0"/>
    <x v="0"/>
  </r>
  <r>
    <x v="7"/>
    <x v="0"/>
    <m/>
    <x v="0"/>
  </r>
  <r>
    <x v="7"/>
    <x v="1"/>
    <m/>
    <x v="0"/>
  </r>
  <r>
    <x v="7"/>
    <x v="0"/>
    <m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7"/>
    <x v="0"/>
    <n v="0"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n v="0"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n v="0"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n v="0"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n v="0"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n v="0"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n v="0"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n v="0"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n v="0"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n v="0"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n v="0"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n v="0"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n v="0"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n v="0"/>
    <x v="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6">
  <r>
    <x v="0"/>
    <x v="0"/>
    <x v="0"/>
    <x v="0"/>
  </r>
  <r>
    <x v="0"/>
    <x v="1"/>
    <x v="1"/>
    <x v="0"/>
  </r>
  <r>
    <x v="0"/>
    <x v="0"/>
    <x v="0"/>
    <x v="0"/>
  </r>
  <r>
    <x v="0"/>
    <x v="2"/>
    <x v="2"/>
    <x v="0"/>
  </r>
  <r>
    <x v="0"/>
    <x v="0"/>
    <x v="0"/>
    <x v="0"/>
  </r>
  <r>
    <x v="0"/>
    <x v="3"/>
    <x v="3"/>
    <x v="0"/>
  </r>
  <r>
    <x v="0"/>
    <x v="0"/>
    <x v="0"/>
    <x v="0"/>
  </r>
  <r>
    <x v="0"/>
    <x v="4"/>
    <x v="4"/>
    <x v="0"/>
  </r>
  <r>
    <x v="0"/>
    <x v="0"/>
    <x v="0"/>
    <x v="0"/>
  </r>
  <r>
    <x v="0"/>
    <x v="0"/>
    <x v="0"/>
    <x v="0"/>
  </r>
  <r>
    <x v="0"/>
    <x v="1"/>
    <x v="0"/>
    <x v="0"/>
  </r>
  <r>
    <x v="0"/>
    <x v="0"/>
    <x v="0"/>
    <x v="0"/>
  </r>
  <r>
    <x v="0"/>
    <x v="2"/>
    <x v="0"/>
    <x v="0"/>
  </r>
  <r>
    <x v="0"/>
    <x v="0"/>
    <x v="0"/>
    <x v="0"/>
  </r>
  <r>
    <x v="0"/>
    <x v="3"/>
    <x v="0"/>
    <x v="0"/>
  </r>
  <r>
    <x v="0"/>
    <x v="0"/>
    <x v="0"/>
    <x v="0"/>
  </r>
  <r>
    <x v="0"/>
    <x v="4"/>
    <x v="0"/>
    <x v="0"/>
  </r>
  <r>
    <x v="0"/>
    <x v="0"/>
    <x v="0"/>
    <x v="0"/>
  </r>
  <r>
    <x v="1"/>
    <x v="0"/>
    <x v="5"/>
    <x v="0"/>
  </r>
  <r>
    <x v="1"/>
    <x v="1"/>
    <x v="6"/>
    <x v="0"/>
  </r>
  <r>
    <x v="1"/>
    <x v="0"/>
    <x v="7"/>
    <x v="0"/>
  </r>
  <r>
    <x v="1"/>
    <x v="2"/>
    <x v="8"/>
    <x v="0"/>
  </r>
  <r>
    <x v="1"/>
    <x v="0"/>
    <x v="9"/>
    <x v="0"/>
  </r>
  <r>
    <x v="1"/>
    <x v="3"/>
    <x v="10"/>
    <x v="0"/>
  </r>
  <r>
    <x v="1"/>
    <x v="0"/>
    <x v="11"/>
    <x v="0"/>
  </r>
  <r>
    <x v="1"/>
    <x v="4"/>
    <x v="12"/>
    <x v="0"/>
  </r>
  <r>
    <x v="1"/>
    <x v="0"/>
    <x v="13"/>
    <x v="0"/>
  </r>
  <r>
    <x v="2"/>
    <x v="0"/>
    <x v="0"/>
    <x v="0"/>
  </r>
  <r>
    <x v="2"/>
    <x v="1"/>
    <x v="0"/>
    <x v="0"/>
  </r>
  <r>
    <x v="2"/>
    <x v="0"/>
    <x v="0"/>
    <x v="0"/>
  </r>
  <r>
    <x v="2"/>
    <x v="2"/>
    <x v="0"/>
    <x v="0"/>
  </r>
  <r>
    <x v="2"/>
    <x v="0"/>
    <x v="0"/>
    <x v="0"/>
  </r>
  <r>
    <x v="2"/>
    <x v="3"/>
    <x v="0"/>
    <x v="0"/>
  </r>
  <r>
    <x v="2"/>
    <x v="0"/>
    <x v="0"/>
    <x v="0"/>
  </r>
  <r>
    <x v="2"/>
    <x v="4"/>
    <x v="0"/>
    <x v="0"/>
  </r>
  <r>
    <x v="2"/>
    <x v="0"/>
    <x v="0"/>
    <x v="0"/>
  </r>
  <r>
    <x v="3"/>
    <x v="0"/>
    <x v="14"/>
    <x v="0"/>
  </r>
  <r>
    <x v="3"/>
    <x v="1"/>
    <x v="15"/>
    <x v="0"/>
  </r>
  <r>
    <x v="3"/>
    <x v="0"/>
    <x v="16"/>
    <x v="0"/>
  </r>
  <r>
    <x v="3"/>
    <x v="2"/>
    <x v="15"/>
    <x v="0"/>
  </r>
  <r>
    <x v="3"/>
    <x v="0"/>
    <x v="16"/>
    <x v="0"/>
  </r>
  <r>
    <x v="3"/>
    <x v="3"/>
    <x v="0"/>
    <x v="0"/>
  </r>
  <r>
    <x v="3"/>
    <x v="0"/>
    <x v="0"/>
    <x v="0"/>
  </r>
  <r>
    <x v="3"/>
    <x v="4"/>
    <x v="0"/>
    <x v="0"/>
  </r>
  <r>
    <x v="3"/>
    <x v="0"/>
    <x v="0"/>
    <x v="0"/>
  </r>
  <r>
    <x v="4"/>
    <x v="0"/>
    <x v="14"/>
    <x v="0"/>
  </r>
  <r>
    <x v="4"/>
    <x v="1"/>
    <x v="15"/>
    <x v="0"/>
  </r>
  <r>
    <x v="4"/>
    <x v="0"/>
    <x v="17"/>
    <x v="0"/>
  </r>
  <r>
    <x v="4"/>
    <x v="2"/>
    <x v="15"/>
    <x v="0"/>
  </r>
  <r>
    <x v="4"/>
    <x v="0"/>
    <x v="18"/>
    <x v="0"/>
  </r>
  <r>
    <x v="4"/>
    <x v="3"/>
    <x v="0"/>
    <x v="0"/>
  </r>
  <r>
    <x v="4"/>
    <x v="0"/>
    <x v="0"/>
    <x v="0"/>
  </r>
  <r>
    <x v="4"/>
    <x v="4"/>
    <x v="0"/>
    <x v="0"/>
  </r>
  <r>
    <x v="4"/>
    <x v="0"/>
    <x v="0"/>
    <x v="0"/>
  </r>
  <r>
    <x v="5"/>
    <x v="0"/>
    <x v="14"/>
    <x v="0"/>
  </r>
  <r>
    <x v="5"/>
    <x v="1"/>
    <x v="15"/>
    <x v="0"/>
  </r>
  <r>
    <x v="5"/>
    <x v="0"/>
    <x v="18"/>
    <x v="0"/>
  </r>
  <r>
    <x v="5"/>
    <x v="2"/>
    <x v="15"/>
    <x v="0"/>
  </r>
  <r>
    <x v="5"/>
    <x v="0"/>
    <x v="19"/>
    <x v="0"/>
  </r>
  <r>
    <x v="5"/>
    <x v="3"/>
    <x v="0"/>
    <x v="0"/>
  </r>
  <r>
    <x v="5"/>
    <x v="0"/>
    <x v="0"/>
    <x v="0"/>
  </r>
  <r>
    <x v="5"/>
    <x v="4"/>
    <x v="0"/>
    <x v="0"/>
  </r>
  <r>
    <x v="5"/>
    <x v="0"/>
    <x v="0"/>
    <x v="0"/>
  </r>
  <r>
    <x v="3"/>
    <x v="0"/>
    <x v="14"/>
    <x v="0"/>
  </r>
  <r>
    <x v="3"/>
    <x v="1"/>
    <x v="15"/>
    <x v="0"/>
  </r>
  <r>
    <x v="3"/>
    <x v="0"/>
    <x v="18"/>
    <x v="0"/>
  </r>
  <r>
    <x v="3"/>
    <x v="2"/>
    <x v="0"/>
    <x v="0"/>
  </r>
  <r>
    <x v="3"/>
    <x v="0"/>
    <x v="0"/>
    <x v="0"/>
  </r>
  <r>
    <x v="3"/>
    <x v="3"/>
    <x v="0"/>
    <x v="0"/>
  </r>
  <r>
    <x v="3"/>
    <x v="0"/>
    <x v="0"/>
    <x v="0"/>
  </r>
  <r>
    <x v="3"/>
    <x v="4"/>
    <x v="0"/>
    <x v="0"/>
  </r>
  <r>
    <x v="3"/>
    <x v="0"/>
    <x v="0"/>
    <x v="0"/>
  </r>
  <r>
    <x v="4"/>
    <x v="0"/>
    <x v="14"/>
    <x v="0"/>
  </r>
  <r>
    <x v="4"/>
    <x v="1"/>
    <x v="15"/>
    <x v="0"/>
  </r>
  <r>
    <x v="4"/>
    <x v="0"/>
    <x v="19"/>
    <x v="0"/>
  </r>
  <r>
    <x v="4"/>
    <x v="2"/>
    <x v="0"/>
    <x v="0"/>
  </r>
  <r>
    <x v="4"/>
    <x v="0"/>
    <x v="0"/>
    <x v="0"/>
  </r>
  <r>
    <x v="4"/>
    <x v="3"/>
    <x v="0"/>
    <x v="0"/>
  </r>
  <r>
    <x v="4"/>
    <x v="0"/>
    <x v="0"/>
    <x v="0"/>
  </r>
  <r>
    <x v="4"/>
    <x v="4"/>
    <x v="0"/>
    <x v="0"/>
  </r>
  <r>
    <x v="4"/>
    <x v="0"/>
    <x v="0"/>
    <x v="0"/>
  </r>
  <r>
    <x v="6"/>
    <x v="0"/>
    <x v="14"/>
    <x v="0"/>
  </r>
  <r>
    <x v="6"/>
    <x v="1"/>
    <x v="15"/>
    <x v="0"/>
  </r>
  <r>
    <x v="6"/>
    <x v="0"/>
    <x v="19"/>
    <x v="0"/>
  </r>
  <r>
    <x v="6"/>
    <x v="2"/>
    <x v="15"/>
    <x v="0"/>
  </r>
  <r>
    <x v="6"/>
    <x v="0"/>
    <x v="20"/>
    <x v="0"/>
  </r>
  <r>
    <x v="6"/>
    <x v="3"/>
    <x v="0"/>
    <x v="0"/>
  </r>
  <r>
    <x v="6"/>
    <x v="0"/>
    <x v="0"/>
    <x v="0"/>
  </r>
  <r>
    <x v="6"/>
    <x v="4"/>
    <x v="0"/>
    <x v="0"/>
  </r>
  <r>
    <x v="6"/>
    <x v="0"/>
    <x v="0"/>
    <x v="0"/>
  </r>
  <r>
    <x v="3"/>
    <x v="0"/>
    <x v="14"/>
    <x v="0"/>
  </r>
  <r>
    <x v="3"/>
    <x v="1"/>
    <x v="15"/>
    <x v="0"/>
  </r>
  <r>
    <x v="3"/>
    <x v="0"/>
    <x v="19"/>
    <x v="0"/>
  </r>
  <r>
    <x v="3"/>
    <x v="2"/>
    <x v="15"/>
    <x v="0"/>
  </r>
  <r>
    <x v="3"/>
    <x v="0"/>
    <x v="21"/>
    <x v="0"/>
  </r>
  <r>
    <x v="3"/>
    <x v="3"/>
    <x v="0"/>
    <x v="0"/>
  </r>
  <r>
    <x v="3"/>
    <x v="0"/>
    <x v="0"/>
    <x v="0"/>
  </r>
  <r>
    <x v="3"/>
    <x v="4"/>
    <x v="0"/>
    <x v="0"/>
  </r>
  <r>
    <x v="3"/>
    <x v="0"/>
    <x v="0"/>
    <x v="0"/>
  </r>
  <r>
    <x v="7"/>
    <x v="0"/>
    <x v="14"/>
    <x v="0"/>
  </r>
  <r>
    <x v="7"/>
    <x v="1"/>
    <x v="15"/>
    <x v="0"/>
  </r>
  <r>
    <x v="7"/>
    <x v="0"/>
    <x v="20"/>
    <x v="0"/>
  </r>
  <r>
    <x v="7"/>
    <x v="2"/>
    <x v="0"/>
    <x v="0"/>
  </r>
  <r>
    <x v="7"/>
    <x v="0"/>
    <x v="0"/>
    <x v="0"/>
  </r>
  <r>
    <x v="7"/>
    <x v="3"/>
    <x v="0"/>
    <x v="0"/>
  </r>
  <r>
    <x v="7"/>
    <x v="0"/>
    <x v="0"/>
    <x v="0"/>
  </r>
  <r>
    <x v="7"/>
    <x v="4"/>
    <x v="0"/>
    <x v="0"/>
  </r>
  <r>
    <x v="7"/>
    <x v="0"/>
    <x v="0"/>
    <x v="0"/>
  </r>
  <r>
    <x v="8"/>
    <x v="0"/>
    <x v="14"/>
    <x v="0"/>
  </r>
  <r>
    <x v="8"/>
    <x v="1"/>
    <x v="15"/>
    <x v="0"/>
  </r>
  <r>
    <x v="8"/>
    <x v="0"/>
    <x v="21"/>
    <x v="0"/>
  </r>
  <r>
    <x v="8"/>
    <x v="2"/>
    <x v="0"/>
    <x v="0"/>
  </r>
  <r>
    <x v="8"/>
    <x v="0"/>
    <x v="0"/>
    <x v="0"/>
  </r>
  <r>
    <x v="8"/>
    <x v="3"/>
    <x v="0"/>
    <x v="0"/>
  </r>
  <r>
    <x v="8"/>
    <x v="0"/>
    <x v="0"/>
    <x v="0"/>
  </r>
  <r>
    <x v="8"/>
    <x v="4"/>
    <x v="0"/>
    <x v="0"/>
  </r>
  <r>
    <x v="8"/>
    <x v="0"/>
    <x v="0"/>
    <x v="0"/>
  </r>
  <r>
    <x v="5"/>
    <x v="0"/>
    <x v="22"/>
    <x v="0"/>
  </r>
  <r>
    <x v="5"/>
    <x v="1"/>
    <x v="0"/>
    <x v="0"/>
  </r>
  <r>
    <x v="5"/>
    <x v="0"/>
    <x v="0"/>
    <x v="0"/>
  </r>
  <r>
    <x v="5"/>
    <x v="2"/>
    <x v="0"/>
    <x v="0"/>
  </r>
  <r>
    <x v="5"/>
    <x v="0"/>
    <x v="0"/>
    <x v="0"/>
  </r>
  <r>
    <x v="5"/>
    <x v="3"/>
    <x v="0"/>
    <x v="0"/>
  </r>
  <r>
    <x v="5"/>
    <x v="0"/>
    <x v="0"/>
    <x v="0"/>
  </r>
  <r>
    <x v="5"/>
    <x v="4"/>
    <x v="0"/>
    <x v="0"/>
  </r>
  <r>
    <x v="5"/>
    <x v="0"/>
    <x v="0"/>
    <x v="0"/>
  </r>
  <r>
    <x v="5"/>
    <x v="0"/>
    <x v="22"/>
    <x v="0"/>
  </r>
  <r>
    <x v="5"/>
    <x v="1"/>
    <x v="0"/>
    <x v="0"/>
  </r>
  <r>
    <x v="5"/>
    <x v="0"/>
    <x v="0"/>
    <x v="0"/>
  </r>
  <r>
    <x v="5"/>
    <x v="2"/>
    <x v="0"/>
    <x v="0"/>
  </r>
  <r>
    <x v="5"/>
    <x v="0"/>
    <x v="0"/>
    <x v="0"/>
  </r>
  <r>
    <x v="5"/>
    <x v="3"/>
    <x v="0"/>
    <x v="0"/>
  </r>
  <r>
    <x v="5"/>
    <x v="0"/>
    <x v="0"/>
    <x v="0"/>
  </r>
  <r>
    <x v="5"/>
    <x v="4"/>
    <x v="0"/>
    <x v="0"/>
  </r>
  <r>
    <x v="5"/>
    <x v="0"/>
    <x v="0"/>
    <x v="0"/>
  </r>
  <r>
    <x v="5"/>
    <x v="0"/>
    <x v="22"/>
    <x v="0"/>
  </r>
  <r>
    <x v="5"/>
    <x v="1"/>
    <x v="0"/>
    <x v="0"/>
  </r>
  <r>
    <x v="5"/>
    <x v="0"/>
    <x v="0"/>
    <x v="0"/>
  </r>
  <r>
    <x v="5"/>
    <x v="2"/>
    <x v="0"/>
    <x v="0"/>
  </r>
  <r>
    <x v="5"/>
    <x v="0"/>
    <x v="0"/>
    <x v="0"/>
  </r>
  <r>
    <x v="5"/>
    <x v="3"/>
    <x v="0"/>
    <x v="0"/>
  </r>
  <r>
    <x v="5"/>
    <x v="0"/>
    <x v="0"/>
    <x v="0"/>
  </r>
  <r>
    <x v="5"/>
    <x v="4"/>
    <x v="0"/>
    <x v="0"/>
  </r>
  <r>
    <x v="5"/>
    <x v="0"/>
    <x v="0"/>
    <x v="0"/>
  </r>
  <r>
    <x v="9"/>
    <x v="0"/>
    <x v="22"/>
    <x v="0"/>
  </r>
  <r>
    <x v="9"/>
    <x v="1"/>
    <x v="0"/>
    <x v="0"/>
  </r>
  <r>
    <x v="9"/>
    <x v="0"/>
    <x v="0"/>
    <x v="0"/>
  </r>
  <r>
    <x v="9"/>
    <x v="2"/>
    <x v="0"/>
    <x v="0"/>
  </r>
  <r>
    <x v="9"/>
    <x v="0"/>
    <x v="0"/>
    <x v="0"/>
  </r>
  <r>
    <x v="9"/>
    <x v="3"/>
    <x v="0"/>
    <x v="0"/>
  </r>
  <r>
    <x v="9"/>
    <x v="0"/>
    <x v="0"/>
    <x v="0"/>
  </r>
  <r>
    <x v="9"/>
    <x v="4"/>
    <x v="0"/>
    <x v="0"/>
  </r>
  <r>
    <x v="9"/>
    <x v="0"/>
    <x v="0"/>
    <x v="0"/>
  </r>
  <r>
    <x v="5"/>
    <x v="0"/>
    <x v="22"/>
    <x v="0"/>
  </r>
  <r>
    <x v="5"/>
    <x v="1"/>
    <x v="0"/>
    <x v="0"/>
  </r>
  <r>
    <x v="5"/>
    <x v="0"/>
    <x v="0"/>
    <x v="0"/>
  </r>
  <r>
    <x v="5"/>
    <x v="2"/>
    <x v="0"/>
    <x v="0"/>
  </r>
  <r>
    <x v="5"/>
    <x v="0"/>
    <x v="0"/>
    <x v="0"/>
  </r>
  <r>
    <x v="5"/>
    <x v="3"/>
    <x v="0"/>
    <x v="0"/>
  </r>
  <r>
    <x v="5"/>
    <x v="0"/>
    <x v="0"/>
    <x v="0"/>
  </r>
  <r>
    <x v="5"/>
    <x v="4"/>
    <x v="0"/>
    <x v="0"/>
  </r>
  <r>
    <x v="5"/>
    <x v="0"/>
    <x v="0"/>
    <x v="0"/>
  </r>
  <r>
    <x v="5"/>
    <x v="0"/>
    <x v="22"/>
    <x v="0"/>
  </r>
  <r>
    <x v="5"/>
    <x v="1"/>
    <x v="0"/>
    <x v="0"/>
  </r>
  <r>
    <x v="5"/>
    <x v="0"/>
    <x v="0"/>
    <x v="0"/>
  </r>
  <r>
    <x v="5"/>
    <x v="2"/>
    <x v="0"/>
    <x v="0"/>
  </r>
  <r>
    <x v="5"/>
    <x v="0"/>
    <x v="0"/>
    <x v="0"/>
  </r>
  <r>
    <x v="5"/>
    <x v="3"/>
    <x v="0"/>
    <x v="0"/>
  </r>
  <r>
    <x v="5"/>
    <x v="0"/>
    <x v="0"/>
    <x v="0"/>
  </r>
  <r>
    <x v="5"/>
    <x v="4"/>
    <x v="0"/>
    <x v="0"/>
  </r>
  <r>
    <x v="5"/>
    <x v="0"/>
    <x v="0"/>
    <x v="0"/>
  </r>
  <r>
    <x v="10"/>
    <x v="0"/>
    <x v="14"/>
    <x v="0"/>
  </r>
  <r>
    <x v="10"/>
    <x v="1"/>
    <x v="0"/>
    <x v="0"/>
  </r>
  <r>
    <x v="10"/>
    <x v="0"/>
    <x v="0"/>
    <x v="0"/>
  </r>
  <r>
    <x v="10"/>
    <x v="2"/>
    <x v="0"/>
    <x v="0"/>
  </r>
  <r>
    <x v="10"/>
    <x v="0"/>
    <x v="0"/>
    <x v="0"/>
  </r>
  <r>
    <x v="10"/>
    <x v="3"/>
    <x v="0"/>
    <x v="0"/>
  </r>
  <r>
    <x v="10"/>
    <x v="0"/>
    <x v="0"/>
    <x v="0"/>
  </r>
  <r>
    <x v="10"/>
    <x v="4"/>
    <x v="0"/>
    <x v="0"/>
  </r>
  <r>
    <x v="10"/>
    <x v="0"/>
    <x v="0"/>
    <x v="0"/>
  </r>
  <r>
    <x v="11"/>
    <x v="0"/>
    <x v="14"/>
    <x v="0"/>
  </r>
  <r>
    <x v="11"/>
    <x v="1"/>
    <x v="0"/>
    <x v="0"/>
  </r>
  <r>
    <x v="11"/>
    <x v="0"/>
    <x v="0"/>
    <x v="0"/>
  </r>
  <r>
    <x v="11"/>
    <x v="2"/>
    <x v="0"/>
    <x v="0"/>
  </r>
  <r>
    <x v="11"/>
    <x v="0"/>
    <x v="0"/>
    <x v="0"/>
  </r>
  <r>
    <x v="11"/>
    <x v="3"/>
    <x v="0"/>
    <x v="0"/>
  </r>
  <r>
    <x v="11"/>
    <x v="0"/>
    <x v="0"/>
    <x v="0"/>
  </r>
  <r>
    <x v="11"/>
    <x v="4"/>
    <x v="0"/>
    <x v="0"/>
  </r>
  <r>
    <x v="11"/>
    <x v="0"/>
    <x v="0"/>
    <x v="0"/>
  </r>
  <r>
    <x v="6"/>
    <x v="0"/>
    <x v="22"/>
    <x v="0"/>
  </r>
  <r>
    <x v="6"/>
    <x v="1"/>
    <x v="0"/>
    <x v="0"/>
  </r>
  <r>
    <x v="6"/>
    <x v="0"/>
    <x v="0"/>
    <x v="0"/>
  </r>
  <r>
    <x v="6"/>
    <x v="2"/>
    <x v="0"/>
    <x v="0"/>
  </r>
  <r>
    <x v="6"/>
    <x v="0"/>
    <x v="0"/>
    <x v="0"/>
  </r>
  <r>
    <x v="6"/>
    <x v="3"/>
    <x v="0"/>
    <x v="0"/>
  </r>
  <r>
    <x v="6"/>
    <x v="0"/>
    <x v="0"/>
    <x v="0"/>
  </r>
  <r>
    <x v="6"/>
    <x v="4"/>
    <x v="0"/>
    <x v="0"/>
  </r>
  <r>
    <x v="6"/>
    <x v="0"/>
    <x v="0"/>
    <x v="0"/>
  </r>
  <r>
    <x v="5"/>
    <x v="0"/>
    <x v="22"/>
    <x v="0"/>
  </r>
  <r>
    <x v="5"/>
    <x v="1"/>
    <x v="0"/>
    <x v="0"/>
  </r>
  <r>
    <x v="5"/>
    <x v="0"/>
    <x v="0"/>
    <x v="0"/>
  </r>
  <r>
    <x v="5"/>
    <x v="2"/>
    <x v="0"/>
    <x v="0"/>
  </r>
  <r>
    <x v="5"/>
    <x v="0"/>
    <x v="0"/>
    <x v="0"/>
  </r>
  <r>
    <x v="5"/>
    <x v="3"/>
    <x v="0"/>
    <x v="0"/>
  </r>
  <r>
    <x v="5"/>
    <x v="0"/>
    <x v="0"/>
    <x v="0"/>
  </r>
  <r>
    <x v="5"/>
    <x v="4"/>
    <x v="0"/>
    <x v="0"/>
  </r>
  <r>
    <x v="5"/>
    <x v="0"/>
    <x v="0"/>
    <x v="0"/>
  </r>
  <r>
    <x v="4"/>
    <x v="0"/>
    <x v="14"/>
    <x v="0"/>
  </r>
  <r>
    <x v="4"/>
    <x v="1"/>
    <x v="0"/>
    <x v="0"/>
  </r>
  <r>
    <x v="4"/>
    <x v="0"/>
    <x v="0"/>
    <x v="0"/>
  </r>
  <r>
    <x v="4"/>
    <x v="2"/>
    <x v="0"/>
    <x v="0"/>
  </r>
  <r>
    <x v="4"/>
    <x v="0"/>
    <x v="0"/>
    <x v="0"/>
  </r>
  <r>
    <x v="4"/>
    <x v="3"/>
    <x v="0"/>
    <x v="0"/>
  </r>
  <r>
    <x v="4"/>
    <x v="0"/>
    <x v="0"/>
    <x v="0"/>
  </r>
  <r>
    <x v="4"/>
    <x v="4"/>
    <x v="0"/>
    <x v="0"/>
  </r>
  <r>
    <x v="4"/>
    <x v="0"/>
    <x v="0"/>
    <x v="0"/>
  </r>
  <r>
    <x v="9"/>
    <x v="0"/>
    <x v="22"/>
    <x v="0"/>
  </r>
  <r>
    <x v="9"/>
    <x v="1"/>
    <x v="0"/>
    <x v="0"/>
  </r>
  <r>
    <x v="9"/>
    <x v="0"/>
    <x v="0"/>
    <x v="0"/>
  </r>
  <r>
    <x v="9"/>
    <x v="2"/>
    <x v="0"/>
    <x v="0"/>
  </r>
  <r>
    <x v="9"/>
    <x v="0"/>
    <x v="0"/>
    <x v="0"/>
  </r>
  <r>
    <x v="9"/>
    <x v="3"/>
    <x v="0"/>
    <x v="0"/>
  </r>
  <r>
    <x v="9"/>
    <x v="0"/>
    <x v="0"/>
    <x v="0"/>
  </r>
  <r>
    <x v="9"/>
    <x v="4"/>
    <x v="0"/>
    <x v="0"/>
  </r>
  <r>
    <x v="9"/>
    <x v="0"/>
    <x v="0"/>
    <x v="0"/>
  </r>
  <r>
    <x v="9"/>
    <x v="0"/>
    <x v="22"/>
    <x v="0"/>
  </r>
  <r>
    <x v="9"/>
    <x v="1"/>
    <x v="0"/>
    <x v="0"/>
  </r>
  <r>
    <x v="9"/>
    <x v="0"/>
    <x v="0"/>
    <x v="0"/>
  </r>
  <r>
    <x v="9"/>
    <x v="2"/>
    <x v="0"/>
    <x v="0"/>
  </r>
  <r>
    <x v="9"/>
    <x v="0"/>
    <x v="0"/>
    <x v="0"/>
  </r>
  <r>
    <x v="9"/>
    <x v="3"/>
    <x v="0"/>
    <x v="0"/>
  </r>
  <r>
    <x v="9"/>
    <x v="0"/>
    <x v="0"/>
    <x v="0"/>
  </r>
  <r>
    <x v="9"/>
    <x v="4"/>
    <x v="0"/>
    <x v="0"/>
  </r>
  <r>
    <x v="9"/>
    <x v="0"/>
    <x v="0"/>
    <x v="0"/>
  </r>
  <r>
    <x v="10"/>
    <x v="0"/>
    <x v="14"/>
    <x v="0"/>
  </r>
  <r>
    <x v="10"/>
    <x v="1"/>
    <x v="0"/>
    <x v="0"/>
  </r>
  <r>
    <x v="10"/>
    <x v="0"/>
    <x v="0"/>
    <x v="0"/>
  </r>
  <r>
    <x v="10"/>
    <x v="2"/>
    <x v="0"/>
    <x v="0"/>
  </r>
  <r>
    <x v="10"/>
    <x v="0"/>
    <x v="0"/>
    <x v="0"/>
  </r>
  <r>
    <x v="10"/>
    <x v="3"/>
    <x v="0"/>
    <x v="0"/>
  </r>
  <r>
    <x v="10"/>
    <x v="0"/>
    <x v="0"/>
    <x v="0"/>
  </r>
  <r>
    <x v="10"/>
    <x v="4"/>
    <x v="0"/>
    <x v="0"/>
  </r>
  <r>
    <x v="10"/>
    <x v="0"/>
    <x v="0"/>
    <x v="0"/>
  </r>
  <r>
    <x v="12"/>
    <x v="0"/>
    <x v="14"/>
    <x v="0"/>
  </r>
  <r>
    <x v="12"/>
    <x v="1"/>
    <x v="0"/>
    <x v="0"/>
  </r>
  <r>
    <x v="12"/>
    <x v="0"/>
    <x v="0"/>
    <x v="0"/>
  </r>
  <r>
    <x v="12"/>
    <x v="2"/>
    <x v="0"/>
    <x v="0"/>
  </r>
  <r>
    <x v="12"/>
    <x v="0"/>
    <x v="0"/>
    <x v="0"/>
  </r>
  <r>
    <x v="12"/>
    <x v="3"/>
    <x v="0"/>
    <x v="0"/>
  </r>
  <r>
    <x v="12"/>
    <x v="0"/>
    <x v="0"/>
    <x v="0"/>
  </r>
  <r>
    <x v="12"/>
    <x v="4"/>
    <x v="0"/>
    <x v="0"/>
  </r>
  <r>
    <x v="12"/>
    <x v="0"/>
    <x v="0"/>
    <x v="0"/>
  </r>
  <r>
    <x v="4"/>
    <x v="0"/>
    <x v="14"/>
    <x v="0"/>
  </r>
  <r>
    <x v="4"/>
    <x v="1"/>
    <x v="0"/>
    <x v="0"/>
  </r>
  <r>
    <x v="4"/>
    <x v="0"/>
    <x v="0"/>
    <x v="0"/>
  </r>
  <r>
    <x v="4"/>
    <x v="2"/>
    <x v="0"/>
    <x v="0"/>
  </r>
  <r>
    <x v="4"/>
    <x v="0"/>
    <x v="0"/>
    <x v="0"/>
  </r>
  <r>
    <x v="4"/>
    <x v="3"/>
    <x v="0"/>
    <x v="0"/>
  </r>
  <r>
    <x v="4"/>
    <x v="0"/>
    <x v="0"/>
    <x v="0"/>
  </r>
  <r>
    <x v="4"/>
    <x v="4"/>
    <x v="0"/>
    <x v="0"/>
  </r>
  <r>
    <x v="4"/>
    <x v="0"/>
    <x v="0"/>
    <x v="0"/>
  </r>
  <r>
    <x v="9"/>
    <x v="0"/>
    <x v="22"/>
    <x v="0"/>
  </r>
  <r>
    <x v="9"/>
    <x v="1"/>
    <x v="0"/>
    <x v="0"/>
  </r>
  <r>
    <x v="9"/>
    <x v="0"/>
    <x v="0"/>
    <x v="0"/>
  </r>
  <r>
    <x v="9"/>
    <x v="2"/>
    <x v="0"/>
    <x v="0"/>
  </r>
  <r>
    <x v="9"/>
    <x v="0"/>
    <x v="0"/>
    <x v="0"/>
  </r>
  <r>
    <x v="9"/>
    <x v="3"/>
    <x v="0"/>
    <x v="0"/>
  </r>
  <r>
    <x v="9"/>
    <x v="0"/>
    <x v="0"/>
    <x v="0"/>
  </r>
  <r>
    <x v="9"/>
    <x v="4"/>
    <x v="0"/>
    <x v="0"/>
  </r>
  <r>
    <x v="9"/>
    <x v="0"/>
    <x v="0"/>
    <x v="0"/>
  </r>
  <r>
    <x v="4"/>
    <x v="0"/>
    <x v="14"/>
    <x v="0"/>
  </r>
  <r>
    <x v="4"/>
    <x v="1"/>
    <x v="0"/>
    <x v="0"/>
  </r>
  <r>
    <x v="4"/>
    <x v="0"/>
    <x v="0"/>
    <x v="0"/>
  </r>
  <r>
    <x v="4"/>
    <x v="2"/>
    <x v="0"/>
    <x v="0"/>
  </r>
  <r>
    <x v="4"/>
    <x v="0"/>
    <x v="0"/>
    <x v="0"/>
  </r>
  <r>
    <x v="4"/>
    <x v="3"/>
    <x v="0"/>
    <x v="0"/>
  </r>
  <r>
    <x v="4"/>
    <x v="0"/>
    <x v="0"/>
    <x v="0"/>
  </r>
  <r>
    <x v="4"/>
    <x v="4"/>
    <x v="0"/>
    <x v="0"/>
  </r>
  <r>
    <x v="4"/>
    <x v="0"/>
    <x v="0"/>
    <x v="0"/>
  </r>
  <r>
    <x v="8"/>
    <x v="0"/>
    <x v="14"/>
    <x v="0"/>
  </r>
  <r>
    <x v="8"/>
    <x v="1"/>
    <x v="0"/>
    <x v="0"/>
  </r>
  <r>
    <x v="8"/>
    <x v="0"/>
    <x v="0"/>
    <x v="0"/>
  </r>
  <r>
    <x v="8"/>
    <x v="2"/>
    <x v="0"/>
    <x v="0"/>
  </r>
  <r>
    <x v="8"/>
    <x v="0"/>
    <x v="0"/>
    <x v="0"/>
  </r>
  <r>
    <x v="8"/>
    <x v="3"/>
    <x v="0"/>
    <x v="0"/>
  </r>
  <r>
    <x v="8"/>
    <x v="0"/>
    <x v="0"/>
    <x v="0"/>
  </r>
  <r>
    <x v="8"/>
    <x v="4"/>
    <x v="0"/>
    <x v="0"/>
  </r>
  <r>
    <x v="8"/>
    <x v="0"/>
    <x v="0"/>
    <x v="0"/>
  </r>
  <r>
    <x v="9"/>
    <x v="0"/>
    <x v="22"/>
    <x v="0"/>
  </r>
  <r>
    <x v="9"/>
    <x v="1"/>
    <x v="0"/>
    <x v="0"/>
  </r>
  <r>
    <x v="9"/>
    <x v="0"/>
    <x v="0"/>
    <x v="0"/>
  </r>
  <r>
    <x v="9"/>
    <x v="2"/>
    <x v="0"/>
    <x v="0"/>
  </r>
  <r>
    <x v="9"/>
    <x v="0"/>
    <x v="0"/>
    <x v="0"/>
  </r>
  <r>
    <x v="9"/>
    <x v="3"/>
    <x v="0"/>
    <x v="0"/>
  </r>
  <r>
    <x v="9"/>
    <x v="0"/>
    <x v="0"/>
    <x v="0"/>
  </r>
  <r>
    <x v="9"/>
    <x v="4"/>
    <x v="0"/>
    <x v="0"/>
  </r>
  <r>
    <x v="9"/>
    <x v="0"/>
    <x v="0"/>
    <x v="0"/>
  </r>
  <r>
    <x v="4"/>
    <x v="0"/>
    <x v="14"/>
    <x v="0"/>
  </r>
  <r>
    <x v="4"/>
    <x v="1"/>
    <x v="0"/>
    <x v="0"/>
  </r>
  <r>
    <x v="4"/>
    <x v="0"/>
    <x v="0"/>
    <x v="0"/>
  </r>
  <r>
    <x v="4"/>
    <x v="2"/>
    <x v="0"/>
    <x v="0"/>
  </r>
  <r>
    <x v="4"/>
    <x v="0"/>
    <x v="0"/>
    <x v="0"/>
  </r>
  <r>
    <x v="4"/>
    <x v="3"/>
    <x v="0"/>
    <x v="0"/>
  </r>
  <r>
    <x v="4"/>
    <x v="0"/>
    <x v="0"/>
    <x v="0"/>
  </r>
  <r>
    <x v="4"/>
    <x v="4"/>
    <x v="0"/>
    <x v="0"/>
  </r>
  <r>
    <x v="4"/>
    <x v="0"/>
    <x v="0"/>
    <x v="0"/>
  </r>
  <r>
    <x v="9"/>
    <x v="0"/>
    <x v="22"/>
    <x v="0"/>
  </r>
  <r>
    <x v="9"/>
    <x v="1"/>
    <x v="0"/>
    <x v="0"/>
  </r>
  <r>
    <x v="9"/>
    <x v="0"/>
    <x v="0"/>
    <x v="0"/>
  </r>
  <r>
    <x v="9"/>
    <x v="2"/>
    <x v="0"/>
    <x v="0"/>
  </r>
  <r>
    <x v="9"/>
    <x v="0"/>
    <x v="0"/>
    <x v="0"/>
  </r>
  <r>
    <x v="9"/>
    <x v="3"/>
    <x v="0"/>
    <x v="0"/>
  </r>
  <r>
    <x v="9"/>
    <x v="0"/>
    <x v="0"/>
    <x v="0"/>
  </r>
  <r>
    <x v="9"/>
    <x v="4"/>
    <x v="0"/>
    <x v="0"/>
  </r>
  <r>
    <x v="9"/>
    <x v="0"/>
    <x v="0"/>
    <x v="0"/>
  </r>
  <r>
    <x v="9"/>
    <x v="0"/>
    <x v="22"/>
    <x v="0"/>
  </r>
  <r>
    <x v="9"/>
    <x v="1"/>
    <x v="0"/>
    <x v="0"/>
  </r>
  <r>
    <x v="9"/>
    <x v="0"/>
    <x v="0"/>
    <x v="0"/>
  </r>
  <r>
    <x v="9"/>
    <x v="2"/>
    <x v="0"/>
    <x v="0"/>
  </r>
  <r>
    <x v="9"/>
    <x v="0"/>
    <x v="0"/>
    <x v="0"/>
  </r>
  <r>
    <x v="9"/>
    <x v="3"/>
    <x v="0"/>
    <x v="0"/>
  </r>
  <r>
    <x v="9"/>
    <x v="0"/>
    <x v="0"/>
    <x v="0"/>
  </r>
  <r>
    <x v="9"/>
    <x v="4"/>
    <x v="0"/>
    <x v="0"/>
  </r>
  <r>
    <x v="9"/>
    <x v="0"/>
    <x v="0"/>
    <x v="0"/>
  </r>
  <r>
    <x v="9"/>
    <x v="0"/>
    <x v="22"/>
    <x v="0"/>
  </r>
  <r>
    <x v="9"/>
    <x v="1"/>
    <x v="0"/>
    <x v="0"/>
  </r>
  <r>
    <x v="9"/>
    <x v="0"/>
    <x v="0"/>
    <x v="0"/>
  </r>
  <r>
    <x v="9"/>
    <x v="2"/>
    <x v="0"/>
    <x v="0"/>
  </r>
  <r>
    <x v="9"/>
    <x v="0"/>
    <x v="0"/>
    <x v="0"/>
  </r>
  <r>
    <x v="9"/>
    <x v="3"/>
    <x v="0"/>
    <x v="0"/>
  </r>
  <r>
    <x v="9"/>
    <x v="0"/>
    <x v="0"/>
    <x v="0"/>
  </r>
  <r>
    <x v="9"/>
    <x v="4"/>
    <x v="0"/>
    <x v="0"/>
  </r>
  <r>
    <x v="9"/>
    <x v="0"/>
    <x v="0"/>
    <x v="0"/>
  </r>
  <r>
    <x v="11"/>
    <x v="0"/>
    <x v="14"/>
    <x v="0"/>
  </r>
  <r>
    <x v="11"/>
    <x v="1"/>
    <x v="0"/>
    <x v="0"/>
  </r>
  <r>
    <x v="11"/>
    <x v="0"/>
    <x v="0"/>
    <x v="0"/>
  </r>
  <r>
    <x v="11"/>
    <x v="2"/>
    <x v="0"/>
    <x v="0"/>
  </r>
  <r>
    <x v="11"/>
    <x v="0"/>
    <x v="0"/>
    <x v="0"/>
  </r>
  <r>
    <x v="11"/>
    <x v="3"/>
    <x v="0"/>
    <x v="0"/>
  </r>
  <r>
    <x v="11"/>
    <x v="0"/>
    <x v="0"/>
    <x v="0"/>
  </r>
  <r>
    <x v="11"/>
    <x v="4"/>
    <x v="0"/>
    <x v="0"/>
  </r>
  <r>
    <x v="11"/>
    <x v="0"/>
    <x v="0"/>
    <x v="0"/>
  </r>
  <r>
    <x v="4"/>
    <x v="0"/>
    <x v="14"/>
    <x v="0"/>
  </r>
  <r>
    <x v="4"/>
    <x v="1"/>
    <x v="0"/>
    <x v="0"/>
  </r>
  <r>
    <x v="4"/>
    <x v="0"/>
    <x v="0"/>
    <x v="0"/>
  </r>
  <r>
    <x v="4"/>
    <x v="2"/>
    <x v="0"/>
    <x v="0"/>
  </r>
  <r>
    <x v="4"/>
    <x v="0"/>
    <x v="0"/>
    <x v="0"/>
  </r>
  <r>
    <x v="4"/>
    <x v="3"/>
    <x v="0"/>
    <x v="0"/>
  </r>
  <r>
    <x v="4"/>
    <x v="0"/>
    <x v="0"/>
    <x v="0"/>
  </r>
  <r>
    <x v="4"/>
    <x v="4"/>
    <x v="0"/>
    <x v="0"/>
  </r>
  <r>
    <x v="4"/>
    <x v="0"/>
    <x v="0"/>
    <x v="0"/>
  </r>
  <r>
    <x v="5"/>
    <x v="0"/>
    <x v="22"/>
    <x v="0"/>
  </r>
  <r>
    <x v="5"/>
    <x v="1"/>
    <x v="0"/>
    <x v="0"/>
  </r>
  <r>
    <x v="5"/>
    <x v="0"/>
    <x v="0"/>
    <x v="0"/>
  </r>
  <r>
    <x v="5"/>
    <x v="2"/>
    <x v="0"/>
    <x v="0"/>
  </r>
  <r>
    <x v="5"/>
    <x v="0"/>
    <x v="0"/>
    <x v="0"/>
  </r>
  <r>
    <x v="5"/>
    <x v="3"/>
    <x v="0"/>
    <x v="0"/>
  </r>
  <r>
    <x v="5"/>
    <x v="0"/>
    <x v="0"/>
    <x v="0"/>
  </r>
  <r>
    <x v="5"/>
    <x v="4"/>
    <x v="0"/>
    <x v="0"/>
  </r>
  <r>
    <x v="5"/>
    <x v="0"/>
    <x v="0"/>
    <x v="0"/>
  </r>
  <r>
    <x v="11"/>
    <x v="0"/>
    <x v="14"/>
    <x v="0"/>
  </r>
  <r>
    <x v="11"/>
    <x v="1"/>
    <x v="0"/>
    <x v="0"/>
  </r>
  <r>
    <x v="11"/>
    <x v="0"/>
    <x v="0"/>
    <x v="0"/>
  </r>
  <r>
    <x v="11"/>
    <x v="2"/>
    <x v="0"/>
    <x v="0"/>
  </r>
  <r>
    <x v="11"/>
    <x v="0"/>
    <x v="0"/>
    <x v="0"/>
  </r>
  <r>
    <x v="11"/>
    <x v="3"/>
    <x v="0"/>
    <x v="0"/>
  </r>
  <r>
    <x v="11"/>
    <x v="0"/>
    <x v="0"/>
    <x v="0"/>
  </r>
  <r>
    <x v="11"/>
    <x v="4"/>
    <x v="0"/>
    <x v="0"/>
  </r>
  <r>
    <x v="11"/>
    <x v="0"/>
    <x v="0"/>
    <x v="0"/>
  </r>
  <r>
    <x v="4"/>
    <x v="0"/>
    <x v="14"/>
    <x v="0"/>
  </r>
  <r>
    <x v="4"/>
    <x v="1"/>
    <x v="0"/>
    <x v="0"/>
  </r>
  <r>
    <x v="4"/>
    <x v="0"/>
    <x v="0"/>
    <x v="0"/>
  </r>
  <r>
    <x v="4"/>
    <x v="2"/>
    <x v="0"/>
    <x v="0"/>
  </r>
  <r>
    <x v="4"/>
    <x v="0"/>
    <x v="0"/>
    <x v="0"/>
  </r>
  <r>
    <x v="4"/>
    <x v="3"/>
    <x v="0"/>
    <x v="0"/>
  </r>
  <r>
    <x v="4"/>
    <x v="0"/>
    <x v="0"/>
    <x v="0"/>
  </r>
  <r>
    <x v="4"/>
    <x v="4"/>
    <x v="0"/>
    <x v="0"/>
  </r>
  <r>
    <x v="4"/>
    <x v="0"/>
    <x v="0"/>
    <x v="0"/>
  </r>
  <r>
    <x v="4"/>
    <x v="0"/>
    <x v="23"/>
    <x v="0"/>
  </r>
  <r>
    <x v="4"/>
    <x v="1"/>
    <x v="0"/>
    <x v="0"/>
  </r>
  <r>
    <x v="4"/>
    <x v="0"/>
    <x v="0"/>
    <x v="0"/>
  </r>
  <r>
    <x v="4"/>
    <x v="2"/>
    <x v="0"/>
    <x v="0"/>
  </r>
  <r>
    <x v="4"/>
    <x v="0"/>
    <x v="0"/>
    <x v="0"/>
  </r>
  <r>
    <x v="4"/>
    <x v="3"/>
    <x v="0"/>
    <x v="0"/>
  </r>
  <r>
    <x v="4"/>
    <x v="0"/>
    <x v="0"/>
    <x v="0"/>
  </r>
  <r>
    <x v="4"/>
    <x v="4"/>
    <x v="0"/>
    <x v="0"/>
  </r>
  <r>
    <x v="4"/>
    <x v="0"/>
    <x v="0"/>
    <x v="0"/>
  </r>
  <r>
    <x v="8"/>
    <x v="0"/>
    <x v="14"/>
    <x v="0"/>
  </r>
  <r>
    <x v="8"/>
    <x v="1"/>
    <x v="0"/>
    <x v="0"/>
  </r>
  <r>
    <x v="8"/>
    <x v="0"/>
    <x v="0"/>
    <x v="0"/>
  </r>
  <r>
    <x v="8"/>
    <x v="2"/>
    <x v="0"/>
    <x v="0"/>
  </r>
  <r>
    <x v="8"/>
    <x v="0"/>
    <x v="0"/>
    <x v="0"/>
  </r>
  <r>
    <x v="8"/>
    <x v="3"/>
    <x v="0"/>
    <x v="0"/>
  </r>
  <r>
    <x v="8"/>
    <x v="0"/>
    <x v="0"/>
    <x v="0"/>
  </r>
  <r>
    <x v="8"/>
    <x v="4"/>
    <x v="0"/>
    <x v="0"/>
  </r>
  <r>
    <x v="8"/>
    <x v="0"/>
    <x v="0"/>
    <x v="0"/>
  </r>
  <r>
    <x v="8"/>
    <x v="0"/>
    <x v="14"/>
    <x v="0"/>
  </r>
  <r>
    <x v="8"/>
    <x v="1"/>
    <x v="0"/>
    <x v="0"/>
  </r>
  <r>
    <x v="8"/>
    <x v="0"/>
    <x v="0"/>
    <x v="0"/>
  </r>
  <r>
    <x v="8"/>
    <x v="2"/>
    <x v="0"/>
    <x v="0"/>
  </r>
  <r>
    <x v="8"/>
    <x v="0"/>
    <x v="0"/>
    <x v="0"/>
  </r>
  <r>
    <x v="8"/>
    <x v="3"/>
    <x v="0"/>
    <x v="0"/>
  </r>
  <r>
    <x v="8"/>
    <x v="0"/>
    <x v="0"/>
    <x v="0"/>
  </r>
  <r>
    <x v="8"/>
    <x v="4"/>
    <x v="0"/>
    <x v="0"/>
  </r>
  <r>
    <x v="8"/>
    <x v="0"/>
    <x v="0"/>
    <x v="0"/>
  </r>
  <r>
    <x v="9"/>
    <x v="0"/>
    <x v="22"/>
    <x v="0"/>
  </r>
  <r>
    <x v="9"/>
    <x v="1"/>
    <x v="0"/>
    <x v="0"/>
  </r>
  <r>
    <x v="9"/>
    <x v="0"/>
    <x v="0"/>
    <x v="0"/>
  </r>
  <r>
    <x v="9"/>
    <x v="2"/>
    <x v="0"/>
    <x v="0"/>
  </r>
  <r>
    <x v="9"/>
    <x v="0"/>
    <x v="0"/>
    <x v="0"/>
  </r>
  <r>
    <x v="9"/>
    <x v="3"/>
    <x v="0"/>
    <x v="0"/>
  </r>
  <r>
    <x v="9"/>
    <x v="0"/>
    <x v="0"/>
    <x v="0"/>
  </r>
  <r>
    <x v="9"/>
    <x v="4"/>
    <x v="0"/>
    <x v="0"/>
  </r>
  <r>
    <x v="9"/>
    <x v="0"/>
    <x v="0"/>
    <x v="0"/>
  </r>
  <r>
    <x v="4"/>
    <x v="0"/>
    <x v="14"/>
    <x v="0"/>
  </r>
  <r>
    <x v="4"/>
    <x v="1"/>
    <x v="0"/>
    <x v="0"/>
  </r>
  <r>
    <x v="4"/>
    <x v="0"/>
    <x v="0"/>
    <x v="0"/>
  </r>
  <r>
    <x v="4"/>
    <x v="2"/>
    <x v="15"/>
    <x v="0"/>
  </r>
  <r>
    <x v="4"/>
    <x v="0"/>
    <x v="19"/>
    <x v="0"/>
  </r>
  <r>
    <x v="4"/>
    <x v="3"/>
    <x v="0"/>
    <x v="0"/>
  </r>
  <r>
    <x v="4"/>
    <x v="0"/>
    <x v="0"/>
    <x v="0"/>
  </r>
  <r>
    <x v="4"/>
    <x v="4"/>
    <x v="0"/>
    <x v="0"/>
  </r>
  <r>
    <x v="4"/>
    <x v="0"/>
    <x v="0"/>
    <x v="0"/>
  </r>
  <r>
    <x v="4"/>
    <x v="0"/>
    <x v="14"/>
    <x v="0"/>
  </r>
  <r>
    <x v="4"/>
    <x v="1"/>
    <x v="0"/>
    <x v="0"/>
  </r>
  <r>
    <x v="4"/>
    <x v="0"/>
    <x v="0"/>
    <x v="0"/>
  </r>
  <r>
    <x v="4"/>
    <x v="2"/>
    <x v="0"/>
    <x v="0"/>
  </r>
  <r>
    <x v="4"/>
    <x v="0"/>
    <x v="0"/>
    <x v="0"/>
  </r>
  <r>
    <x v="4"/>
    <x v="3"/>
    <x v="0"/>
    <x v="0"/>
  </r>
  <r>
    <x v="4"/>
    <x v="0"/>
    <x v="0"/>
    <x v="0"/>
  </r>
  <r>
    <x v="4"/>
    <x v="4"/>
    <x v="0"/>
    <x v="0"/>
  </r>
  <r>
    <x v="4"/>
    <x v="0"/>
    <x v="0"/>
    <x v="0"/>
  </r>
  <r>
    <x v="5"/>
    <x v="0"/>
    <x v="22"/>
    <x v="0"/>
  </r>
  <r>
    <x v="5"/>
    <x v="1"/>
    <x v="0"/>
    <x v="0"/>
  </r>
  <r>
    <x v="5"/>
    <x v="0"/>
    <x v="0"/>
    <x v="0"/>
  </r>
  <r>
    <x v="5"/>
    <x v="2"/>
    <x v="0"/>
    <x v="0"/>
  </r>
  <r>
    <x v="5"/>
    <x v="0"/>
    <x v="0"/>
    <x v="0"/>
  </r>
  <r>
    <x v="5"/>
    <x v="3"/>
    <x v="0"/>
    <x v="0"/>
  </r>
  <r>
    <x v="5"/>
    <x v="0"/>
    <x v="0"/>
    <x v="0"/>
  </r>
  <r>
    <x v="5"/>
    <x v="4"/>
    <x v="0"/>
    <x v="0"/>
  </r>
  <r>
    <x v="5"/>
    <x v="0"/>
    <x v="0"/>
    <x v="0"/>
  </r>
  <r>
    <x v="9"/>
    <x v="0"/>
    <x v="22"/>
    <x v="0"/>
  </r>
  <r>
    <x v="9"/>
    <x v="1"/>
    <x v="0"/>
    <x v="0"/>
  </r>
  <r>
    <x v="9"/>
    <x v="0"/>
    <x v="0"/>
    <x v="0"/>
  </r>
  <r>
    <x v="9"/>
    <x v="2"/>
    <x v="0"/>
    <x v="0"/>
  </r>
  <r>
    <x v="9"/>
    <x v="0"/>
    <x v="0"/>
    <x v="0"/>
  </r>
  <r>
    <x v="9"/>
    <x v="3"/>
    <x v="0"/>
    <x v="0"/>
  </r>
  <r>
    <x v="9"/>
    <x v="0"/>
    <x v="0"/>
    <x v="0"/>
  </r>
  <r>
    <x v="9"/>
    <x v="4"/>
    <x v="0"/>
    <x v="0"/>
  </r>
  <r>
    <x v="9"/>
    <x v="0"/>
    <x v="0"/>
    <x v="0"/>
  </r>
  <r>
    <x v="3"/>
    <x v="0"/>
    <x v="24"/>
    <x v="0"/>
  </r>
  <r>
    <x v="3"/>
    <x v="1"/>
    <x v="0"/>
    <x v="0"/>
  </r>
  <r>
    <x v="3"/>
    <x v="0"/>
    <x v="0"/>
    <x v="0"/>
  </r>
  <r>
    <x v="3"/>
    <x v="2"/>
    <x v="15"/>
    <x v="0"/>
  </r>
  <r>
    <x v="3"/>
    <x v="0"/>
    <x v="17"/>
    <x v="0"/>
  </r>
  <r>
    <x v="3"/>
    <x v="3"/>
    <x v="0"/>
    <x v="0"/>
  </r>
  <r>
    <x v="3"/>
    <x v="0"/>
    <x v="0"/>
    <x v="0"/>
  </r>
  <r>
    <x v="3"/>
    <x v="4"/>
    <x v="0"/>
    <x v="0"/>
  </r>
  <r>
    <x v="3"/>
    <x v="0"/>
    <x v="0"/>
    <x v="0"/>
  </r>
  <r>
    <x v="4"/>
    <x v="0"/>
    <x v="25"/>
    <x v="0"/>
  </r>
  <r>
    <x v="4"/>
    <x v="1"/>
    <x v="0"/>
    <x v="0"/>
  </r>
  <r>
    <x v="4"/>
    <x v="0"/>
    <x v="0"/>
    <x v="0"/>
  </r>
  <r>
    <x v="4"/>
    <x v="2"/>
    <x v="0"/>
    <x v="0"/>
  </r>
  <r>
    <x v="4"/>
    <x v="0"/>
    <x v="0"/>
    <x v="0"/>
  </r>
  <r>
    <x v="4"/>
    <x v="3"/>
    <x v="0"/>
    <x v="0"/>
  </r>
  <r>
    <x v="4"/>
    <x v="0"/>
    <x v="0"/>
    <x v="0"/>
  </r>
  <r>
    <x v="4"/>
    <x v="4"/>
    <x v="0"/>
    <x v="0"/>
  </r>
  <r>
    <x v="4"/>
    <x v="0"/>
    <x v="0"/>
    <x v="0"/>
  </r>
  <r>
    <x v="4"/>
    <x v="0"/>
    <x v="26"/>
    <x v="0"/>
  </r>
  <r>
    <x v="4"/>
    <x v="1"/>
    <x v="0"/>
    <x v="0"/>
  </r>
  <r>
    <x v="4"/>
    <x v="0"/>
    <x v="0"/>
    <x v="0"/>
  </r>
  <r>
    <x v="4"/>
    <x v="2"/>
    <x v="0"/>
    <x v="0"/>
  </r>
  <r>
    <x v="4"/>
    <x v="0"/>
    <x v="0"/>
    <x v="0"/>
  </r>
  <r>
    <x v="4"/>
    <x v="3"/>
    <x v="0"/>
    <x v="0"/>
  </r>
  <r>
    <x v="4"/>
    <x v="0"/>
    <x v="0"/>
    <x v="0"/>
  </r>
  <r>
    <x v="4"/>
    <x v="4"/>
    <x v="0"/>
    <x v="0"/>
  </r>
  <r>
    <x v="4"/>
    <x v="0"/>
    <x v="0"/>
    <x v="0"/>
  </r>
  <r>
    <x v="10"/>
    <x v="0"/>
    <x v="14"/>
    <x v="0"/>
  </r>
  <r>
    <x v="10"/>
    <x v="1"/>
    <x v="0"/>
    <x v="0"/>
  </r>
  <r>
    <x v="10"/>
    <x v="0"/>
    <x v="0"/>
    <x v="0"/>
  </r>
  <r>
    <x v="10"/>
    <x v="2"/>
    <x v="0"/>
    <x v="0"/>
  </r>
  <r>
    <x v="10"/>
    <x v="0"/>
    <x v="0"/>
    <x v="0"/>
  </r>
  <r>
    <x v="10"/>
    <x v="3"/>
    <x v="0"/>
    <x v="0"/>
  </r>
  <r>
    <x v="10"/>
    <x v="0"/>
    <x v="0"/>
    <x v="0"/>
  </r>
  <r>
    <x v="10"/>
    <x v="4"/>
    <x v="0"/>
    <x v="0"/>
  </r>
  <r>
    <x v="10"/>
    <x v="0"/>
    <x v="0"/>
    <x v="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9">
  <r>
    <x v="0"/>
    <x v="0"/>
    <m/>
    <x v="0"/>
  </r>
  <r>
    <x v="0"/>
    <x v="1"/>
    <d v="2025-11-30T00:00:00"/>
    <x v="0"/>
  </r>
  <r>
    <x v="0"/>
    <x v="0"/>
    <m/>
    <x v="0"/>
  </r>
  <r>
    <x v="0"/>
    <x v="2"/>
    <d v="2026-01-18T00:00:00"/>
    <x v="0"/>
  </r>
  <r>
    <x v="0"/>
    <x v="0"/>
    <m/>
    <x v="0"/>
  </r>
  <r>
    <x v="0"/>
    <x v="3"/>
    <d v="2026-03-22T00:00:00"/>
    <x v="0"/>
  </r>
  <r>
    <x v="0"/>
    <x v="0"/>
    <m/>
    <x v="0"/>
  </r>
  <r>
    <x v="0"/>
    <x v="4"/>
    <d v="2026-06-07T00:00:00"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1"/>
    <x v="0"/>
    <s v="Class."/>
    <x v="0"/>
  </r>
  <r>
    <x v="1"/>
    <x v="1"/>
    <s v="Pr. T1"/>
    <x v="0"/>
  </r>
  <r>
    <x v="1"/>
    <x v="0"/>
    <s v="Points T1"/>
    <x v="0"/>
  </r>
  <r>
    <x v="1"/>
    <x v="2"/>
    <s v="Pr. T2"/>
    <x v="0"/>
  </r>
  <r>
    <x v="1"/>
    <x v="0"/>
    <s v="Points T2"/>
    <x v="0"/>
  </r>
  <r>
    <x v="1"/>
    <x v="3"/>
    <s v="Pr. T3"/>
    <x v="0"/>
  </r>
  <r>
    <x v="1"/>
    <x v="0"/>
    <s v="Points T3"/>
    <x v="0"/>
  </r>
  <r>
    <x v="1"/>
    <x v="4"/>
    <s v="Pr. T4"/>
    <x v="0"/>
  </r>
  <r>
    <x v="1"/>
    <x v="0"/>
    <s v="Points T4"/>
    <x v="0"/>
  </r>
  <r>
    <x v="2"/>
    <x v="0"/>
    <m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3"/>
    <x v="0"/>
    <m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4"/>
    <x v="0"/>
    <m/>
    <x v="0"/>
  </r>
  <r>
    <x v="4"/>
    <x v="1"/>
    <m/>
    <x v="0"/>
  </r>
  <r>
    <x v="4"/>
    <x v="0"/>
    <m/>
    <x v="0"/>
  </r>
  <r>
    <x v="4"/>
    <x v="2"/>
    <m/>
    <x v="0"/>
  </r>
  <r>
    <x v="4"/>
    <x v="0"/>
    <m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5"/>
    <x v="0"/>
    <m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6"/>
    <x v="0"/>
    <m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7"/>
    <x v="0"/>
    <m/>
    <x v="0"/>
  </r>
  <r>
    <x v="7"/>
    <x v="1"/>
    <m/>
    <x v="0"/>
  </r>
  <r>
    <x v="7"/>
    <x v="0"/>
    <m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8"/>
    <x v="0"/>
    <m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9"/>
    <x v="0"/>
    <m/>
    <x v="0"/>
  </r>
  <r>
    <x v="9"/>
    <x v="1"/>
    <m/>
    <x v="0"/>
  </r>
  <r>
    <x v="9"/>
    <x v="0"/>
    <m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10"/>
    <x v="0"/>
    <m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1"/>
    <x v="0"/>
    <m/>
    <x v="0"/>
  </r>
  <r>
    <x v="11"/>
    <x v="1"/>
    <m/>
    <x v="0"/>
  </r>
  <r>
    <x v="11"/>
    <x v="0"/>
    <m/>
    <x v="0"/>
  </r>
  <r>
    <x v="11"/>
    <x v="2"/>
    <m/>
    <x v="0"/>
  </r>
  <r>
    <x v="11"/>
    <x v="0"/>
    <m/>
    <x v="0"/>
  </r>
  <r>
    <x v="11"/>
    <x v="3"/>
    <m/>
    <x v="0"/>
  </r>
  <r>
    <x v="11"/>
    <x v="0"/>
    <m/>
    <x v="0"/>
  </r>
  <r>
    <x v="11"/>
    <x v="4"/>
    <m/>
    <x v="0"/>
  </r>
  <r>
    <x v="11"/>
    <x v="0"/>
    <m/>
    <x v="0"/>
  </r>
  <r>
    <x v="12"/>
    <x v="0"/>
    <m/>
    <x v="0"/>
  </r>
  <r>
    <x v="12"/>
    <x v="1"/>
    <m/>
    <x v="0"/>
  </r>
  <r>
    <x v="12"/>
    <x v="0"/>
    <m/>
    <x v="0"/>
  </r>
  <r>
    <x v="12"/>
    <x v="2"/>
    <m/>
    <x v="0"/>
  </r>
  <r>
    <x v="12"/>
    <x v="0"/>
    <m/>
    <x v="0"/>
  </r>
  <r>
    <x v="12"/>
    <x v="3"/>
    <m/>
    <x v="0"/>
  </r>
  <r>
    <x v="12"/>
    <x v="0"/>
    <m/>
    <x v="0"/>
  </r>
  <r>
    <x v="12"/>
    <x v="4"/>
    <m/>
    <x v="0"/>
  </r>
  <r>
    <x v="12"/>
    <x v="0"/>
    <m/>
    <x v="0"/>
  </r>
  <r>
    <x v="11"/>
    <x v="0"/>
    <n v="500"/>
    <x v="0"/>
  </r>
  <r>
    <x v="11"/>
    <x v="1"/>
    <s v="x"/>
    <x v="0"/>
  </r>
  <r>
    <x v="11"/>
    <x v="0"/>
    <n v="1"/>
    <x v="0"/>
  </r>
  <r>
    <x v="11"/>
    <x v="2"/>
    <m/>
    <x v="0"/>
  </r>
  <r>
    <x v="11"/>
    <x v="0"/>
    <m/>
    <x v="0"/>
  </r>
  <r>
    <x v="11"/>
    <x v="3"/>
    <m/>
    <x v="0"/>
  </r>
  <r>
    <x v="11"/>
    <x v="0"/>
    <m/>
    <x v="0"/>
  </r>
  <r>
    <x v="11"/>
    <x v="4"/>
    <m/>
    <x v="0"/>
  </r>
  <r>
    <x v="11"/>
    <x v="0"/>
    <m/>
    <x v="0"/>
  </r>
  <r>
    <x v="11"/>
    <x v="0"/>
    <n v="500"/>
    <x v="0"/>
  </r>
  <r>
    <x v="11"/>
    <x v="1"/>
    <s v="x"/>
    <x v="0"/>
  </r>
  <r>
    <x v="11"/>
    <x v="0"/>
    <n v="8"/>
    <x v="0"/>
  </r>
  <r>
    <x v="11"/>
    <x v="2"/>
    <s v="x"/>
    <x v="0"/>
  </r>
  <r>
    <x v="11"/>
    <x v="0"/>
    <n v="8"/>
    <x v="0"/>
  </r>
  <r>
    <x v="11"/>
    <x v="3"/>
    <m/>
    <x v="0"/>
  </r>
  <r>
    <x v="11"/>
    <x v="0"/>
    <m/>
    <x v="0"/>
  </r>
  <r>
    <x v="11"/>
    <x v="4"/>
    <m/>
    <x v="0"/>
  </r>
  <r>
    <x v="11"/>
    <x v="0"/>
    <m/>
    <x v="0"/>
  </r>
  <r>
    <x v="5"/>
    <x v="0"/>
    <n v="647"/>
    <x v="0"/>
  </r>
  <r>
    <x v="5"/>
    <x v="1"/>
    <s v="x"/>
    <x v="0"/>
  </r>
  <r>
    <x v="5"/>
    <x v="0"/>
    <n v="8"/>
    <x v="0"/>
  </r>
  <r>
    <x v="5"/>
    <x v="2"/>
    <s v="x"/>
    <x v="0"/>
  </r>
  <r>
    <x v="5"/>
    <x v="0"/>
    <n v="6"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2"/>
    <x v="0"/>
    <n v="500"/>
    <x v="0"/>
  </r>
  <r>
    <x v="2"/>
    <x v="1"/>
    <s v="x"/>
    <x v="0"/>
  </r>
  <r>
    <x v="2"/>
    <x v="0"/>
    <n v="2"/>
    <x v="0"/>
  </r>
  <r>
    <x v="2"/>
    <x v="2"/>
    <s v="x"/>
    <x v="0"/>
  </r>
  <r>
    <x v="2"/>
    <x v="0"/>
    <n v="4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10"/>
    <x v="0"/>
    <n v="500"/>
    <x v="0"/>
  </r>
  <r>
    <x v="10"/>
    <x v="1"/>
    <s v="x"/>
    <x v="0"/>
  </r>
  <r>
    <x v="10"/>
    <x v="0"/>
    <n v="2"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12"/>
    <x v="0"/>
    <n v="500"/>
    <x v="0"/>
  </r>
  <r>
    <x v="12"/>
    <x v="1"/>
    <s v="x"/>
    <x v="0"/>
  </r>
  <r>
    <x v="12"/>
    <x v="0"/>
    <n v="2"/>
    <x v="0"/>
  </r>
  <r>
    <x v="12"/>
    <x v="2"/>
    <s v="x"/>
    <x v="0"/>
  </r>
  <r>
    <x v="12"/>
    <x v="0"/>
    <n v="1"/>
    <x v="0"/>
  </r>
  <r>
    <x v="12"/>
    <x v="3"/>
    <m/>
    <x v="0"/>
  </r>
  <r>
    <x v="12"/>
    <x v="0"/>
    <m/>
    <x v="0"/>
  </r>
  <r>
    <x v="12"/>
    <x v="4"/>
    <m/>
    <x v="0"/>
  </r>
  <r>
    <x v="12"/>
    <x v="0"/>
    <m/>
    <x v="0"/>
  </r>
  <r>
    <x v="10"/>
    <x v="0"/>
    <n v="517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1"/>
    <x v="0"/>
    <n v="500"/>
    <x v="0"/>
  </r>
  <r>
    <x v="11"/>
    <x v="1"/>
    <m/>
    <x v="0"/>
  </r>
  <r>
    <x v="11"/>
    <x v="0"/>
    <m/>
    <x v="0"/>
  </r>
  <r>
    <x v="11"/>
    <x v="2"/>
    <m/>
    <x v="0"/>
  </r>
  <r>
    <x v="11"/>
    <x v="0"/>
    <m/>
    <x v="0"/>
  </r>
  <r>
    <x v="11"/>
    <x v="3"/>
    <m/>
    <x v="0"/>
  </r>
  <r>
    <x v="11"/>
    <x v="0"/>
    <m/>
    <x v="0"/>
  </r>
  <r>
    <x v="11"/>
    <x v="4"/>
    <m/>
    <x v="0"/>
  </r>
  <r>
    <x v="11"/>
    <x v="0"/>
    <m/>
    <x v="0"/>
  </r>
  <r>
    <x v="6"/>
    <x v="0"/>
    <s v="500"/>
    <x v="0"/>
  </r>
  <r>
    <x v="6"/>
    <x v="1"/>
    <m/>
    <x v="0"/>
  </r>
  <r>
    <x v="6"/>
    <x v="0"/>
    <m/>
    <x v="0"/>
  </r>
  <r>
    <x v="6"/>
    <x v="2"/>
    <s v="x"/>
    <x v="0"/>
  </r>
  <r>
    <x v="6"/>
    <x v="0"/>
    <n v="6"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7"/>
    <x v="0"/>
    <n v="500"/>
    <x v="0"/>
  </r>
  <r>
    <x v="7"/>
    <x v="1"/>
    <m/>
    <x v="0"/>
  </r>
  <r>
    <x v="7"/>
    <x v="0"/>
    <m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8"/>
    <x v="0"/>
    <n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9"/>
    <x v="0"/>
    <s v="500"/>
    <x v="0"/>
  </r>
  <r>
    <x v="9"/>
    <x v="1"/>
    <m/>
    <x v="0"/>
  </r>
  <r>
    <x v="9"/>
    <x v="0"/>
    <m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12"/>
    <x v="0"/>
    <n v="500"/>
    <x v="0"/>
  </r>
  <r>
    <x v="12"/>
    <x v="1"/>
    <m/>
    <x v="0"/>
  </r>
  <r>
    <x v="12"/>
    <x v="0"/>
    <m/>
    <x v="0"/>
  </r>
  <r>
    <x v="12"/>
    <x v="2"/>
    <s v="x"/>
    <x v="0"/>
  </r>
  <r>
    <x v="12"/>
    <x v="0"/>
    <n v="2"/>
    <x v="0"/>
  </r>
  <r>
    <x v="12"/>
    <x v="3"/>
    <m/>
    <x v="0"/>
  </r>
  <r>
    <x v="12"/>
    <x v="0"/>
    <m/>
    <x v="0"/>
  </r>
  <r>
    <x v="12"/>
    <x v="4"/>
    <m/>
    <x v="0"/>
  </r>
  <r>
    <x v="12"/>
    <x v="0"/>
    <m/>
    <x v="0"/>
  </r>
  <r>
    <x v="5"/>
    <x v="0"/>
    <n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n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3"/>
    <x v="0"/>
    <n v="500"/>
    <x v="0"/>
  </r>
  <r>
    <x v="3"/>
    <x v="1"/>
    <s v="x"/>
    <x v="0"/>
  </r>
  <r>
    <x v="3"/>
    <x v="0"/>
    <n v="7"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1134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8"/>
    <x v="0"/>
    <n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10"/>
    <x v="0"/>
    <n v="538"/>
    <x v="0"/>
  </r>
  <r>
    <x v="10"/>
    <x v="1"/>
    <s v="x"/>
    <x v="0"/>
  </r>
  <r>
    <x v="10"/>
    <x v="0"/>
    <n v="9"/>
    <x v="0"/>
  </r>
  <r>
    <x v="10"/>
    <x v="2"/>
    <s v="x"/>
    <x v="0"/>
  </r>
  <r>
    <x v="10"/>
    <x v="0"/>
    <n v="9"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2"/>
    <x v="0"/>
    <n v="500"/>
    <x v="0"/>
  </r>
  <r>
    <x v="12"/>
    <x v="1"/>
    <m/>
    <x v="0"/>
  </r>
  <r>
    <x v="12"/>
    <x v="0"/>
    <m/>
    <x v="0"/>
  </r>
  <r>
    <x v="12"/>
    <x v="2"/>
    <m/>
    <x v="0"/>
  </r>
  <r>
    <x v="12"/>
    <x v="0"/>
    <m/>
    <x v="0"/>
  </r>
  <r>
    <x v="12"/>
    <x v="3"/>
    <m/>
    <x v="0"/>
  </r>
  <r>
    <x v="12"/>
    <x v="0"/>
    <m/>
    <x v="0"/>
  </r>
  <r>
    <x v="12"/>
    <x v="4"/>
    <m/>
    <x v="0"/>
  </r>
  <r>
    <x v="12"/>
    <x v="0"/>
    <m/>
    <x v="0"/>
  </r>
  <r>
    <x v="9"/>
    <x v="0"/>
    <n v="500"/>
    <x v="0"/>
  </r>
  <r>
    <x v="9"/>
    <x v="1"/>
    <s v="x"/>
    <x v="0"/>
  </r>
  <r>
    <x v="9"/>
    <x v="0"/>
    <n v="9"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6"/>
    <x v="0"/>
    <n v="500"/>
    <x v="0"/>
  </r>
  <r>
    <x v="6"/>
    <x v="1"/>
    <s v="x"/>
    <x v="0"/>
  </r>
  <r>
    <x v="6"/>
    <x v="0"/>
    <n v="2"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9"/>
    <x v="0"/>
    <n v="500"/>
    <x v="0"/>
  </r>
  <r>
    <x v="9"/>
    <x v="1"/>
    <s v="x"/>
    <x v="0"/>
  </r>
  <r>
    <x v="9"/>
    <x v="0"/>
    <n v="2"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11"/>
    <x v="0"/>
    <n v="500"/>
    <x v="0"/>
  </r>
  <r>
    <x v="11"/>
    <x v="1"/>
    <s v="x"/>
    <x v="0"/>
  </r>
  <r>
    <x v="11"/>
    <x v="0"/>
    <n v="7"/>
    <x v="0"/>
  </r>
  <r>
    <x v="11"/>
    <x v="2"/>
    <s v="x"/>
    <x v="0"/>
  </r>
  <r>
    <x v="11"/>
    <x v="0"/>
    <n v="6"/>
    <x v="0"/>
  </r>
  <r>
    <x v="11"/>
    <x v="3"/>
    <m/>
    <x v="0"/>
  </r>
  <r>
    <x v="11"/>
    <x v="0"/>
    <m/>
    <x v="0"/>
  </r>
  <r>
    <x v="11"/>
    <x v="4"/>
    <m/>
    <x v="0"/>
  </r>
  <r>
    <x v="11"/>
    <x v="0"/>
    <m/>
    <x v="0"/>
  </r>
  <r>
    <x v="10"/>
    <x v="0"/>
    <n v="500"/>
    <x v="0"/>
  </r>
  <r>
    <x v="10"/>
    <x v="1"/>
    <s v="x"/>
    <x v="0"/>
  </r>
  <r>
    <x v="10"/>
    <x v="0"/>
    <n v="2"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3"/>
    <x v="0"/>
    <n v="94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12"/>
    <x v="0"/>
    <n v="575"/>
    <x v="0"/>
  </r>
  <r>
    <x v="12"/>
    <x v="1"/>
    <s v="x"/>
    <x v="0"/>
  </r>
  <r>
    <x v="12"/>
    <x v="0"/>
    <n v="9"/>
    <x v="0"/>
  </r>
  <r>
    <x v="12"/>
    <x v="2"/>
    <s v="x"/>
    <x v="0"/>
  </r>
  <r>
    <x v="12"/>
    <x v="0"/>
    <n v="6"/>
    <x v="0"/>
  </r>
  <r>
    <x v="12"/>
    <x v="3"/>
    <m/>
    <x v="0"/>
  </r>
  <r>
    <x v="12"/>
    <x v="0"/>
    <m/>
    <x v="0"/>
  </r>
  <r>
    <x v="12"/>
    <x v="4"/>
    <m/>
    <x v="0"/>
  </r>
  <r>
    <x v="12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12"/>
    <x v="0"/>
    <n v="500"/>
    <x v="0"/>
  </r>
  <r>
    <x v="12"/>
    <x v="1"/>
    <s v="x"/>
    <x v="0"/>
  </r>
  <r>
    <x v="12"/>
    <x v="0"/>
    <n v="8"/>
    <x v="0"/>
  </r>
  <r>
    <x v="12"/>
    <x v="2"/>
    <m/>
    <x v="0"/>
  </r>
  <r>
    <x v="12"/>
    <x v="0"/>
    <m/>
    <x v="0"/>
  </r>
  <r>
    <x v="12"/>
    <x v="3"/>
    <m/>
    <x v="0"/>
  </r>
  <r>
    <x v="12"/>
    <x v="0"/>
    <m/>
    <x v="0"/>
  </r>
  <r>
    <x v="12"/>
    <x v="4"/>
    <m/>
    <x v="0"/>
  </r>
  <r>
    <x v="12"/>
    <x v="0"/>
    <m/>
    <x v="0"/>
  </r>
  <r>
    <x v="5"/>
    <x v="0"/>
    <n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983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12"/>
    <x v="0"/>
    <n v="500"/>
    <x v="0"/>
  </r>
  <r>
    <x v="12"/>
    <x v="1"/>
    <s v="x"/>
    <x v="0"/>
  </r>
  <r>
    <x v="12"/>
    <x v="0"/>
    <n v="3"/>
    <x v="0"/>
  </r>
  <r>
    <x v="12"/>
    <x v="2"/>
    <s v="x"/>
    <x v="0"/>
  </r>
  <r>
    <x v="12"/>
    <x v="0"/>
    <n v="1"/>
    <x v="0"/>
  </r>
  <r>
    <x v="12"/>
    <x v="3"/>
    <m/>
    <x v="0"/>
  </r>
  <r>
    <x v="12"/>
    <x v="0"/>
    <m/>
    <x v="0"/>
  </r>
  <r>
    <x v="12"/>
    <x v="4"/>
    <m/>
    <x v="0"/>
  </r>
  <r>
    <x v="12"/>
    <x v="0"/>
    <m/>
    <x v="0"/>
  </r>
  <r>
    <x v="6"/>
    <x v="0"/>
    <s v="500"/>
    <x v="0"/>
  </r>
  <r>
    <x v="6"/>
    <x v="1"/>
    <m/>
    <x v="0"/>
  </r>
  <r>
    <x v="6"/>
    <x v="0"/>
    <m/>
    <x v="0"/>
  </r>
  <r>
    <x v="6"/>
    <x v="2"/>
    <s v="x"/>
    <x v="0"/>
  </r>
  <r>
    <x v="6"/>
    <x v="0"/>
    <n v="8"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6"/>
    <x v="0"/>
    <s v="769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6"/>
    <x v="0"/>
    <n v="500"/>
    <x v="0"/>
  </r>
  <r>
    <x v="6"/>
    <x v="1"/>
    <s v="x"/>
    <x v="0"/>
  </r>
  <r>
    <x v="6"/>
    <x v="0"/>
    <n v="4"/>
    <x v="0"/>
  </r>
  <r>
    <x v="6"/>
    <x v="2"/>
    <s v="x"/>
    <x v="0"/>
  </r>
  <r>
    <x v="6"/>
    <x v="0"/>
    <n v="7"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3"/>
    <x v="0"/>
    <n v="1036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726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6"/>
    <x v="0"/>
    <s v="500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3"/>
    <x v="0"/>
    <n v="1054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6"/>
    <x v="0"/>
    <s v="500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12"/>
    <x v="0"/>
    <n v="500"/>
    <x v="0"/>
  </r>
  <r>
    <x v="12"/>
    <x v="1"/>
    <m/>
    <x v="0"/>
  </r>
  <r>
    <x v="12"/>
    <x v="0"/>
    <m/>
    <x v="0"/>
  </r>
  <r>
    <x v="12"/>
    <x v="2"/>
    <m/>
    <x v="0"/>
  </r>
  <r>
    <x v="12"/>
    <x v="0"/>
    <m/>
    <x v="0"/>
  </r>
  <r>
    <x v="12"/>
    <x v="3"/>
    <m/>
    <x v="0"/>
  </r>
  <r>
    <x v="12"/>
    <x v="0"/>
    <m/>
    <x v="0"/>
  </r>
  <r>
    <x v="12"/>
    <x v="4"/>
    <m/>
    <x v="0"/>
  </r>
  <r>
    <x v="12"/>
    <x v="0"/>
    <m/>
    <x v="0"/>
  </r>
  <r>
    <x v="6"/>
    <x v="0"/>
    <n v="500"/>
    <x v="0"/>
  </r>
  <r>
    <x v="6"/>
    <x v="1"/>
    <s v="x"/>
    <x v="0"/>
  </r>
  <r>
    <x v="6"/>
    <x v="0"/>
    <n v="8"/>
    <x v="0"/>
  </r>
  <r>
    <x v="6"/>
    <x v="2"/>
    <s v="x"/>
    <x v="0"/>
  </r>
  <r>
    <x v="6"/>
    <x v="0"/>
    <n v="2"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3"/>
    <x v="0"/>
    <n v="84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11"/>
    <x v="0"/>
    <n v="500"/>
    <x v="0"/>
  </r>
  <r>
    <x v="11"/>
    <x v="1"/>
    <s v="x"/>
    <x v="0"/>
  </r>
  <r>
    <x v="11"/>
    <x v="0"/>
    <n v="4"/>
    <x v="0"/>
  </r>
  <r>
    <x v="11"/>
    <x v="2"/>
    <m/>
    <x v="0"/>
  </r>
  <r>
    <x v="11"/>
    <x v="0"/>
    <m/>
    <x v="0"/>
  </r>
  <r>
    <x v="11"/>
    <x v="3"/>
    <m/>
    <x v="0"/>
  </r>
  <r>
    <x v="11"/>
    <x v="0"/>
    <m/>
    <x v="0"/>
  </r>
  <r>
    <x v="11"/>
    <x v="4"/>
    <m/>
    <x v="0"/>
  </r>
  <r>
    <x v="11"/>
    <x v="0"/>
    <m/>
    <x v="0"/>
  </r>
  <r>
    <x v="6"/>
    <x v="0"/>
    <s v="500"/>
    <x v="0"/>
  </r>
  <r>
    <x v="6"/>
    <x v="1"/>
    <m/>
    <x v="0"/>
  </r>
  <r>
    <x v="6"/>
    <x v="0"/>
    <m/>
    <x v="0"/>
  </r>
  <r>
    <x v="6"/>
    <x v="2"/>
    <s v="x"/>
    <x v="0"/>
  </r>
  <r>
    <x v="6"/>
    <x v="0"/>
    <n v="3"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5"/>
    <x v="0"/>
    <n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6"/>
    <x v="0"/>
    <n v="826"/>
    <x v="0"/>
  </r>
  <r>
    <x v="6"/>
    <x v="1"/>
    <s v="x"/>
    <x v="0"/>
  </r>
  <r>
    <x v="6"/>
    <x v="0"/>
    <n v="10"/>
    <x v="0"/>
  </r>
  <r>
    <x v="6"/>
    <x v="2"/>
    <s v="x"/>
    <x v="0"/>
  </r>
  <r>
    <x v="6"/>
    <x v="0"/>
    <n v="12"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5"/>
    <x v="0"/>
    <n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10"/>
    <x v="0"/>
    <n v="879"/>
    <x v="0"/>
  </r>
  <r>
    <x v="10"/>
    <x v="1"/>
    <s v="x"/>
    <x v="0"/>
  </r>
  <r>
    <x v="10"/>
    <x v="0"/>
    <n v="11"/>
    <x v="0"/>
  </r>
  <r>
    <x v="10"/>
    <x v="2"/>
    <s v="x"/>
    <x v="0"/>
  </r>
  <r>
    <x v="10"/>
    <x v="0"/>
    <n v="10"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2"/>
    <x v="0"/>
    <n v="500"/>
    <x v="0"/>
  </r>
  <r>
    <x v="2"/>
    <x v="1"/>
    <s v="x"/>
    <x v="0"/>
  </r>
  <r>
    <x v="2"/>
    <x v="0"/>
    <n v="4"/>
    <x v="0"/>
  </r>
  <r>
    <x v="2"/>
    <x v="2"/>
    <s v="x"/>
    <x v="0"/>
  </r>
  <r>
    <x v="2"/>
    <x v="0"/>
    <n v="2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12"/>
    <x v="0"/>
    <n v="756"/>
    <x v="0"/>
  </r>
  <r>
    <x v="12"/>
    <x v="1"/>
    <m/>
    <x v="0"/>
  </r>
  <r>
    <x v="12"/>
    <x v="0"/>
    <m/>
    <x v="0"/>
  </r>
  <r>
    <x v="12"/>
    <x v="2"/>
    <s v="x"/>
    <x v="0"/>
  </r>
  <r>
    <x v="12"/>
    <x v="0"/>
    <n v="7"/>
    <x v="0"/>
  </r>
  <r>
    <x v="12"/>
    <x v="3"/>
    <m/>
    <x v="0"/>
  </r>
  <r>
    <x v="12"/>
    <x v="0"/>
    <m/>
    <x v="0"/>
  </r>
  <r>
    <x v="12"/>
    <x v="4"/>
    <m/>
    <x v="0"/>
  </r>
  <r>
    <x v="12"/>
    <x v="0"/>
    <m/>
    <x v="0"/>
  </r>
  <r>
    <x v="3"/>
    <x v="0"/>
    <n v="1113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5"/>
    <x v="0"/>
    <n v="619"/>
    <x v="0"/>
  </r>
  <r>
    <x v="5"/>
    <x v="1"/>
    <s v="x"/>
    <x v="0"/>
  </r>
  <r>
    <x v="5"/>
    <x v="0"/>
    <n v="7"/>
    <x v="0"/>
  </r>
  <r>
    <x v="5"/>
    <x v="2"/>
    <s v="x"/>
    <x v="0"/>
  </r>
  <r>
    <x v="5"/>
    <x v="0"/>
    <n v="8"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12"/>
    <x v="0"/>
    <n v="500"/>
    <x v="0"/>
  </r>
  <r>
    <x v="12"/>
    <x v="1"/>
    <m/>
    <x v="0"/>
  </r>
  <r>
    <x v="12"/>
    <x v="0"/>
    <m/>
    <x v="0"/>
  </r>
  <r>
    <x v="12"/>
    <x v="2"/>
    <s v="x"/>
    <x v="0"/>
  </r>
  <r>
    <x v="12"/>
    <x v="0"/>
    <n v="1"/>
    <x v="0"/>
  </r>
  <r>
    <x v="12"/>
    <x v="3"/>
    <m/>
    <x v="0"/>
  </r>
  <r>
    <x v="12"/>
    <x v="0"/>
    <m/>
    <x v="0"/>
  </r>
  <r>
    <x v="12"/>
    <x v="4"/>
    <m/>
    <x v="0"/>
  </r>
  <r>
    <x v="12"/>
    <x v="0"/>
    <m/>
    <x v="0"/>
  </r>
  <r>
    <x v="9"/>
    <x v="0"/>
    <s v="500"/>
    <x v="0"/>
  </r>
  <r>
    <x v="9"/>
    <x v="1"/>
    <m/>
    <x v="0"/>
  </r>
  <r>
    <x v="9"/>
    <x v="0"/>
    <m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6"/>
    <x v="0"/>
    <s v="501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3"/>
    <x v="0"/>
    <n v="785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9"/>
    <x v="0"/>
    <s v="500"/>
    <x v="0"/>
  </r>
  <r>
    <x v="9"/>
    <x v="1"/>
    <m/>
    <x v="0"/>
  </r>
  <r>
    <x v="9"/>
    <x v="0"/>
    <m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10"/>
    <x v="0"/>
    <n v="500"/>
    <x v="0"/>
  </r>
  <r>
    <x v="10"/>
    <x v="1"/>
    <s v="x"/>
    <x v="0"/>
  </r>
  <r>
    <x v="10"/>
    <x v="0"/>
    <n v="7"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8"/>
    <x v="0"/>
    <n v="539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2"/>
    <x v="0"/>
    <n v="500"/>
    <x v="0"/>
  </r>
  <r>
    <x v="2"/>
    <x v="1"/>
    <s v="x"/>
    <x v="0"/>
  </r>
  <r>
    <x v="2"/>
    <x v="0"/>
    <n v="1"/>
    <x v="0"/>
  </r>
  <r>
    <x v="2"/>
    <x v="2"/>
    <s v="x"/>
    <x v="0"/>
  </r>
  <r>
    <x v="2"/>
    <x v="0"/>
    <n v="1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12"/>
    <x v="0"/>
    <n v="606"/>
    <x v="0"/>
  </r>
  <r>
    <x v="12"/>
    <x v="1"/>
    <m/>
    <x v="0"/>
  </r>
  <r>
    <x v="12"/>
    <x v="0"/>
    <m/>
    <x v="0"/>
  </r>
  <r>
    <x v="12"/>
    <x v="2"/>
    <m/>
    <x v="0"/>
  </r>
  <r>
    <x v="12"/>
    <x v="0"/>
    <m/>
    <x v="0"/>
  </r>
  <r>
    <x v="12"/>
    <x v="3"/>
    <m/>
    <x v="0"/>
  </r>
  <r>
    <x v="12"/>
    <x v="0"/>
    <m/>
    <x v="0"/>
  </r>
  <r>
    <x v="12"/>
    <x v="4"/>
    <m/>
    <x v="0"/>
  </r>
  <r>
    <x v="12"/>
    <x v="0"/>
    <m/>
    <x v="0"/>
  </r>
  <r>
    <x v="3"/>
    <x v="0"/>
    <n v="610"/>
    <x v="0"/>
  </r>
  <r>
    <x v="3"/>
    <x v="1"/>
    <s v="x"/>
    <x v="0"/>
  </r>
  <r>
    <x v="3"/>
    <x v="0"/>
    <n v="8"/>
    <x v="0"/>
  </r>
  <r>
    <x v="3"/>
    <x v="2"/>
    <s v="x"/>
    <x v="0"/>
  </r>
  <r>
    <x v="3"/>
    <x v="0"/>
    <n v="6"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5"/>
    <x v="0"/>
    <n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8"/>
    <x v="0"/>
    <n v="816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5"/>
    <x v="0"/>
    <n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6"/>
    <x v="0"/>
    <n v="500"/>
    <x v="0"/>
  </r>
  <r>
    <x v="6"/>
    <x v="1"/>
    <s v="x"/>
    <x v="0"/>
  </r>
  <r>
    <x v="6"/>
    <x v="0"/>
    <n v="3"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4"/>
    <x v="0"/>
    <s v="822"/>
    <x v="0"/>
  </r>
  <r>
    <x v="4"/>
    <x v="1"/>
    <m/>
    <x v="0"/>
  </r>
  <r>
    <x v="4"/>
    <x v="0"/>
    <m/>
    <x v="0"/>
  </r>
  <r>
    <x v="4"/>
    <x v="2"/>
    <m/>
    <x v="0"/>
  </r>
  <r>
    <x v="4"/>
    <x v="0"/>
    <m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11"/>
    <x v="0"/>
    <n v="597"/>
    <x v="0"/>
  </r>
  <r>
    <x v="11"/>
    <x v="1"/>
    <m/>
    <x v="0"/>
  </r>
  <r>
    <x v="11"/>
    <x v="0"/>
    <m/>
    <x v="0"/>
  </r>
  <r>
    <x v="11"/>
    <x v="2"/>
    <s v="x"/>
    <x v="0"/>
  </r>
  <r>
    <x v="11"/>
    <x v="0"/>
    <n v="6"/>
    <x v="0"/>
  </r>
  <r>
    <x v="11"/>
    <x v="3"/>
    <m/>
    <x v="0"/>
  </r>
  <r>
    <x v="11"/>
    <x v="0"/>
    <m/>
    <x v="0"/>
  </r>
  <r>
    <x v="11"/>
    <x v="4"/>
    <m/>
    <x v="0"/>
  </r>
  <r>
    <x v="11"/>
    <x v="0"/>
    <m/>
    <x v="0"/>
  </r>
  <r>
    <x v="2"/>
    <x v="0"/>
    <n v="500"/>
    <x v="0"/>
  </r>
  <r>
    <x v="2"/>
    <x v="1"/>
    <s v="x"/>
    <x v="0"/>
  </r>
  <r>
    <x v="2"/>
    <x v="0"/>
    <n v="8"/>
    <x v="0"/>
  </r>
  <r>
    <x v="2"/>
    <x v="2"/>
    <s v="x"/>
    <x v="0"/>
  </r>
  <r>
    <x v="2"/>
    <x v="0"/>
    <n v="2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6"/>
    <x v="0"/>
    <s v="500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11"/>
    <x v="0"/>
    <n v="500"/>
    <x v="0"/>
  </r>
  <r>
    <x v="11"/>
    <x v="1"/>
    <s v="x"/>
    <x v="0"/>
  </r>
  <r>
    <x v="11"/>
    <x v="0"/>
    <n v="8"/>
    <x v="0"/>
  </r>
  <r>
    <x v="11"/>
    <x v="2"/>
    <m/>
    <x v="0"/>
  </r>
  <r>
    <x v="11"/>
    <x v="0"/>
    <m/>
    <x v="0"/>
  </r>
  <r>
    <x v="11"/>
    <x v="3"/>
    <m/>
    <x v="0"/>
  </r>
  <r>
    <x v="11"/>
    <x v="0"/>
    <m/>
    <x v="0"/>
  </r>
  <r>
    <x v="11"/>
    <x v="4"/>
    <m/>
    <x v="0"/>
  </r>
  <r>
    <x v="11"/>
    <x v="0"/>
    <m/>
    <x v="0"/>
  </r>
  <r>
    <x v="5"/>
    <x v="0"/>
    <n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6"/>
    <x v="0"/>
    <s v="500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8"/>
    <x v="0"/>
    <n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3"/>
    <x v="0"/>
    <n v="1146"/>
    <x v="0"/>
  </r>
  <r>
    <x v="3"/>
    <x v="1"/>
    <s v="x"/>
    <x v="0"/>
  </r>
  <r>
    <x v="3"/>
    <x v="0"/>
    <n v="13"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967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9"/>
    <x v="0"/>
    <s v="500"/>
    <x v="0"/>
  </r>
  <r>
    <x v="9"/>
    <x v="1"/>
    <m/>
    <x v="0"/>
  </r>
  <r>
    <x v="9"/>
    <x v="0"/>
    <m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9"/>
    <x v="0"/>
    <n v="500"/>
    <x v="0"/>
  </r>
  <r>
    <x v="9"/>
    <x v="1"/>
    <m/>
    <x v="0"/>
  </r>
  <r>
    <x v="9"/>
    <x v="0"/>
    <m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6"/>
    <x v="0"/>
    <s v="500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6"/>
    <x v="0"/>
    <s v="500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4"/>
    <x v="0"/>
    <n v="500"/>
    <x v="0"/>
  </r>
  <r>
    <x v="4"/>
    <x v="1"/>
    <s v="x"/>
    <x v="0"/>
  </r>
  <r>
    <x v="4"/>
    <x v="0"/>
    <n v="3"/>
    <x v="0"/>
  </r>
  <r>
    <x v="4"/>
    <x v="2"/>
    <m/>
    <x v="0"/>
  </r>
  <r>
    <x v="4"/>
    <x v="0"/>
    <m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2"/>
    <x v="0"/>
    <n v="500"/>
    <x v="0"/>
  </r>
  <r>
    <x v="2"/>
    <x v="1"/>
    <s v="x"/>
    <x v="0"/>
  </r>
  <r>
    <x v="2"/>
    <x v="0"/>
    <n v="3"/>
    <x v="0"/>
  </r>
  <r>
    <x v="2"/>
    <x v="2"/>
    <s v="x"/>
    <x v="0"/>
  </r>
  <r>
    <x v="2"/>
    <x v="0"/>
    <n v="3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12"/>
    <x v="0"/>
    <n v="500"/>
    <x v="0"/>
  </r>
  <r>
    <x v="12"/>
    <x v="1"/>
    <m/>
    <x v="0"/>
  </r>
  <r>
    <x v="12"/>
    <x v="0"/>
    <m/>
    <x v="0"/>
  </r>
  <r>
    <x v="12"/>
    <x v="2"/>
    <m/>
    <x v="0"/>
  </r>
  <r>
    <x v="12"/>
    <x v="0"/>
    <m/>
    <x v="0"/>
  </r>
  <r>
    <x v="12"/>
    <x v="3"/>
    <m/>
    <x v="0"/>
  </r>
  <r>
    <x v="12"/>
    <x v="0"/>
    <m/>
    <x v="0"/>
  </r>
  <r>
    <x v="12"/>
    <x v="4"/>
    <m/>
    <x v="0"/>
  </r>
  <r>
    <x v="12"/>
    <x v="0"/>
    <m/>
    <x v="0"/>
  </r>
  <r>
    <x v="11"/>
    <x v="0"/>
    <n v="561"/>
    <x v="0"/>
  </r>
  <r>
    <x v="11"/>
    <x v="1"/>
    <m/>
    <x v="0"/>
  </r>
  <r>
    <x v="11"/>
    <x v="0"/>
    <m/>
    <x v="0"/>
  </r>
  <r>
    <x v="11"/>
    <x v="2"/>
    <s v="x"/>
    <x v="0"/>
  </r>
  <r>
    <x v="11"/>
    <x v="0"/>
    <n v="7"/>
    <x v="0"/>
  </r>
  <r>
    <x v="11"/>
    <x v="3"/>
    <m/>
    <x v="0"/>
  </r>
  <r>
    <x v="11"/>
    <x v="0"/>
    <m/>
    <x v="0"/>
  </r>
  <r>
    <x v="11"/>
    <x v="4"/>
    <m/>
    <x v="0"/>
  </r>
  <r>
    <x v="11"/>
    <x v="0"/>
    <m/>
    <x v="0"/>
  </r>
  <r>
    <x v="6"/>
    <x v="0"/>
    <n v="500"/>
    <x v="0"/>
  </r>
  <r>
    <x v="6"/>
    <x v="1"/>
    <s v="x"/>
    <x v="0"/>
  </r>
  <r>
    <x v="6"/>
    <x v="0"/>
    <n v="4"/>
    <x v="0"/>
  </r>
  <r>
    <x v="6"/>
    <x v="2"/>
    <s v="x"/>
    <x v="0"/>
  </r>
  <r>
    <x v="6"/>
    <x v="0"/>
    <n v="1"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9"/>
    <x v="0"/>
    <s v="500"/>
    <x v="0"/>
  </r>
  <r>
    <x v="9"/>
    <x v="1"/>
    <m/>
    <x v="0"/>
  </r>
  <r>
    <x v="9"/>
    <x v="0"/>
    <m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6"/>
    <x v="0"/>
    <s v="500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8"/>
    <x v="0"/>
    <n v="487"/>
    <x v="0"/>
  </r>
  <r>
    <x v="8"/>
    <x v="1"/>
    <m/>
    <x v="0"/>
  </r>
  <r>
    <x v="8"/>
    <x v="0"/>
    <m/>
    <x v="0"/>
  </r>
  <r>
    <x v="8"/>
    <x v="2"/>
    <s v="x"/>
    <x v="0"/>
  </r>
  <r>
    <x v="8"/>
    <x v="0"/>
    <n v="6"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4"/>
    <x v="0"/>
    <n v="500"/>
    <x v="0"/>
  </r>
  <r>
    <x v="4"/>
    <x v="1"/>
    <s v="x"/>
    <x v="0"/>
  </r>
  <r>
    <x v="4"/>
    <x v="0"/>
    <n v="1"/>
    <x v="0"/>
  </r>
  <r>
    <x v="4"/>
    <x v="2"/>
    <m/>
    <x v="0"/>
  </r>
  <r>
    <x v="4"/>
    <x v="0"/>
    <m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11"/>
    <x v="0"/>
    <n v="654"/>
    <x v="0"/>
  </r>
  <r>
    <x v="11"/>
    <x v="1"/>
    <s v="x"/>
    <x v="0"/>
  </r>
  <r>
    <x v="11"/>
    <x v="0"/>
    <n v="9"/>
    <x v="0"/>
  </r>
  <r>
    <x v="11"/>
    <x v="2"/>
    <s v="x"/>
    <x v="0"/>
  </r>
  <r>
    <x v="11"/>
    <x v="0"/>
    <n v="8"/>
    <x v="0"/>
  </r>
  <r>
    <x v="11"/>
    <x v="3"/>
    <m/>
    <x v="0"/>
  </r>
  <r>
    <x v="11"/>
    <x v="0"/>
    <m/>
    <x v="0"/>
  </r>
  <r>
    <x v="11"/>
    <x v="4"/>
    <m/>
    <x v="0"/>
  </r>
  <r>
    <x v="11"/>
    <x v="0"/>
    <m/>
    <x v="0"/>
  </r>
  <r>
    <x v="6"/>
    <x v="0"/>
    <s v="1045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6"/>
    <x v="0"/>
    <n v="656"/>
    <x v="0"/>
  </r>
  <r>
    <x v="6"/>
    <x v="1"/>
    <s v="x"/>
    <x v="0"/>
  </r>
  <r>
    <x v="6"/>
    <x v="0"/>
    <n v="10"/>
    <x v="0"/>
  </r>
  <r>
    <x v="6"/>
    <x v="2"/>
    <s v="x"/>
    <x v="0"/>
  </r>
  <r>
    <x v="6"/>
    <x v="0"/>
    <n v="9"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5"/>
    <x v="0"/>
    <n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n v="514"/>
    <x v="0"/>
  </r>
  <r>
    <x v="5"/>
    <x v="1"/>
    <s v="x"/>
    <x v="0"/>
  </r>
  <r>
    <x v="5"/>
    <x v="0"/>
    <n v="8"/>
    <x v="0"/>
  </r>
  <r>
    <x v="5"/>
    <x v="2"/>
    <s v="x"/>
    <x v="0"/>
  </r>
  <r>
    <x v="5"/>
    <x v="0"/>
    <n v="7"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1">
  <r>
    <x v="0"/>
    <x v="0"/>
    <m/>
    <x v="0"/>
  </r>
  <r>
    <x v="0"/>
    <x v="1"/>
    <d v="2025-11-30T00:00:00"/>
    <x v="0"/>
  </r>
  <r>
    <x v="0"/>
    <x v="0"/>
    <m/>
    <x v="0"/>
  </r>
  <r>
    <x v="0"/>
    <x v="2"/>
    <d v="2026-01-18T00:00:00"/>
    <x v="0"/>
  </r>
  <r>
    <x v="0"/>
    <x v="0"/>
    <m/>
    <x v="0"/>
  </r>
  <r>
    <x v="0"/>
    <x v="3"/>
    <d v="2026-03-22T00:00:00"/>
    <x v="0"/>
  </r>
  <r>
    <x v="0"/>
    <x v="0"/>
    <m/>
    <x v="0"/>
  </r>
  <r>
    <x v="0"/>
    <x v="4"/>
    <d v="2026-06-07T00:00:00"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1"/>
    <x v="0"/>
    <s v="Class."/>
    <x v="0"/>
  </r>
  <r>
    <x v="1"/>
    <x v="1"/>
    <s v="Pr. T1"/>
    <x v="0"/>
  </r>
  <r>
    <x v="1"/>
    <x v="0"/>
    <s v="Points T1"/>
    <x v="0"/>
  </r>
  <r>
    <x v="1"/>
    <x v="2"/>
    <s v="Pr. T2"/>
    <x v="0"/>
  </r>
  <r>
    <x v="1"/>
    <x v="0"/>
    <s v="Points T2"/>
    <x v="0"/>
  </r>
  <r>
    <x v="1"/>
    <x v="3"/>
    <s v="Pr. T3"/>
    <x v="0"/>
  </r>
  <r>
    <x v="1"/>
    <x v="0"/>
    <s v="Points T3"/>
    <x v="0"/>
  </r>
  <r>
    <x v="1"/>
    <x v="4"/>
    <s v="Pr. T4"/>
    <x v="0"/>
  </r>
  <r>
    <x v="1"/>
    <x v="0"/>
    <s v="Points T4"/>
    <x v="0"/>
  </r>
  <r>
    <x v="2"/>
    <x v="0"/>
    <n v="574"/>
    <x v="0"/>
  </r>
  <r>
    <x v="2"/>
    <x v="1"/>
    <s v="x"/>
    <x v="0"/>
  </r>
  <r>
    <x v="2"/>
    <x v="0"/>
    <n v="13"/>
    <x v="0"/>
  </r>
  <r>
    <x v="2"/>
    <x v="2"/>
    <s v="x"/>
    <x v="0"/>
  </r>
  <r>
    <x v="2"/>
    <x v="0"/>
    <n v="10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3"/>
    <x v="0"/>
    <n v="660"/>
    <x v="0"/>
  </r>
  <r>
    <x v="3"/>
    <x v="1"/>
    <s v="x"/>
    <x v="0"/>
  </r>
  <r>
    <x v="3"/>
    <x v="0"/>
    <n v="10"/>
    <x v="0"/>
  </r>
  <r>
    <x v="3"/>
    <x v="2"/>
    <s v="x"/>
    <x v="0"/>
  </r>
  <r>
    <x v="3"/>
    <x v="0"/>
    <n v="12"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4"/>
    <x v="0"/>
    <n v="563"/>
    <x v="0"/>
  </r>
  <r>
    <x v="4"/>
    <x v="1"/>
    <s v="x"/>
    <x v="0"/>
  </r>
  <r>
    <x v="4"/>
    <x v="0"/>
    <n v="9"/>
    <x v="0"/>
  </r>
  <r>
    <x v="4"/>
    <x v="2"/>
    <s v="x"/>
    <x v="0"/>
  </r>
  <r>
    <x v="4"/>
    <x v="0"/>
    <n v="8"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3"/>
    <x v="0"/>
    <n v="636"/>
    <x v="0"/>
  </r>
  <r>
    <x v="3"/>
    <x v="1"/>
    <s v="x"/>
    <x v="0"/>
  </r>
  <r>
    <x v="3"/>
    <x v="0"/>
    <n v="9"/>
    <x v="0"/>
  </r>
  <r>
    <x v="3"/>
    <x v="2"/>
    <s v="x"/>
    <x v="0"/>
  </r>
  <r>
    <x v="3"/>
    <x v="0"/>
    <n v="8"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617"/>
    <x v="0"/>
  </r>
  <r>
    <x v="3"/>
    <x v="1"/>
    <s v="x"/>
    <x v="0"/>
  </r>
  <r>
    <x v="3"/>
    <x v="0"/>
    <n v="9"/>
    <x v="0"/>
  </r>
  <r>
    <x v="3"/>
    <x v="2"/>
    <s v="x"/>
    <x v="0"/>
  </r>
  <r>
    <x v="3"/>
    <x v="0"/>
    <n v="8"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5"/>
    <x v="0"/>
    <n v="500"/>
    <x v="0"/>
  </r>
  <r>
    <x v="5"/>
    <x v="1"/>
    <s v="x"/>
    <x v="0"/>
  </r>
  <r>
    <x v="5"/>
    <x v="0"/>
    <n v="9"/>
    <x v="0"/>
  </r>
  <r>
    <x v="5"/>
    <x v="2"/>
    <s v="x"/>
    <x v="0"/>
  </r>
  <r>
    <x v="5"/>
    <x v="0"/>
    <n v="8"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4"/>
    <x v="0"/>
    <n v="500"/>
    <x v="0"/>
  </r>
  <r>
    <x v="4"/>
    <x v="1"/>
    <s v="x"/>
    <x v="0"/>
  </r>
  <r>
    <x v="4"/>
    <x v="0"/>
    <n v="8"/>
    <x v="0"/>
  </r>
  <r>
    <x v="4"/>
    <x v="2"/>
    <s v="x"/>
    <x v="0"/>
  </r>
  <r>
    <x v="4"/>
    <x v="0"/>
    <n v="9"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6"/>
    <x v="0"/>
    <n v="532"/>
    <x v="0"/>
  </r>
  <r>
    <x v="6"/>
    <x v="1"/>
    <s v="x"/>
    <x v="0"/>
  </r>
  <r>
    <x v="6"/>
    <x v="0"/>
    <n v="8"/>
    <x v="0"/>
  </r>
  <r>
    <x v="6"/>
    <x v="2"/>
    <s v="x"/>
    <x v="0"/>
  </r>
  <r>
    <x v="6"/>
    <x v="0"/>
    <n v="7"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7"/>
    <x v="0"/>
    <n v="500"/>
    <x v="0"/>
  </r>
  <r>
    <x v="7"/>
    <x v="1"/>
    <s v="x"/>
    <x v="0"/>
  </r>
  <r>
    <x v="7"/>
    <x v="0"/>
    <n v="8"/>
    <x v="0"/>
  </r>
  <r>
    <x v="7"/>
    <x v="2"/>
    <s v="x"/>
    <x v="0"/>
  </r>
  <r>
    <x v="7"/>
    <x v="0"/>
    <n v="7"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2"/>
    <x v="0"/>
    <n v="500"/>
    <x v="0"/>
  </r>
  <r>
    <x v="2"/>
    <x v="1"/>
    <s v="x"/>
    <x v="0"/>
  </r>
  <r>
    <x v="2"/>
    <x v="0"/>
    <n v="8"/>
    <x v="0"/>
  </r>
  <r>
    <x v="2"/>
    <x v="2"/>
    <s v="x"/>
    <x v="0"/>
  </r>
  <r>
    <x v="2"/>
    <x v="0"/>
    <n v="6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500"/>
    <x v="0"/>
  </r>
  <r>
    <x v="2"/>
    <x v="1"/>
    <s v="x"/>
    <x v="0"/>
  </r>
  <r>
    <x v="2"/>
    <x v="0"/>
    <n v="7"/>
    <x v="0"/>
  </r>
  <r>
    <x v="2"/>
    <x v="2"/>
    <s v="x"/>
    <x v="0"/>
  </r>
  <r>
    <x v="2"/>
    <x v="0"/>
    <n v="7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8"/>
    <x v="0"/>
    <n v="500"/>
    <x v="0"/>
  </r>
  <r>
    <x v="8"/>
    <x v="1"/>
    <s v="x"/>
    <x v="0"/>
  </r>
  <r>
    <x v="8"/>
    <x v="0"/>
    <n v="7"/>
    <x v="0"/>
  </r>
  <r>
    <x v="8"/>
    <x v="2"/>
    <s v="x"/>
    <x v="0"/>
  </r>
  <r>
    <x v="8"/>
    <x v="0"/>
    <n v="7"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9"/>
    <x v="0"/>
    <n v="500"/>
    <x v="0"/>
  </r>
  <r>
    <x v="9"/>
    <x v="1"/>
    <s v="x"/>
    <x v="0"/>
  </r>
  <r>
    <x v="9"/>
    <x v="0"/>
    <n v="7"/>
    <x v="0"/>
  </r>
  <r>
    <x v="9"/>
    <x v="2"/>
    <s v="x"/>
    <x v="0"/>
  </r>
  <r>
    <x v="9"/>
    <x v="0"/>
    <n v="6"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3"/>
    <x v="0"/>
    <n v="525"/>
    <x v="0"/>
  </r>
  <r>
    <x v="3"/>
    <x v="1"/>
    <s v="x"/>
    <x v="0"/>
  </r>
  <r>
    <x v="3"/>
    <x v="0"/>
    <n v="7"/>
    <x v="0"/>
  </r>
  <r>
    <x v="3"/>
    <x v="2"/>
    <s v="x"/>
    <x v="0"/>
  </r>
  <r>
    <x v="3"/>
    <x v="0"/>
    <n v="6"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6"/>
    <x v="0"/>
    <n v="500"/>
    <x v="0"/>
  </r>
  <r>
    <x v="6"/>
    <x v="1"/>
    <s v="x"/>
    <x v="0"/>
  </r>
  <r>
    <x v="6"/>
    <x v="0"/>
    <n v="7"/>
    <x v="0"/>
  </r>
  <r>
    <x v="6"/>
    <x v="2"/>
    <s v="x"/>
    <x v="0"/>
  </r>
  <r>
    <x v="6"/>
    <x v="0"/>
    <n v="6"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3"/>
    <x v="0"/>
    <n v="715"/>
    <x v="0"/>
  </r>
  <r>
    <x v="3"/>
    <x v="1"/>
    <s v="x"/>
    <x v="0"/>
  </r>
  <r>
    <x v="3"/>
    <x v="0"/>
    <n v="11"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7"/>
    <x v="0"/>
    <n v="500"/>
    <x v="0"/>
  </r>
  <r>
    <x v="7"/>
    <x v="1"/>
    <s v="x"/>
    <x v="0"/>
  </r>
  <r>
    <x v="7"/>
    <x v="0"/>
    <n v="7"/>
    <x v="0"/>
  </r>
  <r>
    <x v="7"/>
    <x v="2"/>
    <s v="x"/>
    <x v="0"/>
  </r>
  <r>
    <x v="7"/>
    <x v="0"/>
    <n v="3"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8"/>
    <x v="0"/>
    <n v="619"/>
    <x v="0"/>
  </r>
  <r>
    <x v="8"/>
    <x v="1"/>
    <s v="x"/>
    <x v="0"/>
  </r>
  <r>
    <x v="8"/>
    <x v="0"/>
    <n v="10"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500"/>
    <x v="0"/>
  </r>
  <r>
    <x v="8"/>
    <x v="1"/>
    <s v="x"/>
    <x v="0"/>
  </r>
  <r>
    <x v="8"/>
    <x v="0"/>
    <n v="4"/>
    <x v="0"/>
  </r>
  <r>
    <x v="8"/>
    <x v="2"/>
    <s v="x"/>
    <x v="0"/>
  </r>
  <r>
    <x v="8"/>
    <x v="0"/>
    <n v="6"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s v="x"/>
    <x v="0"/>
  </r>
  <r>
    <x v="3"/>
    <x v="0"/>
    <n v="9"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8"/>
    <x v="0"/>
    <n v="500"/>
    <x v="0"/>
  </r>
  <r>
    <x v="8"/>
    <x v="1"/>
    <s v="x"/>
    <x v="0"/>
  </r>
  <r>
    <x v="8"/>
    <x v="0"/>
    <n v="8"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4"/>
    <x v="0"/>
    <n v="500"/>
    <x v="0"/>
  </r>
  <r>
    <x v="4"/>
    <x v="1"/>
    <s v="x"/>
    <x v="0"/>
  </r>
  <r>
    <x v="4"/>
    <x v="0"/>
    <n v="2"/>
    <x v="0"/>
  </r>
  <r>
    <x v="4"/>
    <x v="2"/>
    <s v="x"/>
    <x v="0"/>
  </r>
  <r>
    <x v="4"/>
    <x v="0"/>
    <n v="6"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6"/>
    <x v="0"/>
    <n v="500"/>
    <x v="0"/>
  </r>
  <r>
    <x v="6"/>
    <x v="1"/>
    <s v="x"/>
    <x v="0"/>
  </r>
  <r>
    <x v="6"/>
    <x v="0"/>
    <n v="7"/>
    <x v="0"/>
  </r>
  <r>
    <x v="6"/>
    <x v="2"/>
    <s v="x"/>
    <x v="0"/>
  </r>
  <r>
    <x v="6"/>
    <x v="0"/>
    <n v="1"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8"/>
    <x v="0"/>
    <n v="500"/>
    <x v="0"/>
  </r>
  <r>
    <x v="8"/>
    <x v="1"/>
    <s v="x"/>
    <x v="0"/>
  </r>
  <r>
    <x v="8"/>
    <x v="0"/>
    <n v="8"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6"/>
    <x v="0"/>
    <n v="500"/>
    <x v="0"/>
  </r>
  <r>
    <x v="6"/>
    <x v="1"/>
    <s v="x"/>
    <x v="0"/>
  </r>
  <r>
    <x v="6"/>
    <x v="0"/>
    <n v="8"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8"/>
    <x v="0"/>
    <n v="500"/>
    <x v="0"/>
  </r>
  <r>
    <x v="8"/>
    <x v="1"/>
    <s v="x"/>
    <x v="0"/>
  </r>
  <r>
    <x v="8"/>
    <x v="0"/>
    <n v="8"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500"/>
    <x v="0"/>
  </r>
  <r>
    <x v="8"/>
    <x v="1"/>
    <s v="x"/>
    <x v="0"/>
  </r>
  <r>
    <x v="8"/>
    <x v="0"/>
    <n v="7"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9"/>
    <x v="0"/>
    <n v="500"/>
    <x v="0"/>
  </r>
  <r>
    <x v="9"/>
    <x v="1"/>
    <s v="x"/>
    <x v="0"/>
  </r>
  <r>
    <x v="9"/>
    <x v="0"/>
    <n v="7"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6"/>
    <x v="0"/>
    <n v="500"/>
    <x v="0"/>
  </r>
  <r>
    <x v="6"/>
    <x v="1"/>
    <s v="x"/>
    <x v="0"/>
  </r>
  <r>
    <x v="6"/>
    <x v="0"/>
    <n v="7"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8"/>
    <x v="0"/>
    <n v="500"/>
    <x v="0"/>
  </r>
  <r>
    <x v="8"/>
    <x v="1"/>
    <s v="x"/>
    <x v="0"/>
  </r>
  <r>
    <x v="8"/>
    <x v="0"/>
    <n v="7"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3"/>
    <x v="0"/>
    <n v="576"/>
    <x v="0"/>
  </r>
  <r>
    <x v="3"/>
    <x v="1"/>
    <m/>
    <x v="0"/>
  </r>
  <r>
    <x v="3"/>
    <x v="0"/>
    <m/>
    <x v="0"/>
  </r>
  <r>
    <x v="3"/>
    <x v="2"/>
    <s v="x"/>
    <x v="0"/>
  </r>
  <r>
    <x v="3"/>
    <x v="0"/>
    <n v="7"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2"/>
    <x v="0"/>
    <n v="500"/>
    <x v="0"/>
  </r>
  <r>
    <x v="2"/>
    <x v="1"/>
    <s v="x"/>
    <x v="0"/>
  </r>
  <r>
    <x v="2"/>
    <x v="0"/>
    <n v="7"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575"/>
    <x v="0"/>
  </r>
  <r>
    <x v="2"/>
    <x v="1"/>
    <m/>
    <x v="0"/>
  </r>
  <r>
    <x v="2"/>
    <x v="0"/>
    <m/>
    <x v="0"/>
  </r>
  <r>
    <x v="2"/>
    <x v="2"/>
    <s v="x"/>
    <x v="0"/>
  </r>
  <r>
    <x v="2"/>
    <x v="0"/>
    <n v="7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8"/>
    <x v="0"/>
    <n v="500"/>
    <x v="0"/>
  </r>
  <r>
    <x v="8"/>
    <x v="1"/>
    <s v="x"/>
    <x v="0"/>
  </r>
  <r>
    <x v="8"/>
    <x v="0"/>
    <n v="7"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5"/>
    <x v="0"/>
    <n v="500"/>
    <x v="0"/>
  </r>
  <r>
    <x v="5"/>
    <x v="1"/>
    <s v="x"/>
    <x v="0"/>
  </r>
  <r>
    <x v="5"/>
    <x v="0"/>
    <n v="7"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s v="x"/>
    <x v="0"/>
  </r>
  <r>
    <x v="3"/>
    <x v="0"/>
    <n v="7"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2"/>
    <x v="0"/>
    <n v="500"/>
    <x v="0"/>
  </r>
  <r>
    <x v="2"/>
    <x v="1"/>
    <m/>
    <x v="0"/>
  </r>
  <r>
    <x v="2"/>
    <x v="0"/>
    <m/>
    <x v="0"/>
  </r>
  <r>
    <x v="2"/>
    <x v="2"/>
    <s v="x"/>
    <x v="0"/>
  </r>
  <r>
    <x v="2"/>
    <x v="0"/>
    <n v="7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5"/>
    <x v="0"/>
    <n v="500"/>
    <x v="0"/>
  </r>
  <r>
    <x v="5"/>
    <x v="1"/>
    <s v="x"/>
    <x v="0"/>
  </r>
  <r>
    <x v="5"/>
    <x v="0"/>
    <n v="7"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8"/>
    <x v="0"/>
    <n v="500"/>
    <x v="0"/>
  </r>
  <r>
    <x v="8"/>
    <x v="1"/>
    <m/>
    <x v="0"/>
  </r>
  <r>
    <x v="8"/>
    <x v="0"/>
    <m/>
    <x v="0"/>
  </r>
  <r>
    <x v="8"/>
    <x v="2"/>
    <s v="x"/>
    <x v="0"/>
  </r>
  <r>
    <x v="8"/>
    <x v="0"/>
    <n v="6"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2"/>
    <x v="0"/>
    <n v="500"/>
    <x v="0"/>
  </r>
  <r>
    <x v="2"/>
    <x v="1"/>
    <m/>
    <x v="0"/>
  </r>
  <r>
    <x v="2"/>
    <x v="0"/>
    <m/>
    <x v="0"/>
  </r>
  <r>
    <x v="2"/>
    <x v="2"/>
    <s v="x"/>
    <x v="0"/>
  </r>
  <r>
    <x v="2"/>
    <x v="0"/>
    <n v="6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8"/>
    <x v="0"/>
    <n v="500"/>
    <x v="0"/>
  </r>
  <r>
    <x v="8"/>
    <x v="1"/>
    <m/>
    <x v="0"/>
  </r>
  <r>
    <x v="8"/>
    <x v="0"/>
    <m/>
    <x v="0"/>
  </r>
  <r>
    <x v="8"/>
    <x v="2"/>
    <s v="x"/>
    <x v="0"/>
  </r>
  <r>
    <x v="8"/>
    <x v="0"/>
    <n v="6"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500"/>
    <x v="0"/>
  </r>
  <r>
    <x v="8"/>
    <x v="1"/>
    <s v="x"/>
    <x v="0"/>
  </r>
  <r>
    <x v="8"/>
    <x v="0"/>
    <n v="2"/>
    <x v="0"/>
  </r>
  <r>
    <x v="8"/>
    <x v="2"/>
    <s v="x"/>
    <x v="0"/>
  </r>
  <r>
    <x v="8"/>
    <x v="0"/>
    <n v="4"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4"/>
    <x v="0"/>
    <n v="500"/>
    <x v="0"/>
  </r>
  <r>
    <x v="4"/>
    <x v="1"/>
    <s v="x"/>
    <x v="0"/>
  </r>
  <r>
    <x v="4"/>
    <x v="0"/>
    <n v="5"/>
    <x v="0"/>
  </r>
  <r>
    <x v="4"/>
    <x v="2"/>
    <m/>
    <x v="0"/>
  </r>
  <r>
    <x v="4"/>
    <x v="0"/>
    <m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7"/>
    <x v="0"/>
    <n v="500"/>
    <x v="0"/>
  </r>
  <r>
    <x v="7"/>
    <x v="1"/>
    <s v="x"/>
    <x v="0"/>
  </r>
  <r>
    <x v="7"/>
    <x v="0"/>
    <n v="4"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6"/>
    <x v="0"/>
    <n v="500"/>
    <x v="0"/>
  </r>
  <r>
    <x v="6"/>
    <x v="1"/>
    <s v="x"/>
    <x v="0"/>
  </r>
  <r>
    <x v="6"/>
    <x v="0"/>
    <n v="3"/>
    <x v="0"/>
  </r>
  <r>
    <x v="6"/>
    <x v="2"/>
    <s v="x"/>
    <x v="0"/>
  </r>
  <r>
    <x v="6"/>
    <x v="0"/>
    <n v="1"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5"/>
    <x v="0"/>
    <n v="500"/>
    <x v="0"/>
  </r>
  <r>
    <x v="5"/>
    <x v="1"/>
    <s v="x"/>
    <x v="0"/>
  </r>
  <r>
    <x v="5"/>
    <x v="0"/>
    <n v="2"/>
    <x v="0"/>
  </r>
  <r>
    <x v="5"/>
    <x v="2"/>
    <s v="x"/>
    <x v="0"/>
  </r>
  <r>
    <x v="5"/>
    <x v="0"/>
    <n v="2"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7"/>
    <x v="0"/>
    <n v="500"/>
    <x v="0"/>
  </r>
  <r>
    <x v="7"/>
    <x v="1"/>
    <s v="x"/>
    <x v="0"/>
  </r>
  <r>
    <x v="7"/>
    <x v="0"/>
    <n v="3"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7"/>
    <x v="0"/>
    <n v="500"/>
    <x v="0"/>
  </r>
  <r>
    <x v="7"/>
    <x v="1"/>
    <s v="x"/>
    <x v="0"/>
  </r>
  <r>
    <x v="7"/>
    <x v="0"/>
    <n v="3"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4"/>
    <x v="0"/>
    <n v="500"/>
    <x v="0"/>
  </r>
  <r>
    <x v="4"/>
    <x v="1"/>
    <s v="x"/>
    <x v="0"/>
  </r>
  <r>
    <x v="4"/>
    <x v="0"/>
    <n v="3"/>
    <x v="0"/>
  </r>
  <r>
    <x v="4"/>
    <x v="2"/>
    <m/>
    <x v="0"/>
  </r>
  <r>
    <x v="4"/>
    <x v="0"/>
    <m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8"/>
    <x v="0"/>
    <n v="500"/>
    <x v="0"/>
  </r>
  <r>
    <x v="8"/>
    <x v="1"/>
    <s v="x"/>
    <x v="0"/>
  </r>
  <r>
    <x v="8"/>
    <x v="0"/>
    <n v="1"/>
    <x v="0"/>
  </r>
  <r>
    <x v="8"/>
    <x v="2"/>
    <s v="x"/>
    <x v="0"/>
  </r>
  <r>
    <x v="8"/>
    <x v="0"/>
    <n v="2"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m/>
    <x v="0"/>
  </r>
  <r>
    <x v="8"/>
    <x v="1"/>
    <m/>
    <x v="0"/>
  </r>
  <r>
    <x v="8"/>
    <x v="0"/>
    <m/>
    <x v="0"/>
  </r>
  <r>
    <x v="8"/>
    <x v="2"/>
    <s v="x"/>
    <x v="0"/>
  </r>
  <r>
    <x v="8"/>
    <x v="0"/>
    <n v="3"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5"/>
    <x v="0"/>
    <n v="500"/>
    <x v="0"/>
  </r>
  <r>
    <x v="5"/>
    <x v="1"/>
    <s v="x"/>
    <x v="0"/>
  </r>
  <r>
    <x v="5"/>
    <x v="0"/>
    <n v="2"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10"/>
    <x v="0"/>
    <n v="500"/>
    <x v="0"/>
  </r>
  <r>
    <x v="10"/>
    <x v="1"/>
    <s v="x"/>
    <x v="0"/>
  </r>
  <r>
    <x v="10"/>
    <x v="0"/>
    <n v="1"/>
    <x v="0"/>
  </r>
  <r>
    <x v="10"/>
    <x v="2"/>
    <s v="x"/>
    <x v="0"/>
  </r>
  <r>
    <x v="10"/>
    <x v="0"/>
    <n v="1"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6"/>
    <x v="0"/>
    <n v="500"/>
    <x v="0"/>
  </r>
  <r>
    <x v="6"/>
    <x v="1"/>
    <s v="x"/>
    <x v="0"/>
  </r>
  <r>
    <x v="6"/>
    <x v="0"/>
    <n v="2"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4"/>
    <x v="0"/>
    <n v="500"/>
    <x v="0"/>
  </r>
  <r>
    <x v="4"/>
    <x v="1"/>
    <s v="x"/>
    <x v="0"/>
  </r>
  <r>
    <x v="4"/>
    <x v="0"/>
    <n v="1"/>
    <x v="0"/>
  </r>
  <r>
    <x v="4"/>
    <x v="2"/>
    <s v="x"/>
    <x v="0"/>
  </r>
  <r>
    <x v="4"/>
    <x v="0"/>
    <n v="1"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5"/>
    <x v="0"/>
    <n v="500"/>
    <x v="0"/>
  </r>
  <r>
    <x v="5"/>
    <x v="1"/>
    <s v="x"/>
    <x v="0"/>
  </r>
  <r>
    <x v="5"/>
    <x v="0"/>
    <n v="1"/>
    <x v="0"/>
  </r>
  <r>
    <x v="5"/>
    <x v="2"/>
    <s v="x"/>
    <x v="0"/>
  </r>
  <r>
    <x v="5"/>
    <x v="0"/>
    <n v="1"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11"/>
    <x v="0"/>
    <n v="500"/>
    <x v="0"/>
  </r>
  <r>
    <x v="11"/>
    <x v="1"/>
    <m/>
    <x v="0"/>
  </r>
  <r>
    <x v="11"/>
    <x v="0"/>
    <m/>
    <x v="0"/>
  </r>
  <r>
    <x v="11"/>
    <x v="2"/>
    <s v="x"/>
    <x v="0"/>
  </r>
  <r>
    <x v="11"/>
    <x v="0"/>
    <n v="2"/>
    <x v="0"/>
  </r>
  <r>
    <x v="11"/>
    <x v="3"/>
    <m/>
    <x v="0"/>
  </r>
  <r>
    <x v="11"/>
    <x v="0"/>
    <m/>
    <x v="0"/>
  </r>
  <r>
    <x v="11"/>
    <x v="4"/>
    <m/>
    <x v="0"/>
  </r>
  <r>
    <x v="11"/>
    <x v="0"/>
    <m/>
    <x v="0"/>
  </r>
  <r>
    <x v="7"/>
    <x v="0"/>
    <n v="500"/>
    <x v="0"/>
  </r>
  <r>
    <x v="7"/>
    <x v="1"/>
    <s v="x"/>
    <x v="0"/>
  </r>
  <r>
    <x v="7"/>
    <x v="0"/>
    <n v="2"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4"/>
    <x v="0"/>
    <n v="500"/>
    <x v="0"/>
  </r>
  <r>
    <x v="4"/>
    <x v="1"/>
    <m/>
    <x v="0"/>
  </r>
  <r>
    <x v="4"/>
    <x v="0"/>
    <m/>
    <x v="0"/>
  </r>
  <r>
    <x v="4"/>
    <x v="2"/>
    <s v="x"/>
    <x v="0"/>
  </r>
  <r>
    <x v="4"/>
    <x v="0"/>
    <n v="2"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5"/>
    <x v="0"/>
    <n v="500"/>
    <x v="0"/>
  </r>
  <r>
    <x v="5"/>
    <x v="1"/>
    <s v="x"/>
    <x v="0"/>
  </r>
  <r>
    <x v="5"/>
    <x v="0"/>
    <n v="2"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3"/>
    <x v="0"/>
    <n v="500"/>
    <x v="0"/>
  </r>
  <r>
    <x v="3"/>
    <x v="1"/>
    <s v="x"/>
    <x v="0"/>
  </r>
  <r>
    <x v="3"/>
    <x v="0"/>
    <n v="1"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5"/>
    <x v="0"/>
    <n v="500"/>
    <x v="0"/>
  </r>
  <r>
    <x v="5"/>
    <x v="1"/>
    <s v="x"/>
    <x v="0"/>
  </r>
  <r>
    <x v="5"/>
    <x v="0"/>
    <n v="1"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n v="500"/>
    <x v="0"/>
  </r>
  <r>
    <x v="5"/>
    <x v="1"/>
    <m/>
    <x v="0"/>
  </r>
  <r>
    <x v="5"/>
    <x v="0"/>
    <m/>
    <x v="0"/>
  </r>
  <r>
    <x v="5"/>
    <x v="2"/>
    <s v="x"/>
    <x v="0"/>
  </r>
  <r>
    <x v="5"/>
    <x v="0"/>
    <n v="1"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8"/>
    <x v="0"/>
    <n v="500"/>
    <x v="0"/>
  </r>
  <r>
    <x v="8"/>
    <x v="1"/>
    <s v="x"/>
    <x v="0"/>
  </r>
  <r>
    <x v="8"/>
    <x v="0"/>
    <n v="1"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3"/>
    <x v="0"/>
    <n v="500"/>
    <x v="0"/>
  </r>
  <r>
    <x v="3"/>
    <x v="1"/>
    <s v="x"/>
    <x v="0"/>
  </r>
  <r>
    <x v="3"/>
    <x v="0"/>
    <n v="1"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6"/>
    <x v="0"/>
    <n v="500"/>
    <x v="0"/>
  </r>
  <r>
    <x v="6"/>
    <x v="1"/>
    <s v="x"/>
    <x v="0"/>
  </r>
  <r>
    <x v="6"/>
    <x v="0"/>
    <n v="1"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8"/>
    <x v="0"/>
    <n v="500"/>
    <x v="0"/>
  </r>
  <r>
    <x v="8"/>
    <x v="1"/>
    <s v="x"/>
    <x v="0"/>
  </r>
  <r>
    <x v="8"/>
    <x v="0"/>
    <n v="1"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5"/>
    <x v="0"/>
    <n v="500"/>
    <x v="0"/>
  </r>
  <r>
    <x v="5"/>
    <x v="1"/>
    <m/>
    <x v="0"/>
  </r>
  <r>
    <x v="5"/>
    <x v="0"/>
    <m/>
    <x v="0"/>
  </r>
  <r>
    <x v="5"/>
    <x v="2"/>
    <s v="x"/>
    <x v="0"/>
  </r>
  <r>
    <x v="5"/>
    <x v="0"/>
    <n v="1"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3"/>
    <x v="0"/>
    <n v="500"/>
    <x v="0"/>
  </r>
  <r>
    <x v="3"/>
    <x v="1"/>
    <s v="x"/>
    <x v="0"/>
  </r>
  <r>
    <x v="3"/>
    <x v="0"/>
    <n v="1"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8"/>
    <x v="0"/>
    <n v="500"/>
    <x v="0"/>
  </r>
  <r>
    <x v="8"/>
    <x v="1"/>
    <s v="x"/>
    <x v="0"/>
  </r>
  <r>
    <x v="8"/>
    <x v="0"/>
    <n v="1"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12"/>
    <x v="0"/>
    <n v="500"/>
    <x v="0"/>
  </r>
  <r>
    <x v="12"/>
    <x v="1"/>
    <s v="x"/>
    <x v="0"/>
  </r>
  <r>
    <x v="12"/>
    <x v="0"/>
    <n v="1"/>
    <x v="0"/>
  </r>
  <r>
    <x v="12"/>
    <x v="2"/>
    <m/>
    <x v="0"/>
  </r>
  <r>
    <x v="12"/>
    <x v="0"/>
    <m/>
    <x v="0"/>
  </r>
  <r>
    <x v="12"/>
    <x v="3"/>
    <m/>
    <x v="0"/>
  </r>
  <r>
    <x v="12"/>
    <x v="0"/>
    <m/>
    <x v="0"/>
  </r>
  <r>
    <x v="12"/>
    <x v="4"/>
    <m/>
    <x v="0"/>
  </r>
  <r>
    <x v="12"/>
    <x v="0"/>
    <m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6"/>
    <x v="0"/>
    <n v="500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6"/>
    <x v="0"/>
    <n v="500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5"/>
    <x v="0"/>
    <n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s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n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10"/>
    <x v="0"/>
    <n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5"/>
    <x v="0"/>
    <n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8"/>
    <x v="0"/>
    <n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10"/>
    <x v="0"/>
    <n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6"/>
    <x v="0"/>
    <n v="500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3"/>
    <x v="0"/>
    <n v="815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851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2"/>
    <x v="0"/>
    <n v="500"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7"/>
    <x v="0"/>
    <n v="500"/>
    <x v="0"/>
  </r>
  <r>
    <x v="7"/>
    <x v="1"/>
    <m/>
    <x v="0"/>
  </r>
  <r>
    <x v="7"/>
    <x v="0"/>
    <m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12"/>
    <x v="0"/>
    <n v="500"/>
    <x v="0"/>
  </r>
  <r>
    <x v="12"/>
    <x v="1"/>
    <m/>
    <x v="0"/>
  </r>
  <r>
    <x v="12"/>
    <x v="0"/>
    <m/>
    <x v="0"/>
  </r>
  <r>
    <x v="12"/>
    <x v="2"/>
    <m/>
    <x v="0"/>
  </r>
  <r>
    <x v="12"/>
    <x v="0"/>
    <m/>
    <x v="0"/>
  </r>
  <r>
    <x v="12"/>
    <x v="3"/>
    <m/>
    <x v="0"/>
  </r>
  <r>
    <x v="12"/>
    <x v="0"/>
    <m/>
    <x v="0"/>
  </r>
  <r>
    <x v="12"/>
    <x v="4"/>
    <m/>
    <x v="0"/>
  </r>
  <r>
    <x v="12"/>
    <x v="0"/>
    <m/>
    <x v="0"/>
  </r>
  <r>
    <x v="2"/>
    <x v="0"/>
    <n v="500"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7"/>
    <x v="0"/>
    <n v="500"/>
    <x v="0"/>
  </r>
  <r>
    <x v="7"/>
    <x v="1"/>
    <m/>
    <x v="0"/>
  </r>
  <r>
    <x v="7"/>
    <x v="0"/>
    <m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2"/>
    <x v="0"/>
    <n v="500"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7"/>
    <x v="0"/>
    <n v="500"/>
    <x v="0"/>
  </r>
  <r>
    <x v="7"/>
    <x v="1"/>
    <m/>
    <x v="0"/>
  </r>
  <r>
    <x v="7"/>
    <x v="0"/>
    <m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10"/>
    <x v="0"/>
    <n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2"/>
    <x v="0"/>
    <n v="515"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5"/>
    <x v="0"/>
    <n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8"/>
    <x v="0"/>
    <n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7"/>
    <x v="0"/>
    <n v="500"/>
    <x v="0"/>
  </r>
  <r>
    <x v="7"/>
    <x v="1"/>
    <m/>
    <x v="0"/>
  </r>
  <r>
    <x v="7"/>
    <x v="0"/>
    <m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737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697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9"/>
    <x v="0"/>
    <s v="500"/>
    <x v="0"/>
  </r>
  <r>
    <x v="9"/>
    <x v="1"/>
    <m/>
    <x v="0"/>
  </r>
  <r>
    <x v="9"/>
    <x v="0"/>
    <m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5"/>
    <x v="0"/>
    <n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5"/>
    <x v="0"/>
    <n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6"/>
    <x v="0"/>
    <n v="500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12"/>
    <x v="0"/>
    <n v="500"/>
    <x v="0"/>
  </r>
  <r>
    <x v="12"/>
    <x v="1"/>
    <m/>
    <x v="0"/>
  </r>
  <r>
    <x v="12"/>
    <x v="0"/>
    <m/>
    <x v="0"/>
  </r>
  <r>
    <x v="12"/>
    <x v="2"/>
    <m/>
    <x v="0"/>
  </r>
  <r>
    <x v="12"/>
    <x v="0"/>
    <m/>
    <x v="0"/>
  </r>
  <r>
    <x v="12"/>
    <x v="3"/>
    <m/>
    <x v="0"/>
  </r>
  <r>
    <x v="12"/>
    <x v="0"/>
    <m/>
    <x v="0"/>
  </r>
  <r>
    <x v="12"/>
    <x v="4"/>
    <m/>
    <x v="0"/>
  </r>
  <r>
    <x v="12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6"/>
    <x v="0"/>
    <n v="500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3"/>
    <x v="0"/>
    <n v="1456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5"/>
    <x v="0"/>
    <n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3"/>
    <x v="0"/>
    <n v="512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5"/>
    <x v="0"/>
    <s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10"/>
    <x v="0"/>
    <n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9"/>
    <x v="0"/>
    <n v="523"/>
    <x v="0"/>
  </r>
  <r>
    <x v="9"/>
    <x v="1"/>
    <m/>
    <x v="0"/>
  </r>
  <r>
    <x v="9"/>
    <x v="0"/>
    <m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10"/>
    <x v="0"/>
    <n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5"/>
    <x v="0"/>
    <s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11"/>
    <x v="0"/>
    <m/>
    <x v="0"/>
  </r>
  <r>
    <x v="11"/>
    <x v="1"/>
    <m/>
    <x v="0"/>
  </r>
  <r>
    <x v="11"/>
    <x v="0"/>
    <m/>
    <x v="0"/>
  </r>
  <r>
    <x v="11"/>
    <x v="2"/>
    <m/>
    <x v="0"/>
  </r>
  <r>
    <x v="11"/>
    <x v="0"/>
    <m/>
    <x v="0"/>
  </r>
  <r>
    <x v="11"/>
    <x v="3"/>
    <m/>
    <x v="0"/>
  </r>
  <r>
    <x v="11"/>
    <x v="0"/>
    <m/>
    <x v="0"/>
  </r>
  <r>
    <x v="11"/>
    <x v="4"/>
    <m/>
    <x v="0"/>
  </r>
  <r>
    <x v="11"/>
    <x v="0"/>
    <m/>
    <x v="0"/>
  </r>
  <r>
    <x v="3"/>
    <x v="0"/>
    <m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9"/>
    <x v="0"/>
    <m/>
    <x v="0"/>
  </r>
  <r>
    <x v="9"/>
    <x v="1"/>
    <m/>
    <x v="0"/>
  </r>
  <r>
    <x v="9"/>
    <x v="0"/>
    <m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6"/>
    <x v="0"/>
    <m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8"/>
    <x v="0"/>
    <m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12"/>
    <x v="0"/>
    <m/>
    <x v="0"/>
  </r>
  <r>
    <x v="12"/>
    <x v="1"/>
    <m/>
    <x v="0"/>
  </r>
  <r>
    <x v="12"/>
    <x v="0"/>
    <m/>
    <x v="0"/>
  </r>
  <r>
    <x v="12"/>
    <x v="2"/>
    <m/>
    <x v="0"/>
  </r>
  <r>
    <x v="12"/>
    <x v="0"/>
    <m/>
    <x v="0"/>
  </r>
  <r>
    <x v="12"/>
    <x v="3"/>
    <m/>
    <x v="0"/>
  </r>
  <r>
    <x v="12"/>
    <x v="0"/>
    <m/>
    <x v="0"/>
  </r>
  <r>
    <x v="12"/>
    <x v="4"/>
    <m/>
    <x v="0"/>
  </r>
  <r>
    <x v="12"/>
    <x v="0"/>
    <m/>
    <x v="0"/>
  </r>
  <r>
    <x v="10"/>
    <x v="0"/>
    <m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5"/>
    <x v="0"/>
    <m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4"/>
    <x v="0"/>
    <m/>
    <x v="0"/>
  </r>
  <r>
    <x v="4"/>
    <x v="1"/>
    <m/>
    <x v="0"/>
  </r>
  <r>
    <x v="4"/>
    <x v="0"/>
    <m/>
    <x v="0"/>
  </r>
  <r>
    <x v="4"/>
    <x v="2"/>
    <m/>
    <x v="0"/>
  </r>
  <r>
    <x v="4"/>
    <x v="0"/>
    <m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2"/>
    <x v="0"/>
    <m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7"/>
    <x v="0"/>
    <m/>
    <x v="0"/>
  </r>
  <r>
    <x v="7"/>
    <x v="1"/>
    <m/>
    <x v="0"/>
  </r>
  <r>
    <x v="7"/>
    <x v="0"/>
    <m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70">
  <r>
    <x v="0"/>
    <x v="0"/>
    <n v="548"/>
  </r>
  <r>
    <x v="0"/>
    <x v="1"/>
    <s v="x"/>
  </r>
  <r>
    <x v="0"/>
    <x v="2"/>
    <n v="15"/>
  </r>
  <r>
    <x v="0"/>
    <x v="3"/>
    <s v="x"/>
  </r>
  <r>
    <x v="0"/>
    <x v="4"/>
    <n v="12"/>
  </r>
  <r>
    <x v="0"/>
    <x v="5"/>
    <m/>
  </r>
  <r>
    <x v="0"/>
    <x v="6"/>
    <m/>
  </r>
  <r>
    <x v="0"/>
    <x v="7"/>
    <m/>
  </r>
  <r>
    <x v="0"/>
    <x v="8"/>
    <m/>
  </r>
  <r>
    <x v="0"/>
    <x v="9"/>
    <n v="27"/>
  </r>
  <r>
    <x v="1"/>
    <x v="0"/>
    <s v="500"/>
  </r>
  <r>
    <x v="1"/>
    <x v="1"/>
    <s v="x"/>
  </r>
  <r>
    <x v="1"/>
    <x v="2"/>
    <n v="12"/>
  </r>
  <r>
    <x v="1"/>
    <x v="3"/>
    <s v="x"/>
  </r>
  <r>
    <x v="1"/>
    <x v="4"/>
    <n v="11"/>
  </r>
  <r>
    <x v="1"/>
    <x v="5"/>
    <m/>
  </r>
  <r>
    <x v="1"/>
    <x v="6"/>
    <m/>
  </r>
  <r>
    <x v="1"/>
    <x v="7"/>
    <m/>
  </r>
  <r>
    <x v="1"/>
    <x v="8"/>
    <m/>
  </r>
  <r>
    <x v="1"/>
    <x v="9"/>
    <n v="23"/>
  </r>
  <r>
    <x v="2"/>
    <x v="0"/>
    <n v="500"/>
  </r>
  <r>
    <x v="2"/>
    <x v="1"/>
    <s v="x"/>
  </r>
  <r>
    <x v="2"/>
    <x v="2"/>
    <n v="12"/>
  </r>
  <r>
    <x v="2"/>
    <x v="3"/>
    <s v="x"/>
  </r>
  <r>
    <x v="2"/>
    <x v="4"/>
    <n v="10"/>
  </r>
  <r>
    <x v="2"/>
    <x v="5"/>
    <m/>
  </r>
  <r>
    <x v="2"/>
    <x v="6"/>
    <m/>
  </r>
  <r>
    <x v="2"/>
    <x v="7"/>
    <m/>
  </r>
  <r>
    <x v="2"/>
    <x v="8"/>
    <m/>
  </r>
  <r>
    <x v="2"/>
    <x v="9"/>
    <n v="22"/>
  </r>
  <r>
    <x v="2"/>
    <x v="0"/>
    <n v="500"/>
  </r>
  <r>
    <x v="2"/>
    <x v="1"/>
    <s v="x"/>
  </r>
  <r>
    <x v="2"/>
    <x v="2"/>
    <n v="11"/>
  </r>
  <r>
    <x v="2"/>
    <x v="3"/>
    <s v="x"/>
  </r>
  <r>
    <x v="2"/>
    <x v="4"/>
    <n v="11"/>
  </r>
  <r>
    <x v="2"/>
    <x v="5"/>
    <m/>
  </r>
  <r>
    <x v="2"/>
    <x v="6"/>
    <m/>
  </r>
  <r>
    <x v="2"/>
    <x v="7"/>
    <m/>
  </r>
  <r>
    <x v="2"/>
    <x v="8"/>
    <m/>
  </r>
  <r>
    <x v="2"/>
    <x v="9"/>
    <n v="22"/>
  </r>
  <r>
    <x v="0"/>
    <x v="0"/>
    <n v="500"/>
  </r>
  <r>
    <x v="0"/>
    <x v="1"/>
    <s v="x"/>
  </r>
  <r>
    <x v="0"/>
    <x v="2"/>
    <n v="11"/>
  </r>
  <r>
    <x v="0"/>
    <x v="3"/>
    <s v="x"/>
  </r>
  <r>
    <x v="0"/>
    <x v="4"/>
    <n v="10"/>
  </r>
  <r>
    <x v="0"/>
    <x v="5"/>
    <m/>
  </r>
  <r>
    <x v="0"/>
    <x v="6"/>
    <m/>
  </r>
  <r>
    <x v="0"/>
    <x v="7"/>
    <m/>
  </r>
  <r>
    <x v="0"/>
    <x v="8"/>
    <m/>
  </r>
  <r>
    <x v="0"/>
    <x v="9"/>
    <n v="21"/>
  </r>
  <r>
    <x v="0"/>
    <x v="0"/>
    <n v="501"/>
  </r>
  <r>
    <x v="0"/>
    <x v="1"/>
    <s v="x"/>
  </r>
  <r>
    <x v="0"/>
    <x v="2"/>
    <n v="11"/>
  </r>
  <r>
    <x v="0"/>
    <x v="3"/>
    <s v="x"/>
  </r>
  <r>
    <x v="0"/>
    <x v="4"/>
    <n v="9"/>
  </r>
  <r>
    <x v="0"/>
    <x v="5"/>
    <m/>
  </r>
  <r>
    <x v="0"/>
    <x v="6"/>
    <m/>
  </r>
  <r>
    <x v="0"/>
    <x v="7"/>
    <m/>
  </r>
  <r>
    <x v="0"/>
    <x v="8"/>
    <m/>
  </r>
  <r>
    <x v="0"/>
    <x v="9"/>
    <n v="20"/>
  </r>
  <r>
    <x v="3"/>
    <x v="0"/>
    <n v="500"/>
  </r>
  <r>
    <x v="3"/>
    <x v="1"/>
    <s v="x"/>
  </r>
  <r>
    <x v="3"/>
    <x v="2"/>
    <n v="10"/>
  </r>
  <r>
    <x v="3"/>
    <x v="3"/>
    <s v="x"/>
  </r>
  <r>
    <x v="3"/>
    <x v="4"/>
    <n v="10"/>
  </r>
  <r>
    <x v="3"/>
    <x v="5"/>
    <m/>
  </r>
  <r>
    <x v="3"/>
    <x v="6"/>
    <m/>
  </r>
  <r>
    <x v="3"/>
    <x v="7"/>
    <m/>
  </r>
  <r>
    <x v="3"/>
    <x v="8"/>
    <m/>
  </r>
  <r>
    <x v="3"/>
    <x v="9"/>
    <n v="20"/>
  </r>
  <r>
    <x v="0"/>
    <x v="0"/>
    <n v="500"/>
  </r>
  <r>
    <x v="0"/>
    <x v="1"/>
    <s v="x"/>
  </r>
  <r>
    <x v="0"/>
    <x v="2"/>
    <n v="10"/>
  </r>
  <r>
    <x v="0"/>
    <x v="3"/>
    <s v="x"/>
  </r>
  <r>
    <x v="0"/>
    <x v="4"/>
    <n v="10"/>
  </r>
  <r>
    <x v="0"/>
    <x v="5"/>
    <m/>
  </r>
  <r>
    <x v="0"/>
    <x v="6"/>
    <m/>
  </r>
  <r>
    <x v="0"/>
    <x v="7"/>
    <m/>
  </r>
  <r>
    <x v="0"/>
    <x v="8"/>
    <m/>
  </r>
  <r>
    <x v="0"/>
    <x v="9"/>
    <n v="20"/>
  </r>
  <r>
    <x v="1"/>
    <x v="0"/>
    <s v="500"/>
  </r>
  <r>
    <x v="1"/>
    <x v="1"/>
    <s v="x"/>
  </r>
  <r>
    <x v="1"/>
    <x v="2"/>
    <n v="10"/>
  </r>
  <r>
    <x v="1"/>
    <x v="3"/>
    <s v="x"/>
  </r>
  <r>
    <x v="1"/>
    <x v="4"/>
    <n v="9"/>
  </r>
  <r>
    <x v="1"/>
    <x v="5"/>
    <m/>
  </r>
  <r>
    <x v="1"/>
    <x v="6"/>
    <m/>
  </r>
  <r>
    <x v="1"/>
    <x v="7"/>
    <m/>
  </r>
  <r>
    <x v="1"/>
    <x v="8"/>
    <m/>
  </r>
  <r>
    <x v="1"/>
    <x v="9"/>
    <n v="19"/>
  </r>
  <r>
    <x v="2"/>
    <x v="0"/>
    <n v="500"/>
  </r>
  <r>
    <x v="2"/>
    <x v="1"/>
    <s v="x"/>
  </r>
  <r>
    <x v="2"/>
    <x v="2"/>
    <n v="10"/>
  </r>
  <r>
    <x v="2"/>
    <x v="3"/>
    <s v="x"/>
  </r>
  <r>
    <x v="2"/>
    <x v="4"/>
    <n v="9"/>
  </r>
  <r>
    <x v="2"/>
    <x v="5"/>
    <m/>
  </r>
  <r>
    <x v="2"/>
    <x v="6"/>
    <m/>
  </r>
  <r>
    <x v="2"/>
    <x v="7"/>
    <m/>
  </r>
  <r>
    <x v="2"/>
    <x v="8"/>
    <m/>
  </r>
  <r>
    <x v="2"/>
    <x v="9"/>
    <n v="19"/>
  </r>
  <r>
    <x v="1"/>
    <x v="0"/>
    <s v="500"/>
  </r>
  <r>
    <x v="1"/>
    <x v="1"/>
    <s v="x"/>
  </r>
  <r>
    <x v="1"/>
    <x v="2"/>
    <n v="10"/>
  </r>
  <r>
    <x v="1"/>
    <x v="3"/>
    <s v="x"/>
  </r>
  <r>
    <x v="1"/>
    <x v="4"/>
    <n v="9"/>
  </r>
  <r>
    <x v="1"/>
    <x v="5"/>
    <m/>
  </r>
  <r>
    <x v="1"/>
    <x v="6"/>
    <m/>
  </r>
  <r>
    <x v="1"/>
    <x v="7"/>
    <m/>
  </r>
  <r>
    <x v="1"/>
    <x v="8"/>
    <m/>
  </r>
  <r>
    <x v="1"/>
    <x v="9"/>
    <n v="19"/>
  </r>
  <r>
    <x v="4"/>
    <x v="0"/>
    <n v="500"/>
  </r>
  <r>
    <x v="4"/>
    <x v="1"/>
    <s v="x"/>
  </r>
  <r>
    <x v="4"/>
    <x v="2"/>
    <n v="9"/>
  </r>
  <r>
    <x v="4"/>
    <x v="3"/>
    <s v="x"/>
  </r>
  <r>
    <x v="4"/>
    <x v="4"/>
    <n v="9"/>
  </r>
  <r>
    <x v="4"/>
    <x v="5"/>
    <m/>
  </r>
  <r>
    <x v="4"/>
    <x v="6"/>
    <m/>
  </r>
  <r>
    <x v="4"/>
    <x v="7"/>
    <m/>
  </r>
  <r>
    <x v="4"/>
    <x v="8"/>
    <m/>
  </r>
  <r>
    <x v="4"/>
    <x v="9"/>
    <n v="18"/>
  </r>
  <r>
    <x v="5"/>
    <x v="0"/>
    <n v="500"/>
  </r>
  <r>
    <x v="5"/>
    <x v="1"/>
    <s v="x"/>
  </r>
  <r>
    <x v="5"/>
    <x v="2"/>
    <n v="9"/>
  </r>
  <r>
    <x v="5"/>
    <x v="3"/>
    <s v="x"/>
  </r>
  <r>
    <x v="5"/>
    <x v="4"/>
    <n v="8"/>
  </r>
  <r>
    <x v="5"/>
    <x v="5"/>
    <m/>
  </r>
  <r>
    <x v="5"/>
    <x v="6"/>
    <m/>
  </r>
  <r>
    <x v="5"/>
    <x v="7"/>
    <m/>
  </r>
  <r>
    <x v="5"/>
    <x v="8"/>
    <m/>
  </r>
  <r>
    <x v="5"/>
    <x v="9"/>
    <n v="17"/>
  </r>
  <r>
    <x v="2"/>
    <x v="0"/>
    <n v="500"/>
  </r>
  <r>
    <x v="2"/>
    <x v="1"/>
    <s v="x"/>
  </r>
  <r>
    <x v="2"/>
    <x v="2"/>
    <n v="9"/>
  </r>
  <r>
    <x v="2"/>
    <x v="3"/>
    <s v="x"/>
  </r>
  <r>
    <x v="2"/>
    <x v="4"/>
    <n v="8"/>
  </r>
  <r>
    <x v="2"/>
    <x v="5"/>
    <m/>
  </r>
  <r>
    <x v="2"/>
    <x v="6"/>
    <m/>
  </r>
  <r>
    <x v="2"/>
    <x v="7"/>
    <m/>
  </r>
  <r>
    <x v="2"/>
    <x v="8"/>
    <m/>
  </r>
  <r>
    <x v="2"/>
    <x v="9"/>
    <n v="17"/>
  </r>
  <r>
    <x v="6"/>
    <x v="0"/>
    <s v="500"/>
  </r>
  <r>
    <x v="6"/>
    <x v="1"/>
    <s v="x"/>
  </r>
  <r>
    <x v="6"/>
    <x v="2"/>
    <n v="10"/>
  </r>
  <r>
    <x v="6"/>
    <x v="3"/>
    <s v="x"/>
  </r>
  <r>
    <x v="6"/>
    <x v="4"/>
    <n v="7"/>
  </r>
  <r>
    <x v="6"/>
    <x v="5"/>
    <m/>
  </r>
  <r>
    <x v="6"/>
    <x v="6"/>
    <m/>
  </r>
  <r>
    <x v="6"/>
    <x v="7"/>
    <m/>
  </r>
  <r>
    <x v="6"/>
    <x v="8"/>
    <m/>
  </r>
  <r>
    <x v="6"/>
    <x v="9"/>
    <n v="17"/>
  </r>
  <r>
    <x v="0"/>
    <x v="0"/>
    <n v="500"/>
  </r>
  <r>
    <x v="0"/>
    <x v="1"/>
    <s v="x"/>
  </r>
  <r>
    <x v="0"/>
    <x v="2"/>
    <n v="9"/>
  </r>
  <r>
    <x v="0"/>
    <x v="3"/>
    <s v="x"/>
  </r>
  <r>
    <x v="0"/>
    <x v="4"/>
    <n v="8"/>
  </r>
  <r>
    <x v="0"/>
    <x v="5"/>
    <m/>
  </r>
  <r>
    <x v="0"/>
    <x v="6"/>
    <m/>
  </r>
  <r>
    <x v="0"/>
    <x v="7"/>
    <m/>
  </r>
  <r>
    <x v="0"/>
    <x v="8"/>
    <m/>
  </r>
  <r>
    <x v="0"/>
    <x v="9"/>
    <n v="17"/>
  </r>
  <r>
    <x v="0"/>
    <x v="0"/>
    <n v="500"/>
  </r>
  <r>
    <x v="0"/>
    <x v="1"/>
    <s v="x"/>
  </r>
  <r>
    <x v="0"/>
    <x v="2"/>
    <n v="8"/>
  </r>
  <r>
    <x v="0"/>
    <x v="3"/>
    <s v="x"/>
  </r>
  <r>
    <x v="0"/>
    <x v="4"/>
    <n v="8"/>
  </r>
  <r>
    <x v="0"/>
    <x v="5"/>
    <m/>
  </r>
  <r>
    <x v="0"/>
    <x v="6"/>
    <m/>
  </r>
  <r>
    <x v="0"/>
    <x v="7"/>
    <m/>
  </r>
  <r>
    <x v="0"/>
    <x v="8"/>
    <m/>
  </r>
  <r>
    <x v="0"/>
    <x v="9"/>
    <n v="16"/>
  </r>
  <r>
    <x v="1"/>
    <x v="0"/>
    <s v="500"/>
  </r>
  <r>
    <x v="1"/>
    <x v="1"/>
    <s v="x"/>
  </r>
  <r>
    <x v="1"/>
    <x v="2"/>
    <n v="8"/>
  </r>
  <r>
    <x v="1"/>
    <x v="3"/>
    <s v="x"/>
  </r>
  <r>
    <x v="1"/>
    <x v="4"/>
    <n v="8"/>
  </r>
  <r>
    <x v="1"/>
    <x v="5"/>
    <m/>
  </r>
  <r>
    <x v="1"/>
    <x v="6"/>
    <m/>
  </r>
  <r>
    <x v="1"/>
    <x v="7"/>
    <m/>
  </r>
  <r>
    <x v="1"/>
    <x v="8"/>
    <m/>
  </r>
  <r>
    <x v="1"/>
    <x v="9"/>
    <n v="16"/>
  </r>
  <r>
    <x v="7"/>
    <x v="0"/>
    <s v="500"/>
  </r>
  <r>
    <x v="7"/>
    <x v="1"/>
    <s v="x"/>
  </r>
  <r>
    <x v="7"/>
    <x v="2"/>
    <n v="9"/>
  </r>
  <r>
    <x v="7"/>
    <x v="3"/>
    <s v="x"/>
  </r>
  <r>
    <x v="7"/>
    <x v="4"/>
    <n v="7"/>
  </r>
  <r>
    <x v="7"/>
    <x v="5"/>
    <m/>
  </r>
  <r>
    <x v="7"/>
    <x v="6"/>
    <m/>
  </r>
  <r>
    <x v="7"/>
    <x v="7"/>
    <m/>
  </r>
  <r>
    <x v="7"/>
    <x v="8"/>
    <m/>
  </r>
  <r>
    <x v="7"/>
    <x v="9"/>
    <n v="16"/>
  </r>
  <r>
    <x v="8"/>
    <x v="0"/>
    <s v="500"/>
  </r>
  <r>
    <x v="8"/>
    <x v="1"/>
    <s v="x"/>
  </r>
  <r>
    <x v="8"/>
    <x v="2"/>
    <n v="9"/>
  </r>
  <r>
    <x v="8"/>
    <x v="3"/>
    <s v="x"/>
  </r>
  <r>
    <x v="8"/>
    <x v="4"/>
    <n v="7"/>
  </r>
  <r>
    <x v="8"/>
    <x v="5"/>
    <m/>
  </r>
  <r>
    <x v="8"/>
    <x v="6"/>
    <m/>
  </r>
  <r>
    <x v="8"/>
    <x v="7"/>
    <m/>
  </r>
  <r>
    <x v="8"/>
    <x v="8"/>
    <m/>
  </r>
  <r>
    <x v="8"/>
    <x v="9"/>
    <n v="16"/>
  </r>
  <r>
    <x v="0"/>
    <x v="0"/>
    <n v="500"/>
  </r>
  <r>
    <x v="0"/>
    <x v="1"/>
    <s v="x"/>
  </r>
  <r>
    <x v="0"/>
    <x v="2"/>
    <n v="9"/>
  </r>
  <r>
    <x v="0"/>
    <x v="3"/>
    <s v="x"/>
  </r>
  <r>
    <x v="0"/>
    <x v="4"/>
    <n v="7"/>
  </r>
  <r>
    <x v="0"/>
    <x v="5"/>
    <m/>
  </r>
  <r>
    <x v="0"/>
    <x v="6"/>
    <m/>
  </r>
  <r>
    <x v="0"/>
    <x v="7"/>
    <m/>
  </r>
  <r>
    <x v="0"/>
    <x v="8"/>
    <m/>
  </r>
  <r>
    <x v="0"/>
    <x v="9"/>
    <n v="16"/>
  </r>
  <r>
    <x v="0"/>
    <x v="0"/>
    <n v="500"/>
  </r>
  <r>
    <x v="0"/>
    <x v="1"/>
    <s v="x"/>
  </r>
  <r>
    <x v="0"/>
    <x v="2"/>
    <n v="9"/>
  </r>
  <r>
    <x v="0"/>
    <x v="3"/>
    <s v="x"/>
  </r>
  <r>
    <x v="0"/>
    <x v="4"/>
    <n v="7"/>
  </r>
  <r>
    <x v="0"/>
    <x v="5"/>
    <m/>
  </r>
  <r>
    <x v="0"/>
    <x v="6"/>
    <m/>
  </r>
  <r>
    <x v="0"/>
    <x v="7"/>
    <m/>
  </r>
  <r>
    <x v="0"/>
    <x v="8"/>
    <m/>
  </r>
  <r>
    <x v="0"/>
    <x v="9"/>
    <n v="16"/>
  </r>
  <r>
    <x v="0"/>
    <x v="0"/>
    <n v="500"/>
  </r>
  <r>
    <x v="0"/>
    <x v="1"/>
    <s v="x"/>
  </r>
  <r>
    <x v="0"/>
    <x v="2"/>
    <n v="8"/>
  </r>
  <r>
    <x v="0"/>
    <x v="3"/>
    <s v="x"/>
  </r>
  <r>
    <x v="0"/>
    <x v="4"/>
    <n v="7"/>
  </r>
  <r>
    <x v="0"/>
    <x v="5"/>
    <m/>
  </r>
  <r>
    <x v="0"/>
    <x v="6"/>
    <m/>
  </r>
  <r>
    <x v="0"/>
    <x v="7"/>
    <m/>
  </r>
  <r>
    <x v="0"/>
    <x v="8"/>
    <m/>
  </r>
  <r>
    <x v="0"/>
    <x v="9"/>
    <n v="15"/>
  </r>
  <r>
    <x v="1"/>
    <x v="0"/>
    <s v="500"/>
  </r>
  <r>
    <x v="1"/>
    <x v="1"/>
    <m/>
  </r>
  <r>
    <x v="1"/>
    <x v="2"/>
    <m/>
  </r>
  <r>
    <x v="1"/>
    <x v="3"/>
    <s v="x"/>
  </r>
  <r>
    <x v="1"/>
    <x v="4"/>
    <n v="14"/>
  </r>
  <r>
    <x v="1"/>
    <x v="5"/>
    <m/>
  </r>
  <r>
    <x v="1"/>
    <x v="6"/>
    <m/>
  </r>
  <r>
    <x v="1"/>
    <x v="7"/>
    <m/>
  </r>
  <r>
    <x v="1"/>
    <x v="8"/>
    <m/>
  </r>
  <r>
    <x v="1"/>
    <x v="9"/>
    <n v="14"/>
  </r>
  <r>
    <x v="4"/>
    <x v="0"/>
    <n v="511"/>
  </r>
  <r>
    <x v="4"/>
    <x v="1"/>
    <s v="x"/>
  </r>
  <r>
    <x v="4"/>
    <x v="2"/>
    <n v="4"/>
  </r>
  <r>
    <x v="4"/>
    <x v="3"/>
    <s v="x"/>
  </r>
  <r>
    <x v="4"/>
    <x v="4"/>
    <n v="9"/>
  </r>
  <r>
    <x v="4"/>
    <x v="5"/>
    <m/>
  </r>
  <r>
    <x v="4"/>
    <x v="6"/>
    <m/>
  </r>
  <r>
    <x v="4"/>
    <x v="7"/>
    <m/>
  </r>
  <r>
    <x v="4"/>
    <x v="8"/>
    <m/>
  </r>
  <r>
    <x v="4"/>
    <x v="9"/>
    <n v="13"/>
  </r>
  <r>
    <x v="0"/>
    <x v="0"/>
    <n v="500"/>
  </r>
  <r>
    <x v="0"/>
    <x v="1"/>
    <s v="x"/>
  </r>
  <r>
    <x v="0"/>
    <x v="2"/>
    <n v="9"/>
  </r>
  <r>
    <x v="0"/>
    <x v="3"/>
    <s v="x"/>
  </r>
  <r>
    <x v="0"/>
    <x v="4"/>
    <n v="4"/>
  </r>
  <r>
    <x v="0"/>
    <x v="5"/>
    <m/>
  </r>
  <r>
    <x v="0"/>
    <x v="6"/>
    <m/>
  </r>
  <r>
    <x v="0"/>
    <x v="7"/>
    <m/>
  </r>
  <r>
    <x v="0"/>
    <x v="8"/>
    <m/>
  </r>
  <r>
    <x v="0"/>
    <x v="9"/>
    <n v="13"/>
  </r>
  <r>
    <x v="2"/>
    <x v="0"/>
    <n v="500"/>
  </r>
  <r>
    <x v="2"/>
    <x v="1"/>
    <s v="x"/>
  </r>
  <r>
    <x v="2"/>
    <x v="2"/>
    <n v="9"/>
  </r>
  <r>
    <x v="2"/>
    <x v="3"/>
    <s v="x"/>
  </r>
  <r>
    <x v="2"/>
    <x v="4"/>
    <n v="4"/>
  </r>
  <r>
    <x v="2"/>
    <x v="5"/>
    <m/>
  </r>
  <r>
    <x v="2"/>
    <x v="6"/>
    <m/>
  </r>
  <r>
    <x v="2"/>
    <x v="7"/>
    <m/>
  </r>
  <r>
    <x v="2"/>
    <x v="8"/>
    <m/>
  </r>
  <r>
    <x v="2"/>
    <x v="9"/>
    <n v="13"/>
  </r>
  <r>
    <x v="1"/>
    <x v="0"/>
    <s v="539"/>
  </r>
  <r>
    <x v="1"/>
    <x v="1"/>
    <s v="x"/>
  </r>
  <r>
    <x v="1"/>
    <x v="2"/>
    <n v="13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13"/>
  </r>
  <r>
    <x v="8"/>
    <x v="0"/>
    <s v="500"/>
  </r>
  <r>
    <x v="8"/>
    <x v="1"/>
    <s v="x"/>
  </r>
  <r>
    <x v="8"/>
    <x v="2"/>
    <n v="5"/>
  </r>
  <r>
    <x v="8"/>
    <x v="3"/>
    <s v="x"/>
  </r>
  <r>
    <x v="8"/>
    <x v="4"/>
    <n v="8"/>
  </r>
  <r>
    <x v="8"/>
    <x v="5"/>
    <m/>
  </r>
  <r>
    <x v="8"/>
    <x v="6"/>
    <m/>
  </r>
  <r>
    <x v="8"/>
    <x v="7"/>
    <m/>
  </r>
  <r>
    <x v="8"/>
    <x v="8"/>
    <m/>
  </r>
  <r>
    <x v="8"/>
    <x v="9"/>
    <n v="13"/>
  </r>
  <r>
    <x v="3"/>
    <x v="0"/>
    <n v="500"/>
  </r>
  <r>
    <x v="3"/>
    <x v="1"/>
    <s v="x"/>
  </r>
  <r>
    <x v="3"/>
    <x v="2"/>
    <n v="4"/>
  </r>
  <r>
    <x v="3"/>
    <x v="3"/>
    <s v="x"/>
  </r>
  <r>
    <x v="3"/>
    <x v="4"/>
    <n v="9"/>
  </r>
  <r>
    <x v="3"/>
    <x v="5"/>
    <m/>
  </r>
  <r>
    <x v="3"/>
    <x v="6"/>
    <m/>
  </r>
  <r>
    <x v="3"/>
    <x v="7"/>
    <m/>
  </r>
  <r>
    <x v="3"/>
    <x v="8"/>
    <m/>
  </r>
  <r>
    <x v="3"/>
    <x v="9"/>
    <n v="13"/>
  </r>
  <r>
    <x v="7"/>
    <x v="0"/>
    <n v="500"/>
  </r>
  <r>
    <x v="7"/>
    <x v="1"/>
    <s v="x"/>
  </r>
  <r>
    <x v="7"/>
    <x v="2"/>
    <n v="9"/>
  </r>
  <r>
    <x v="7"/>
    <x v="3"/>
    <s v="x"/>
  </r>
  <r>
    <x v="7"/>
    <x v="4"/>
    <n v="3"/>
  </r>
  <r>
    <x v="7"/>
    <x v="5"/>
    <m/>
  </r>
  <r>
    <x v="7"/>
    <x v="6"/>
    <m/>
  </r>
  <r>
    <x v="7"/>
    <x v="7"/>
    <m/>
  </r>
  <r>
    <x v="7"/>
    <x v="8"/>
    <m/>
  </r>
  <r>
    <x v="7"/>
    <x v="9"/>
    <n v="12"/>
  </r>
  <r>
    <x v="4"/>
    <x v="0"/>
    <n v="500"/>
  </r>
  <r>
    <x v="4"/>
    <x v="1"/>
    <s v="x"/>
  </r>
  <r>
    <x v="4"/>
    <x v="2"/>
    <n v="4"/>
  </r>
  <r>
    <x v="4"/>
    <x v="3"/>
    <s v="x"/>
  </r>
  <r>
    <x v="4"/>
    <x v="4"/>
    <n v="8"/>
  </r>
  <r>
    <x v="4"/>
    <x v="5"/>
    <m/>
  </r>
  <r>
    <x v="4"/>
    <x v="6"/>
    <m/>
  </r>
  <r>
    <x v="4"/>
    <x v="7"/>
    <m/>
  </r>
  <r>
    <x v="4"/>
    <x v="8"/>
    <m/>
  </r>
  <r>
    <x v="4"/>
    <x v="9"/>
    <n v="12"/>
  </r>
  <r>
    <x v="6"/>
    <x v="0"/>
    <s v="500"/>
  </r>
  <r>
    <x v="6"/>
    <x v="1"/>
    <s v="x"/>
  </r>
  <r>
    <x v="6"/>
    <x v="2"/>
    <n v="11"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11"/>
  </r>
  <r>
    <x v="0"/>
    <x v="0"/>
    <n v="500"/>
  </r>
  <r>
    <x v="0"/>
    <x v="1"/>
    <s v="x"/>
  </r>
  <r>
    <x v="0"/>
    <x v="2"/>
    <n v="4"/>
  </r>
  <r>
    <x v="0"/>
    <x v="3"/>
    <s v="x"/>
  </r>
  <r>
    <x v="0"/>
    <x v="4"/>
    <n v="7"/>
  </r>
  <r>
    <x v="0"/>
    <x v="5"/>
    <m/>
  </r>
  <r>
    <x v="0"/>
    <x v="6"/>
    <m/>
  </r>
  <r>
    <x v="0"/>
    <x v="7"/>
    <m/>
  </r>
  <r>
    <x v="0"/>
    <x v="8"/>
    <m/>
  </r>
  <r>
    <x v="0"/>
    <x v="9"/>
    <n v="11"/>
  </r>
  <r>
    <x v="0"/>
    <x v="0"/>
    <n v="500"/>
  </r>
  <r>
    <x v="0"/>
    <x v="1"/>
    <s v="x"/>
  </r>
  <r>
    <x v="0"/>
    <x v="2"/>
    <n v="8"/>
  </r>
  <r>
    <x v="0"/>
    <x v="3"/>
    <s v="x"/>
  </r>
  <r>
    <x v="0"/>
    <x v="4"/>
    <n v="2"/>
  </r>
  <r>
    <x v="0"/>
    <x v="5"/>
    <m/>
  </r>
  <r>
    <x v="0"/>
    <x v="6"/>
    <m/>
  </r>
  <r>
    <x v="0"/>
    <x v="7"/>
    <m/>
  </r>
  <r>
    <x v="0"/>
    <x v="8"/>
    <m/>
  </r>
  <r>
    <x v="0"/>
    <x v="9"/>
    <n v="10"/>
  </r>
  <r>
    <x v="0"/>
    <x v="0"/>
    <n v="500"/>
  </r>
  <r>
    <x v="0"/>
    <x v="1"/>
    <s v="x"/>
  </r>
  <r>
    <x v="0"/>
    <x v="2"/>
    <n v="3"/>
  </r>
  <r>
    <x v="0"/>
    <x v="3"/>
    <s v="x"/>
  </r>
  <r>
    <x v="0"/>
    <x v="4"/>
    <n v="7"/>
  </r>
  <r>
    <x v="0"/>
    <x v="5"/>
    <m/>
  </r>
  <r>
    <x v="0"/>
    <x v="6"/>
    <m/>
  </r>
  <r>
    <x v="0"/>
    <x v="7"/>
    <m/>
  </r>
  <r>
    <x v="0"/>
    <x v="8"/>
    <m/>
  </r>
  <r>
    <x v="0"/>
    <x v="9"/>
    <n v="10"/>
  </r>
  <r>
    <x v="0"/>
    <x v="0"/>
    <n v="500"/>
  </r>
  <r>
    <x v="0"/>
    <x v="1"/>
    <s v="x"/>
  </r>
  <r>
    <x v="0"/>
    <x v="2"/>
    <n v="8"/>
  </r>
  <r>
    <x v="0"/>
    <x v="3"/>
    <s v="x"/>
  </r>
  <r>
    <x v="0"/>
    <x v="4"/>
    <n v="2"/>
  </r>
  <r>
    <x v="0"/>
    <x v="5"/>
    <m/>
  </r>
  <r>
    <x v="0"/>
    <x v="6"/>
    <m/>
  </r>
  <r>
    <x v="0"/>
    <x v="7"/>
    <m/>
  </r>
  <r>
    <x v="0"/>
    <x v="8"/>
    <m/>
  </r>
  <r>
    <x v="0"/>
    <x v="9"/>
    <n v="10"/>
  </r>
  <r>
    <x v="0"/>
    <x v="0"/>
    <n v="500"/>
  </r>
  <r>
    <x v="0"/>
    <x v="1"/>
    <s v="x"/>
  </r>
  <r>
    <x v="0"/>
    <x v="2"/>
    <n v="10"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10"/>
  </r>
  <r>
    <x v="7"/>
    <x v="0"/>
    <n v="500"/>
  </r>
  <r>
    <x v="7"/>
    <x v="1"/>
    <s v="x"/>
  </r>
  <r>
    <x v="7"/>
    <x v="2"/>
    <n v="10"/>
  </r>
  <r>
    <x v="7"/>
    <x v="3"/>
    <m/>
  </r>
  <r>
    <x v="7"/>
    <x v="4"/>
    <m/>
  </r>
  <r>
    <x v="7"/>
    <x v="5"/>
    <m/>
  </r>
  <r>
    <x v="7"/>
    <x v="6"/>
    <m/>
  </r>
  <r>
    <x v="7"/>
    <x v="7"/>
    <m/>
  </r>
  <r>
    <x v="7"/>
    <x v="8"/>
    <m/>
  </r>
  <r>
    <x v="7"/>
    <x v="9"/>
    <n v="10"/>
  </r>
  <r>
    <x v="7"/>
    <x v="0"/>
    <n v="500"/>
  </r>
  <r>
    <x v="7"/>
    <x v="1"/>
    <s v="x"/>
  </r>
  <r>
    <x v="7"/>
    <x v="2"/>
    <n v="3"/>
  </r>
  <r>
    <x v="7"/>
    <x v="3"/>
    <s v="x"/>
  </r>
  <r>
    <x v="7"/>
    <x v="4"/>
    <n v="7"/>
  </r>
  <r>
    <x v="7"/>
    <x v="5"/>
    <m/>
  </r>
  <r>
    <x v="7"/>
    <x v="6"/>
    <m/>
  </r>
  <r>
    <x v="7"/>
    <x v="7"/>
    <m/>
  </r>
  <r>
    <x v="7"/>
    <x v="8"/>
    <m/>
  </r>
  <r>
    <x v="7"/>
    <x v="9"/>
    <n v="10"/>
  </r>
  <r>
    <x v="8"/>
    <x v="0"/>
    <n v="500"/>
  </r>
  <r>
    <x v="8"/>
    <x v="1"/>
    <s v="x"/>
  </r>
  <r>
    <x v="8"/>
    <x v="2"/>
    <n v="8"/>
  </r>
  <r>
    <x v="8"/>
    <x v="3"/>
    <s v="x"/>
  </r>
  <r>
    <x v="8"/>
    <x v="4"/>
    <n v="2"/>
  </r>
  <r>
    <x v="8"/>
    <x v="5"/>
    <m/>
  </r>
  <r>
    <x v="8"/>
    <x v="6"/>
    <m/>
  </r>
  <r>
    <x v="8"/>
    <x v="7"/>
    <m/>
  </r>
  <r>
    <x v="8"/>
    <x v="8"/>
    <m/>
  </r>
  <r>
    <x v="8"/>
    <x v="9"/>
    <n v="10"/>
  </r>
  <r>
    <x v="3"/>
    <x v="0"/>
    <n v="500"/>
  </r>
  <r>
    <x v="3"/>
    <x v="1"/>
    <s v="x"/>
  </r>
  <r>
    <x v="3"/>
    <x v="2"/>
    <n v="9"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9"/>
  </r>
  <r>
    <x v="0"/>
    <x v="0"/>
    <n v="500"/>
  </r>
  <r>
    <x v="0"/>
    <x v="1"/>
    <s v="x"/>
  </r>
  <r>
    <x v="0"/>
    <x v="2"/>
    <n v="2"/>
  </r>
  <r>
    <x v="0"/>
    <x v="3"/>
    <s v="x"/>
  </r>
  <r>
    <x v="0"/>
    <x v="4"/>
    <n v="7"/>
  </r>
  <r>
    <x v="0"/>
    <x v="5"/>
    <m/>
  </r>
  <r>
    <x v="0"/>
    <x v="6"/>
    <m/>
  </r>
  <r>
    <x v="0"/>
    <x v="7"/>
    <m/>
  </r>
  <r>
    <x v="0"/>
    <x v="8"/>
    <m/>
  </r>
  <r>
    <x v="0"/>
    <x v="9"/>
    <n v="9"/>
  </r>
  <r>
    <x v="7"/>
    <x v="0"/>
    <s v="500"/>
  </r>
  <r>
    <x v="7"/>
    <x v="1"/>
    <s v="x"/>
  </r>
  <r>
    <x v="7"/>
    <x v="2"/>
    <n v="9"/>
  </r>
  <r>
    <x v="7"/>
    <x v="3"/>
    <m/>
  </r>
  <r>
    <x v="7"/>
    <x v="4"/>
    <m/>
  </r>
  <r>
    <x v="7"/>
    <x v="5"/>
    <m/>
  </r>
  <r>
    <x v="7"/>
    <x v="6"/>
    <m/>
  </r>
  <r>
    <x v="7"/>
    <x v="7"/>
    <m/>
  </r>
  <r>
    <x v="7"/>
    <x v="8"/>
    <m/>
  </r>
  <r>
    <x v="7"/>
    <x v="9"/>
    <n v="9"/>
  </r>
  <r>
    <x v="5"/>
    <x v="0"/>
    <n v="500"/>
  </r>
  <r>
    <x v="5"/>
    <x v="1"/>
    <s v="x"/>
  </r>
  <r>
    <x v="5"/>
    <x v="2"/>
    <n v="9"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9"/>
  </r>
  <r>
    <x v="3"/>
    <x v="0"/>
    <n v="500"/>
  </r>
  <r>
    <x v="3"/>
    <x v="1"/>
    <m/>
  </r>
  <r>
    <x v="3"/>
    <x v="2"/>
    <m/>
  </r>
  <r>
    <x v="3"/>
    <x v="3"/>
    <s v="x"/>
  </r>
  <r>
    <x v="3"/>
    <x v="4"/>
    <n v="9"/>
  </r>
  <r>
    <x v="3"/>
    <x v="5"/>
    <m/>
  </r>
  <r>
    <x v="3"/>
    <x v="6"/>
    <m/>
  </r>
  <r>
    <x v="3"/>
    <x v="7"/>
    <m/>
  </r>
  <r>
    <x v="3"/>
    <x v="8"/>
    <m/>
  </r>
  <r>
    <x v="3"/>
    <x v="9"/>
    <n v="9"/>
  </r>
  <r>
    <x v="7"/>
    <x v="0"/>
    <n v="500"/>
  </r>
  <r>
    <x v="7"/>
    <x v="1"/>
    <s v="x"/>
  </r>
  <r>
    <x v="7"/>
    <x v="2"/>
    <n v="9"/>
  </r>
  <r>
    <x v="7"/>
    <x v="3"/>
    <m/>
  </r>
  <r>
    <x v="7"/>
    <x v="4"/>
    <m/>
  </r>
  <r>
    <x v="7"/>
    <x v="5"/>
    <m/>
  </r>
  <r>
    <x v="7"/>
    <x v="6"/>
    <m/>
  </r>
  <r>
    <x v="7"/>
    <x v="7"/>
    <m/>
  </r>
  <r>
    <x v="7"/>
    <x v="8"/>
    <m/>
  </r>
  <r>
    <x v="7"/>
    <x v="9"/>
    <n v="9"/>
  </r>
  <r>
    <x v="2"/>
    <x v="0"/>
    <n v="500"/>
  </r>
  <r>
    <x v="2"/>
    <x v="1"/>
    <s v="x"/>
  </r>
  <r>
    <x v="2"/>
    <x v="2"/>
    <n v="9"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9"/>
  </r>
  <r>
    <x v="7"/>
    <x v="0"/>
    <n v="500"/>
  </r>
  <r>
    <x v="7"/>
    <x v="1"/>
    <s v="x"/>
  </r>
  <r>
    <x v="7"/>
    <x v="2"/>
    <n v="8"/>
  </r>
  <r>
    <x v="7"/>
    <x v="3"/>
    <m/>
  </r>
  <r>
    <x v="7"/>
    <x v="4"/>
    <m/>
  </r>
  <r>
    <x v="7"/>
    <x v="5"/>
    <m/>
  </r>
  <r>
    <x v="7"/>
    <x v="6"/>
    <m/>
  </r>
  <r>
    <x v="7"/>
    <x v="7"/>
    <m/>
  </r>
  <r>
    <x v="7"/>
    <x v="8"/>
    <m/>
  </r>
  <r>
    <x v="7"/>
    <x v="9"/>
    <n v="8"/>
  </r>
  <r>
    <x v="7"/>
    <x v="0"/>
    <n v="500"/>
  </r>
  <r>
    <x v="7"/>
    <x v="1"/>
    <s v="x"/>
  </r>
  <r>
    <x v="7"/>
    <x v="2"/>
    <n v="8"/>
  </r>
  <r>
    <x v="7"/>
    <x v="3"/>
    <m/>
  </r>
  <r>
    <x v="7"/>
    <x v="4"/>
    <m/>
  </r>
  <r>
    <x v="7"/>
    <x v="5"/>
    <m/>
  </r>
  <r>
    <x v="7"/>
    <x v="6"/>
    <m/>
  </r>
  <r>
    <x v="7"/>
    <x v="7"/>
    <m/>
  </r>
  <r>
    <x v="7"/>
    <x v="8"/>
    <m/>
  </r>
  <r>
    <x v="7"/>
    <x v="9"/>
    <n v="8"/>
  </r>
  <r>
    <x v="7"/>
    <x v="0"/>
    <n v="500"/>
  </r>
  <r>
    <x v="7"/>
    <x v="1"/>
    <s v="x"/>
  </r>
  <r>
    <x v="7"/>
    <x v="2"/>
    <n v="8"/>
  </r>
  <r>
    <x v="7"/>
    <x v="3"/>
    <m/>
  </r>
  <r>
    <x v="7"/>
    <x v="4"/>
    <m/>
  </r>
  <r>
    <x v="7"/>
    <x v="5"/>
    <m/>
  </r>
  <r>
    <x v="7"/>
    <x v="6"/>
    <m/>
  </r>
  <r>
    <x v="7"/>
    <x v="7"/>
    <m/>
  </r>
  <r>
    <x v="7"/>
    <x v="8"/>
    <m/>
  </r>
  <r>
    <x v="7"/>
    <x v="9"/>
    <n v="8"/>
  </r>
  <r>
    <x v="0"/>
    <x v="0"/>
    <n v="500"/>
  </r>
  <r>
    <x v="0"/>
    <x v="1"/>
    <s v="x"/>
  </r>
  <r>
    <x v="0"/>
    <x v="2"/>
    <n v="8"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8"/>
  </r>
  <r>
    <x v="0"/>
    <x v="0"/>
    <n v="500"/>
  </r>
  <r>
    <x v="0"/>
    <x v="1"/>
    <s v="x"/>
  </r>
  <r>
    <x v="0"/>
    <x v="2"/>
    <n v="8"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8"/>
  </r>
  <r>
    <x v="9"/>
    <x v="0"/>
    <n v="500"/>
  </r>
  <r>
    <x v="9"/>
    <x v="1"/>
    <s v="x"/>
  </r>
  <r>
    <x v="9"/>
    <x v="2"/>
    <n v="8"/>
  </r>
  <r>
    <x v="9"/>
    <x v="3"/>
    <m/>
  </r>
  <r>
    <x v="9"/>
    <x v="4"/>
    <m/>
  </r>
  <r>
    <x v="9"/>
    <x v="5"/>
    <m/>
  </r>
  <r>
    <x v="9"/>
    <x v="6"/>
    <m/>
  </r>
  <r>
    <x v="9"/>
    <x v="7"/>
    <m/>
  </r>
  <r>
    <x v="9"/>
    <x v="8"/>
    <m/>
  </r>
  <r>
    <x v="9"/>
    <x v="9"/>
    <n v="8"/>
  </r>
  <r>
    <x v="2"/>
    <x v="0"/>
    <n v="521"/>
  </r>
  <r>
    <x v="2"/>
    <x v="1"/>
    <m/>
  </r>
  <r>
    <x v="2"/>
    <x v="2"/>
    <m/>
  </r>
  <r>
    <x v="2"/>
    <x v="3"/>
    <s v="x"/>
  </r>
  <r>
    <x v="2"/>
    <x v="4"/>
    <n v="8"/>
  </r>
  <r>
    <x v="2"/>
    <x v="5"/>
    <m/>
  </r>
  <r>
    <x v="2"/>
    <x v="6"/>
    <m/>
  </r>
  <r>
    <x v="2"/>
    <x v="7"/>
    <m/>
  </r>
  <r>
    <x v="2"/>
    <x v="8"/>
    <m/>
  </r>
  <r>
    <x v="2"/>
    <x v="9"/>
    <n v="8"/>
  </r>
  <r>
    <x v="2"/>
    <x v="0"/>
    <n v="500"/>
  </r>
  <r>
    <x v="2"/>
    <x v="1"/>
    <s v="x"/>
  </r>
  <r>
    <x v="2"/>
    <x v="2"/>
    <n v="8"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8"/>
  </r>
  <r>
    <x v="1"/>
    <x v="0"/>
    <s v="500"/>
  </r>
  <r>
    <x v="1"/>
    <x v="1"/>
    <m/>
  </r>
  <r>
    <x v="1"/>
    <x v="2"/>
    <m/>
  </r>
  <r>
    <x v="1"/>
    <x v="3"/>
    <s v="x"/>
  </r>
  <r>
    <x v="1"/>
    <x v="4"/>
    <n v="7"/>
  </r>
  <r>
    <x v="1"/>
    <x v="5"/>
    <m/>
  </r>
  <r>
    <x v="1"/>
    <x v="6"/>
    <m/>
  </r>
  <r>
    <x v="1"/>
    <x v="7"/>
    <m/>
  </r>
  <r>
    <x v="1"/>
    <x v="8"/>
    <m/>
  </r>
  <r>
    <x v="1"/>
    <x v="9"/>
    <n v="7"/>
  </r>
  <r>
    <x v="4"/>
    <x v="0"/>
    <n v="500"/>
  </r>
  <r>
    <x v="4"/>
    <x v="1"/>
    <m/>
  </r>
  <r>
    <x v="4"/>
    <x v="2"/>
    <m/>
  </r>
  <r>
    <x v="4"/>
    <x v="3"/>
    <s v="x"/>
  </r>
  <r>
    <x v="4"/>
    <x v="4"/>
    <n v="7"/>
  </r>
  <r>
    <x v="4"/>
    <x v="5"/>
    <m/>
  </r>
  <r>
    <x v="4"/>
    <x v="6"/>
    <m/>
  </r>
  <r>
    <x v="4"/>
    <x v="7"/>
    <m/>
  </r>
  <r>
    <x v="4"/>
    <x v="8"/>
    <m/>
  </r>
  <r>
    <x v="4"/>
    <x v="9"/>
    <n v="7"/>
  </r>
  <r>
    <x v="4"/>
    <x v="0"/>
    <n v="500"/>
  </r>
  <r>
    <x v="4"/>
    <x v="1"/>
    <s v="x"/>
  </r>
  <r>
    <x v="4"/>
    <x v="2"/>
    <n v="5"/>
  </r>
  <r>
    <x v="4"/>
    <x v="3"/>
    <s v="x"/>
  </r>
  <r>
    <x v="4"/>
    <x v="4"/>
    <n v="2"/>
  </r>
  <r>
    <x v="4"/>
    <x v="5"/>
    <m/>
  </r>
  <r>
    <x v="4"/>
    <x v="6"/>
    <m/>
  </r>
  <r>
    <x v="4"/>
    <x v="7"/>
    <m/>
  </r>
  <r>
    <x v="4"/>
    <x v="8"/>
    <m/>
  </r>
  <r>
    <x v="4"/>
    <x v="9"/>
    <n v="7"/>
  </r>
  <r>
    <x v="1"/>
    <x v="0"/>
    <m/>
  </r>
  <r>
    <x v="1"/>
    <x v="1"/>
    <m/>
  </r>
  <r>
    <x v="1"/>
    <x v="2"/>
    <m/>
  </r>
  <r>
    <x v="1"/>
    <x v="3"/>
    <s v="x"/>
  </r>
  <r>
    <x v="1"/>
    <x v="4"/>
    <n v="7"/>
  </r>
  <r>
    <x v="1"/>
    <x v="5"/>
    <m/>
  </r>
  <r>
    <x v="1"/>
    <x v="6"/>
    <m/>
  </r>
  <r>
    <x v="1"/>
    <x v="7"/>
    <m/>
  </r>
  <r>
    <x v="1"/>
    <x v="8"/>
    <m/>
  </r>
  <r>
    <x v="1"/>
    <x v="9"/>
    <n v="7"/>
  </r>
  <r>
    <x v="2"/>
    <x v="0"/>
    <n v="500"/>
  </r>
  <r>
    <x v="2"/>
    <x v="1"/>
    <s v="x"/>
  </r>
  <r>
    <x v="2"/>
    <x v="2"/>
    <n v="6"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6"/>
  </r>
  <r>
    <x v="0"/>
    <x v="0"/>
    <n v="500"/>
  </r>
  <r>
    <x v="0"/>
    <x v="1"/>
    <s v="x"/>
  </r>
  <r>
    <x v="0"/>
    <x v="2"/>
    <n v="3"/>
  </r>
  <r>
    <x v="0"/>
    <x v="3"/>
    <s v="x"/>
  </r>
  <r>
    <x v="0"/>
    <x v="4"/>
    <n v="3"/>
  </r>
  <r>
    <x v="0"/>
    <x v="5"/>
    <m/>
  </r>
  <r>
    <x v="0"/>
    <x v="6"/>
    <m/>
  </r>
  <r>
    <x v="0"/>
    <x v="7"/>
    <m/>
  </r>
  <r>
    <x v="0"/>
    <x v="8"/>
    <m/>
  </r>
  <r>
    <x v="0"/>
    <x v="9"/>
    <n v="6"/>
  </r>
  <r>
    <x v="0"/>
    <x v="0"/>
    <n v="500"/>
  </r>
  <r>
    <x v="0"/>
    <x v="1"/>
    <s v="x"/>
  </r>
  <r>
    <x v="0"/>
    <x v="2"/>
    <n v="3"/>
  </r>
  <r>
    <x v="0"/>
    <x v="3"/>
    <s v="x"/>
  </r>
  <r>
    <x v="0"/>
    <x v="4"/>
    <n v="2"/>
  </r>
  <r>
    <x v="0"/>
    <x v="5"/>
    <m/>
  </r>
  <r>
    <x v="0"/>
    <x v="6"/>
    <m/>
  </r>
  <r>
    <x v="0"/>
    <x v="7"/>
    <m/>
  </r>
  <r>
    <x v="0"/>
    <x v="8"/>
    <m/>
  </r>
  <r>
    <x v="0"/>
    <x v="9"/>
    <n v="5"/>
  </r>
  <r>
    <x v="7"/>
    <x v="0"/>
    <m/>
  </r>
  <r>
    <x v="7"/>
    <x v="1"/>
    <m/>
  </r>
  <r>
    <x v="7"/>
    <x v="2"/>
    <m/>
  </r>
  <r>
    <x v="7"/>
    <x v="3"/>
    <s v="x"/>
  </r>
  <r>
    <x v="7"/>
    <x v="4"/>
    <n v="5"/>
  </r>
  <r>
    <x v="7"/>
    <x v="5"/>
    <m/>
  </r>
  <r>
    <x v="7"/>
    <x v="6"/>
    <m/>
  </r>
  <r>
    <x v="7"/>
    <x v="7"/>
    <m/>
  </r>
  <r>
    <x v="7"/>
    <x v="8"/>
    <m/>
  </r>
  <r>
    <x v="7"/>
    <x v="9"/>
    <n v="5"/>
  </r>
  <r>
    <x v="3"/>
    <x v="0"/>
    <n v="500"/>
  </r>
  <r>
    <x v="3"/>
    <x v="1"/>
    <s v="x"/>
  </r>
  <r>
    <x v="3"/>
    <x v="2"/>
    <n v="2"/>
  </r>
  <r>
    <x v="3"/>
    <x v="3"/>
    <s v="x"/>
  </r>
  <r>
    <x v="3"/>
    <x v="4"/>
    <n v="2"/>
  </r>
  <r>
    <x v="3"/>
    <x v="5"/>
    <m/>
  </r>
  <r>
    <x v="3"/>
    <x v="6"/>
    <m/>
  </r>
  <r>
    <x v="3"/>
    <x v="7"/>
    <m/>
  </r>
  <r>
    <x v="3"/>
    <x v="8"/>
    <m/>
  </r>
  <r>
    <x v="3"/>
    <x v="9"/>
    <n v="4"/>
  </r>
  <r>
    <x v="3"/>
    <x v="0"/>
    <n v="500"/>
  </r>
  <r>
    <x v="3"/>
    <x v="1"/>
    <s v="x"/>
  </r>
  <r>
    <x v="3"/>
    <x v="2"/>
    <n v="3"/>
  </r>
  <r>
    <x v="3"/>
    <x v="3"/>
    <s v="x"/>
  </r>
  <r>
    <x v="3"/>
    <x v="4"/>
    <n v="1"/>
  </r>
  <r>
    <x v="3"/>
    <x v="5"/>
    <m/>
  </r>
  <r>
    <x v="3"/>
    <x v="6"/>
    <m/>
  </r>
  <r>
    <x v="3"/>
    <x v="7"/>
    <m/>
  </r>
  <r>
    <x v="3"/>
    <x v="8"/>
    <m/>
  </r>
  <r>
    <x v="3"/>
    <x v="9"/>
    <n v="4"/>
  </r>
  <r>
    <x v="2"/>
    <x v="0"/>
    <m/>
  </r>
  <r>
    <x v="2"/>
    <x v="1"/>
    <m/>
  </r>
  <r>
    <x v="2"/>
    <x v="2"/>
    <m/>
  </r>
  <r>
    <x v="2"/>
    <x v="3"/>
    <s v="x"/>
  </r>
  <r>
    <x v="2"/>
    <x v="4"/>
    <n v="3"/>
  </r>
  <r>
    <x v="2"/>
    <x v="5"/>
    <m/>
  </r>
  <r>
    <x v="2"/>
    <x v="6"/>
    <m/>
  </r>
  <r>
    <x v="2"/>
    <x v="7"/>
    <m/>
  </r>
  <r>
    <x v="2"/>
    <x v="8"/>
    <m/>
  </r>
  <r>
    <x v="2"/>
    <x v="9"/>
    <n v="3"/>
  </r>
  <r>
    <x v="3"/>
    <x v="0"/>
    <n v="500"/>
  </r>
  <r>
    <x v="3"/>
    <x v="1"/>
    <s v="x"/>
  </r>
  <r>
    <x v="3"/>
    <x v="2"/>
    <n v="1"/>
  </r>
  <r>
    <x v="3"/>
    <x v="3"/>
    <s v="x"/>
  </r>
  <r>
    <x v="3"/>
    <x v="4"/>
    <n v="2"/>
  </r>
  <r>
    <x v="3"/>
    <x v="5"/>
    <m/>
  </r>
  <r>
    <x v="3"/>
    <x v="6"/>
    <m/>
  </r>
  <r>
    <x v="3"/>
    <x v="7"/>
    <m/>
  </r>
  <r>
    <x v="3"/>
    <x v="8"/>
    <m/>
  </r>
  <r>
    <x v="3"/>
    <x v="9"/>
    <n v="3"/>
  </r>
  <r>
    <x v="1"/>
    <x v="0"/>
    <s v="500"/>
  </r>
  <r>
    <x v="1"/>
    <x v="1"/>
    <m/>
  </r>
  <r>
    <x v="1"/>
    <x v="2"/>
    <m/>
  </r>
  <r>
    <x v="1"/>
    <x v="3"/>
    <s v="x"/>
  </r>
  <r>
    <x v="1"/>
    <x v="4"/>
    <n v="3"/>
  </r>
  <r>
    <x v="1"/>
    <x v="5"/>
    <m/>
  </r>
  <r>
    <x v="1"/>
    <x v="6"/>
    <m/>
  </r>
  <r>
    <x v="1"/>
    <x v="7"/>
    <m/>
  </r>
  <r>
    <x v="1"/>
    <x v="8"/>
    <m/>
  </r>
  <r>
    <x v="1"/>
    <x v="9"/>
    <n v="3"/>
  </r>
  <r>
    <x v="6"/>
    <x v="0"/>
    <s v="500"/>
  </r>
  <r>
    <x v="6"/>
    <x v="1"/>
    <s v="x"/>
  </r>
  <r>
    <x v="6"/>
    <x v="2"/>
    <n v="3"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3"/>
  </r>
  <r>
    <x v="3"/>
    <x v="0"/>
    <n v="500"/>
  </r>
  <r>
    <x v="3"/>
    <x v="1"/>
    <s v="x"/>
  </r>
  <r>
    <x v="3"/>
    <x v="2"/>
    <n v="2"/>
  </r>
  <r>
    <x v="3"/>
    <x v="3"/>
    <s v="x"/>
  </r>
  <r>
    <x v="3"/>
    <x v="4"/>
    <n v="1"/>
  </r>
  <r>
    <x v="3"/>
    <x v="5"/>
    <m/>
  </r>
  <r>
    <x v="3"/>
    <x v="6"/>
    <m/>
  </r>
  <r>
    <x v="3"/>
    <x v="7"/>
    <m/>
  </r>
  <r>
    <x v="3"/>
    <x v="8"/>
    <m/>
  </r>
  <r>
    <x v="3"/>
    <x v="9"/>
    <n v="3"/>
  </r>
  <r>
    <x v="6"/>
    <x v="0"/>
    <s v="500"/>
  </r>
  <r>
    <x v="6"/>
    <x v="1"/>
    <s v="x"/>
  </r>
  <r>
    <x v="6"/>
    <x v="2"/>
    <n v="3"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3"/>
  </r>
  <r>
    <x v="1"/>
    <x v="0"/>
    <s v="500"/>
  </r>
  <r>
    <x v="1"/>
    <x v="1"/>
    <s v="x"/>
  </r>
  <r>
    <x v="1"/>
    <x v="2"/>
    <n v="2"/>
  </r>
  <r>
    <x v="1"/>
    <x v="3"/>
    <s v="x"/>
  </r>
  <r>
    <x v="1"/>
    <x v="4"/>
    <n v="1"/>
  </r>
  <r>
    <x v="1"/>
    <x v="5"/>
    <m/>
  </r>
  <r>
    <x v="1"/>
    <x v="6"/>
    <m/>
  </r>
  <r>
    <x v="1"/>
    <x v="7"/>
    <m/>
  </r>
  <r>
    <x v="1"/>
    <x v="8"/>
    <m/>
  </r>
  <r>
    <x v="1"/>
    <x v="9"/>
    <n v="3"/>
  </r>
  <r>
    <x v="2"/>
    <x v="0"/>
    <n v="500"/>
  </r>
  <r>
    <x v="2"/>
    <x v="1"/>
    <s v="x"/>
  </r>
  <r>
    <x v="2"/>
    <x v="2"/>
    <n v="3"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3"/>
  </r>
  <r>
    <x v="5"/>
    <x v="0"/>
    <n v="500"/>
  </r>
  <r>
    <x v="5"/>
    <x v="1"/>
    <s v="x"/>
  </r>
  <r>
    <x v="5"/>
    <x v="2"/>
    <n v="2"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2"/>
  </r>
  <r>
    <x v="1"/>
    <x v="0"/>
    <s v="500"/>
  </r>
  <r>
    <x v="1"/>
    <x v="1"/>
    <s v="x"/>
  </r>
  <r>
    <x v="1"/>
    <x v="2"/>
    <n v="2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2"/>
  </r>
  <r>
    <x v="3"/>
    <x v="0"/>
    <n v="500"/>
  </r>
  <r>
    <x v="3"/>
    <x v="1"/>
    <s v="x"/>
  </r>
  <r>
    <x v="3"/>
    <x v="2"/>
    <n v="2"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2"/>
  </r>
  <r>
    <x v="1"/>
    <x v="0"/>
    <s v="500"/>
  </r>
  <r>
    <x v="1"/>
    <x v="1"/>
    <s v="x"/>
  </r>
  <r>
    <x v="1"/>
    <x v="2"/>
    <n v="2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2"/>
  </r>
  <r>
    <x v="5"/>
    <x v="0"/>
    <n v="500"/>
  </r>
  <r>
    <x v="5"/>
    <x v="1"/>
    <s v="x"/>
  </r>
  <r>
    <x v="5"/>
    <x v="2"/>
    <n v="2"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2"/>
  </r>
  <r>
    <x v="3"/>
    <x v="0"/>
    <n v="500"/>
  </r>
  <r>
    <x v="3"/>
    <x v="1"/>
    <s v="x"/>
  </r>
  <r>
    <x v="3"/>
    <x v="2"/>
    <n v="1"/>
  </r>
  <r>
    <x v="3"/>
    <x v="3"/>
    <s v="x"/>
  </r>
  <r>
    <x v="3"/>
    <x v="4"/>
    <n v="1"/>
  </r>
  <r>
    <x v="3"/>
    <x v="5"/>
    <m/>
  </r>
  <r>
    <x v="3"/>
    <x v="6"/>
    <m/>
  </r>
  <r>
    <x v="3"/>
    <x v="7"/>
    <m/>
  </r>
  <r>
    <x v="3"/>
    <x v="8"/>
    <m/>
  </r>
  <r>
    <x v="3"/>
    <x v="9"/>
    <n v="2"/>
  </r>
  <r>
    <x v="6"/>
    <x v="0"/>
    <s v="500"/>
  </r>
  <r>
    <x v="6"/>
    <x v="1"/>
    <s v="x"/>
  </r>
  <r>
    <x v="6"/>
    <x v="2"/>
    <n v="2"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2"/>
  </r>
  <r>
    <x v="4"/>
    <x v="0"/>
    <n v="500"/>
  </r>
  <r>
    <x v="4"/>
    <x v="1"/>
    <s v="x"/>
  </r>
  <r>
    <x v="4"/>
    <x v="2"/>
    <n v="2"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2"/>
  </r>
  <r>
    <x v="1"/>
    <x v="0"/>
    <s v="500"/>
  </r>
  <r>
    <x v="1"/>
    <x v="1"/>
    <s v="x"/>
  </r>
  <r>
    <x v="1"/>
    <x v="2"/>
    <n v="2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2"/>
  </r>
  <r>
    <x v="0"/>
    <x v="0"/>
    <n v="500"/>
  </r>
  <r>
    <x v="0"/>
    <x v="1"/>
    <s v="x"/>
  </r>
  <r>
    <x v="0"/>
    <x v="2"/>
    <n v="2"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2"/>
  </r>
  <r>
    <x v="8"/>
    <x v="0"/>
    <s v="500"/>
  </r>
  <r>
    <x v="8"/>
    <x v="1"/>
    <s v="x"/>
  </r>
  <r>
    <x v="8"/>
    <x v="2"/>
    <n v="2"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2"/>
  </r>
  <r>
    <x v="0"/>
    <x v="0"/>
    <n v="500"/>
  </r>
  <r>
    <x v="0"/>
    <x v="1"/>
    <s v="x"/>
  </r>
  <r>
    <x v="0"/>
    <x v="2"/>
    <n v="1"/>
  </r>
  <r>
    <x v="0"/>
    <x v="3"/>
    <s v="x"/>
  </r>
  <r>
    <x v="0"/>
    <x v="4"/>
    <n v="1"/>
  </r>
  <r>
    <x v="0"/>
    <x v="5"/>
    <m/>
  </r>
  <r>
    <x v="0"/>
    <x v="6"/>
    <m/>
  </r>
  <r>
    <x v="0"/>
    <x v="7"/>
    <m/>
  </r>
  <r>
    <x v="0"/>
    <x v="8"/>
    <m/>
  </r>
  <r>
    <x v="0"/>
    <x v="9"/>
    <n v="2"/>
  </r>
  <r>
    <x v="8"/>
    <x v="0"/>
    <s v="500"/>
  </r>
  <r>
    <x v="8"/>
    <x v="1"/>
    <s v="x"/>
  </r>
  <r>
    <x v="8"/>
    <x v="2"/>
    <n v="2"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2"/>
  </r>
  <r>
    <x v="1"/>
    <x v="0"/>
    <s v="500"/>
  </r>
  <r>
    <x v="1"/>
    <x v="1"/>
    <s v="x"/>
  </r>
  <r>
    <x v="1"/>
    <x v="2"/>
    <n v="2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2"/>
  </r>
  <r>
    <x v="5"/>
    <x v="0"/>
    <n v="500"/>
  </r>
  <r>
    <x v="5"/>
    <x v="1"/>
    <m/>
  </r>
  <r>
    <x v="5"/>
    <x v="2"/>
    <m/>
  </r>
  <r>
    <x v="5"/>
    <x v="3"/>
    <s v="x"/>
  </r>
  <r>
    <x v="5"/>
    <x v="4"/>
    <n v="2"/>
  </r>
  <r>
    <x v="5"/>
    <x v="5"/>
    <m/>
  </r>
  <r>
    <x v="5"/>
    <x v="6"/>
    <m/>
  </r>
  <r>
    <x v="5"/>
    <x v="7"/>
    <m/>
  </r>
  <r>
    <x v="5"/>
    <x v="8"/>
    <m/>
  </r>
  <r>
    <x v="5"/>
    <x v="9"/>
    <n v="2"/>
  </r>
  <r>
    <x v="3"/>
    <x v="0"/>
    <n v="500"/>
  </r>
  <r>
    <x v="3"/>
    <x v="1"/>
    <s v="x"/>
  </r>
  <r>
    <x v="3"/>
    <x v="2"/>
    <n v="1"/>
  </r>
  <r>
    <x v="3"/>
    <x v="3"/>
    <s v="x"/>
  </r>
  <r>
    <x v="3"/>
    <x v="4"/>
    <n v="1"/>
  </r>
  <r>
    <x v="3"/>
    <x v="5"/>
    <m/>
  </r>
  <r>
    <x v="3"/>
    <x v="6"/>
    <m/>
  </r>
  <r>
    <x v="3"/>
    <x v="7"/>
    <m/>
  </r>
  <r>
    <x v="3"/>
    <x v="8"/>
    <m/>
  </r>
  <r>
    <x v="3"/>
    <x v="9"/>
    <n v="2"/>
  </r>
  <r>
    <x v="1"/>
    <x v="0"/>
    <s v="500"/>
  </r>
  <r>
    <x v="1"/>
    <x v="1"/>
    <s v="x"/>
  </r>
  <r>
    <x v="1"/>
    <x v="2"/>
    <n v="1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1"/>
  </r>
  <r>
    <x v="1"/>
    <x v="0"/>
    <s v="500"/>
  </r>
  <r>
    <x v="1"/>
    <x v="1"/>
    <s v="x"/>
  </r>
  <r>
    <x v="1"/>
    <x v="2"/>
    <n v="1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1"/>
  </r>
  <r>
    <x v="1"/>
    <x v="0"/>
    <s v="500"/>
  </r>
  <r>
    <x v="1"/>
    <x v="1"/>
    <s v="x"/>
  </r>
  <r>
    <x v="1"/>
    <x v="2"/>
    <n v="1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1"/>
  </r>
  <r>
    <x v="3"/>
    <x v="0"/>
    <n v="500"/>
  </r>
  <r>
    <x v="3"/>
    <x v="1"/>
    <m/>
  </r>
  <r>
    <x v="3"/>
    <x v="2"/>
    <m/>
  </r>
  <r>
    <x v="3"/>
    <x v="3"/>
    <s v="x"/>
  </r>
  <r>
    <x v="3"/>
    <x v="4"/>
    <n v="1"/>
  </r>
  <r>
    <x v="3"/>
    <x v="5"/>
    <m/>
  </r>
  <r>
    <x v="3"/>
    <x v="6"/>
    <m/>
  </r>
  <r>
    <x v="3"/>
    <x v="7"/>
    <m/>
  </r>
  <r>
    <x v="3"/>
    <x v="8"/>
    <m/>
  </r>
  <r>
    <x v="3"/>
    <x v="9"/>
    <n v="1"/>
  </r>
  <r>
    <x v="2"/>
    <x v="0"/>
    <n v="500"/>
  </r>
  <r>
    <x v="2"/>
    <x v="1"/>
    <m/>
  </r>
  <r>
    <x v="2"/>
    <x v="2"/>
    <m/>
  </r>
  <r>
    <x v="2"/>
    <x v="3"/>
    <s v="x"/>
  </r>
  <r>
    <x v="2"/>
    <x v="4"/>
    <n v="1"/>
  </r>
  <r>
    <x v="2"/>
    <x v="5"/>
    <m/>
  </r>
  <r>
    <x v="2"/>
    <x v="6"/>
    <m/>
  </r>
  <r>
    <x v="2"/>
    <x v="7"/>
    <m/>
  </r>
  <r>
    <x v="2"/>
    <x v="8"/>
    <m/>
  </r>
  <r>
    <x v="2"/>
    <x v="9"/>
    <n v="1"/>
  </r>
  <r>
    <x v="5"/>
    <x v="0"/>
    <n v="500"/>
  </r>
  <r>
    <x v="5"/>
    <x v="1"/>
    <m/>
  </r>
  <r>
    <x v="5"/>
    <x v="2"/>
    <m/>
  </r>
  <r>
    <x v="5"/>
    <x v="3"/>
    <s v="x"/>
  </r>
  <r>
    <x v="5"/>
    <x v="4"/>
    <n v="1"/>
  </r>
  <r>
    <x v="5"/>
    <x v="5"/>
    <m/>
  </r>
  <r>
    <x v="5"/>
    <x v="6"/>
    <m/>
  </r>
  <r>
    <x v="5"/>
    <x v="7"/>
    <m/>
  </r>
  <r>
    <x v="5"/>
    <x v="8"/>
    <m/>
  </r>
  <r>
    <x v="5"/>
    <x v="9"/>
    <n v="1"/>
  </r>
  <r>
    <x v="1"/>
    <x v="0"/>
    <s v="500"/>
  </r>
  <r>
    <x v="1"/>
    <x v="1"/>
    <m/>
  </r>
  <r>
    <x v="1"/>
    <x v="2"/>
    <m/>
  </r>
  <r>
    <x v="1"/>
    <x v="3"/>
    <s v="x"/>
  </r>
  <r>
    <x v="1"/>
    <x v="4"/>
    <n v="1"/>
  </r>
  <r>
    <x v="1"/>
    <x v="5"/>
    <m/>
  </r>
  <r>
    <x v="1"/>
    <x v="6"/>
    <m/>
  </r>
  <r>
    <x v="1"/>
    <x v="7"/>
    <m/>
  </r>
  <r>
    <x v="1"/>
    <x v="8"/>
    <m/>
  </r>
  <r>
    <x v="1"/>
    <x v="9"/>
    <n v="1"/>
  </r>
  <r>
    <x v="1"/>
    <x v="0"/>
    <s v="500"/>
  </r>
  <r>
    <x v="1"/>
    <x v="1"/>
    <s v="x"/>
  </r>
  <r>
    <x v="1"/>
    <x v="2"/>
    <n v="1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1"/>
  </r>
  <r>
    <x v="0"/>
    <x v="0"/>
    <n v="500"/>
  </r>
  <r>
    <x v="0"/>
    <x v="1"/>
    <s v="x"/>
  </r>
  <r>
    <x v="0"/>
    <x v="2"/>
    <n v="1"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1"/>
  </r>
  <r>
    <x v="1"/>
    <x v="0"/>
    <s v="500"/>
  </r>
  <r>
    <x v="1"/>
    <x v="1"/>
    <s v="x"/>
  </r>
  <r>
    <x v="1"/>
    <x v="2"/>
    <n v="1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1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9"/>
    <x v="0"/>
    <n v="500"/>
  </r>
  <r>
    <x v="9"/>
    <x v="1"/>
    <m/>
  </r>
  <r>
    <x v="9"/>
    <x v="2"/>
    <m/>
  </r>
  <r>
    <x v="9"/>
    <x v="3"/>
    <m/>
  </r>
  <r>
    <x v="9"/>
    <x v="4"/>
    <m/>
  </r>
  <r>
    <x v="9"/>
    <x v="5"/>
    <m/>
  </r>
  <r>
    <x v="9"/>
    <x v="6"/>
    <m/>
  </r>
  <r>
    <x v="9"/>
    <x v="7"/>
    <m/>
  </r>
  <r>
    <x v="9"/>
    <x v="8"/>
    <m/>
  </r>
  <r>
    <x v="9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2"/>
    <x v="0"/>
    <n v="504"/>
  </r>
  <r>
    <x v="2"/>
    <x v="1"/>
    <m/>
  </r>
  <r>
    <x v="2"/>
    <x v="2"/>
    <m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6"/>
    <x v="0"/>
    <s v="500"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6"/>
    <x v="0"/>
    <s v="500"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1"/>
    <x v="0"/>
    <s v="532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6"/>
    <x v="0"/>
    <s v="500"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1"/>
    <x v="0"/>
    <s v="519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3"/>
    <x v="0"/>
    <n v="500"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6"/>
    <x v="0"/>
    <s v="500"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6"/>
    <x v="0"/>
    <s v="500"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9"/>
    <x v="0"/>
    <n v="500"/>
  </r>
  <r>
    <x v="9"/>
    <x v="1"/>
    <m/>
  </r>
  <r>
    <x v="9"/>
    <x v="2"/>
    <m/>
  </r>
  <r>
    <x v="9"/>
    <x v="3"/>
    <m/>
  </r>
  <r>
    <x v="9"/>
    <x v="4"/>
    <m/>
  </r>
  <r>
    <x v="9"/>
    <x v="5"/>
    <m/>
  </r>
  <r>
    <x v="9"/>
    <x v="6"/>
    <m/>
  </r>
  <r>
    <x v="9"/>
    <x v="7"/>
    <m/>
  </r>
  <r>
    <x v="9"/>
    <x v="8"/>
    <m/>
  </r>
  <r>
    <x v="9"/>
    <x v="9"/>
    <n v="0"/>
  </r>
  <r>
    <x v="1"/>
    <x v="0"/>
    <s v="502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9"/>
    <x v="0"/>
    <n v="500"/>
  </r>
  <r>
    <x v="9"/>
    <x v="1"/>
    <m/>
  </r>
  <r>
    <x v="9"/>
    <x v="2"/>
    <m/>
  </r>
  <r>
    <x v="9"/>
    <x v="3"/>
    <m/>
  </r>
  <r>
    <x v="9"/>
    <x v="4"/>
    <m/>
  </r>
  <r>
    <x v="9"/>
    <x v="5"/>
    <m/>
  </r>
  <r>
    <x v="9"/>
    <x v="6"/>
    <m/>
  </r>
  <r>
    <x v="9"/>
    <x v="7"/>
    <m/>
  </r>
  <r>
    <x v="9"/>
    <x v="8"/>
    <m/>
  </r>
  <r>
    <x v="9"/>
    <x v="9"/>
    <n v="0"/>
  </r>
  <r>
    <x v="6"/>
    <x v="0"/>
    <s v="500"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6"/>
    <x v="0"/>
    <s v="500"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3"/>
    <x v="0"/>
    <n v="500"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2"/>
    <x v="0"/>
    <n v="500"/>
  </r>
  <r>
    <x v="2"/>
    <x v="1"/>
    <m/>
  </r>
  <r>
    <x v="2"/>
    <x v="2"/>
    <m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2"/>
    <x v="0"/>
    <n v="526"/>
  </r>
  <r>
    <x v="2"/>
    <x v="1"/>
    <m/>
  </r>
  <r>
    <x v="2"/>
    <x v="2"/>
    <m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9"/>
    <x v="0"/>
    <n v="500"/>
  </r>
  <r>
    <x v="9"/>
    <x v="1"/>
    <m/>
  </r>
  <r>
    <x v="9"/>
    <x v="2"/>
    <m/>
  </r>
  <r>
    <x v="9"/>
    <x v="3"/>
    <m/>
  </r>
  <r>
    <x v="9"/>
    <x v="4"/>
    <m/>
  </r>
  <r>
    <x v="9"/>
    <x v="5"/>
    <m/>
  </r>
  <r>
    <x v="9"/>
    <x v="6"/>
    <m/>
  </r>
  <r>
    <x v="9"/>
    <x v="7"/>
    <m/>
  </r>
  <r>
    <x v="9"/>
    <x v="8"/>
    <m/>
  </r>
  <r>
    <x v="9"/>
    <x v="9"/>
    <n v="0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1"/>
    <x v="0"/>
    <s v="848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0"/>
    <x v="0"/>
    <n v="678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6"/>
    <x v="0"/>
    <s v="500"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6"/>
    <x v="0"/>
    <s v="500"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2"/>
    <x v="0"/>
    <n v="513"/>
  </r>
  <r>
    <x v="2"/>
    <x v="1"/>
    <m/>
  </r>
  <r>
    <x v="2"/>
    <x v="2"/>
    <m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0"/>
  </r>
  <r>
    <x v="6"/>
    <x v="0"/>
    <s v="500"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2"/>
    <x v="0"/>
    <n v="500"/>
  </r>
  <r>
    <x v="2"/>
    <x v="1"/>
    <m/>
  </r>
  <r>
    <x v="2"/>
    <x v="2"/>
    <m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0"/>
    <x v="0"/>
    <m/>
  </r>
  <r>
    <x v="10"/>
    <x v="1"/>
    <m/>
  </r>
  <r>
    <x v="10"/>
    <x v="2"/>
    <m/>
  </r>
  <r>
    <x v="10"/>
    <x v="3"/>
    <m/>
  </r>
  <r>
    <x v="10"/>
    <x v="4"/>
    <m/>
  </r>
  <r>
    <x v="10"/>
    <x v="5"/>
    <m/>
  </r>
  <r>
    <x v="10"/>
    <x v="6"/>
    <m/>
  </r>
  <r>
    <x v="10"/>
    <x v="7"/>
    <m/>
  </r>
  <r>
    <x v="10"/>
    <x v="8"/>
    <m/>
  </r>
  <r>
    <x v="10"/>
    <x v="9"/>
    <n v="0"/>
  </r>
  <r>
    <x v="0"/>
    <x v="0"/>
    <m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6"/>
    <x v="0"/>
    <m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4"/>
    <x v="0"/>
    <m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1"/>
    <x v="0"/>
    <m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9"/>
    <x v="0"/>
    <m/>
  </r>
  <r>
    <x v="9"/>
    <x v="1"/>
    <m/>
  </r>
  <r>
    <x v="9"/>
    <x v="2"/>
    <m/>
  </r>
  <r>
    <x v="9"/>
    <x v="3"/>
    <m/>
  </r>
  <r>
    <x v="9"/>
    <x v="4"/>
    <m/>
  </r>
  <r>
    <x v="9"/>
    <x v="5"/>
    <m/>
  </r>
  <r>
    <x v="9"/>
    <x v="6"/>
    <m/>
  </r>
  <r>
    <x v="9"/>
    <x v="7"/>
    <m/>
  </r>
  <r>
    <x v="9"/>
    <x v="8"/>
    <m/>
  </r>
  <r>
    <x v="9"/>
    <x v="9"/>
    <n v="0"/>
  </r>
  <r>
    <x v="3"/>
    <x v="0"/>
    <m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8"/>
    <x v="0"/>
    <m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7"/>
    <x v="0"/>
    <m/>
  </r>
  <r>
    <x v="7"/>
    <x v="1"/>
    <m/>
  </r>
  <r>
    <x v="7"/>
    <x v="2"/>
    <m/>
  </r>
  <r>
    <x v="7"/>
    <x v="3"/>
    <m/>
  </r>
  <r>
    <x v="7"/>
    <x v="4"/>
    <m/>
  </r>
  <r>
    <x v="7"/>
    <x v="5"/>
    <m/>
  </r>
  <r>
    <x v="7"/>
    <x v="6"/>
    <m/>
  </r>
  <r>
    <x v="7"/>
    <x v="7"/>
    <m/>
  </r>
  <r>
    <x v="7"/>
    <x v="8"/>
    <m/>
  </r>
  <r>
    <x v="7"/>
    <x v="9"/>
    <n v="0"/>
  </r>
  <r>
    <x v="2"/>
    <x v="0"/>
    <m/>
  </r>
  <r>
    <x v="2"/>
    <x v="1"/>
    <m/>
  </r>
  <r>
    <x v="2"/>
    <x v="2"/>
    <m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0"/>
  </r>
  <r>
    <x v="5"/>
    <x v="0"/>
    <m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s v="NB DE PARTICIPANTS"/>
  </r>
  <r>
    <x v="11"/>
    <x v="1"/>
    <n v="86"/>
  </r>
  <r>
    <x v="11"/>
    <x v="2"/>
    <m/>
  </r>
  <r>
    <x v="11"/>
    <x v="3"/>
    <n v="62"/>
  </r>
  <r>
    <x v="11"/>
    <x v="4"/>
    <s v=" "/>
  </r>
  <r>
    <x v="11"/>
    <x v="5"/>
    <n v="0"/>
  </r>
  <r>
    <x v="11"/>
    <x v="6"/>
    <m/>
  </r>
  <r>
    <x v="11"/>
    <x v="7"/>
    <n v="0"/>
  </r>
  <r>
    <x v="11"/>
    <x v="8"/>
    <m/>
  </r>
  <r>
    <x v="11"/>
    <x v="9"/>
    <n v="100"/>
  </r>
  <r>
    <x v="2"/>
    <x v="0"/>
    <n v="500"/>
  </r>
  <r>
    <x v="2"/>
    <x v="1"/>
    <s v="x"/>
  </r>
  <r>
    <x v="2"/>
    <x v="2"/>
    <n v="1"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1"/>
  </r>
  <r>
    <x v="2"/>
    <x v="0"/>
    <n v="500"/>
  </r>
  <r>
    <x v="2"/>
    <x v="1"/>
    <s v="x"/>
  </r>
  <r>
    <x v="2"/>
    <x v="2"/>
    <n v="8"/>
  </r>
  <r>
    <x v="2"/>
    <x v="3"/>
    <s v="X"/>
  </r>
  <r>
    <x v="2"/>
    <x v="4"/>
    <n v="8"/>
  </r>
  <r>
    <x v="2"/>
    <x v="5"/>
    <m/>
  </r>
  <r>
    <x v="2"/>
    <x v="6"/>
    <m/>
  </r>
  <r>
    <x v="2"/>
    <x v="7"/>
    <m/>
  </r>
  <r>
    <x v="2"/>
    <x v="8"/>
    <m/>
  </r>
  <r>
    <x v="2"/>
    <x v="9"/>
    <n v="16"/>
  </r>
  <r>
    <x v="4"/>
    <x v="0"/>
    <n v="647"/>
  </r>
  <r>
    <x v="4"/>
    <x v="1"/>
    <s v="x"/>
  </r>
  <r>
    <x v="4"/>
    <x v="2"/>
    <n v="8"/>
  </r>
  <r>
    <x v="4"/>
    <x v="3"/>
    <s v="x"/>
  </r>
  <r>
    <x v="4"/>
    <x v="4"/>
    <n v="6"/>
  </r>
  <r>
    <x v="4"/>
    <x v="5"/>
    <m/>
  </r>
  <r>
    <x v="4"/>
    <x v="6"/>
    <m/>
  </r>
  <r>
    <x v="4"/>
    <x v="7"/>
    <m/>
  </r>
  <r>
    <x v="4"/>
    <x v="8"/>
    <m/>
  </r>
  <r>
    <x v="4"/>
    <x v="9"/>
    <n v="14"/>
  </r>
  <r>
    <x v="10"/>
    <x v="0"/>
    <n v="500"/>
  </r>
  <r>
    <x v="10"/>
    <x v="1"/>
    <s v="x"/>
  </r>
  <r>
    <x v="10"/>
    <x v="2"/>
    <n v="2"/>
  </r>
  <r>
    <x v="10"/>
    <x v="3"/>
    <s v="x"/>
  </r>
  <r>
    <x v="10"/>
    <x v="4"/>
    <n v="4"/>
  </r>
  <r>
    <x v="10"/>
    <x v="5"/>
    <m/>
  </r>
  <r>
    <x v="10"/>
    <x v="6"/>
    <m/>
  </r>
  <r>
    <x v="10"/>
    <x v="7"/>
    <m/>
  </r>
  <r>
    <x v="10"/>
    <x v="8"/>
    <m/>
  </r>
  <r>
    <x v="10"/>
    <x v="9"/>
    <n v="6"/>
  </r>
  <r>
    <x v="7"/>
    <x v="0"/>
    <n v="500"/>
  </r>
  <r>
    <x v="7"/>
    <x v="1"/>
    <s v="x"/>
  </r>
  <r>
    <x v="7"/>
    <x v="2"/>
    <n v="2"/>
  </r>
  <r>
    <x v="7"/>
    <x v="3"/>
    <m/>
  </r>
  <r>
    <x v="7"/>
    <x v="4"/>
    <m/>
  </r>
  <r>
    <x v="7"/>
    <x v="5"/>
    <m/>
  </r>
  <r>
    <x v="7"/>
    <x v="6"/>
    <m/>
  </r>
  <r>
    <x v="7"/>
    <x v="7"/>
    <m/>
  </r>
  <r>
    <x v="7"/>
    <x v="8"/>
    <m/>
  </r>
  <r>
    <x v="7"/>
    <x v="9"/>
    <n v="2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5"/>
    <x v="0"/>
    <n v="500"/>
  </r>
  <r>
    <x v="5"/>
    <x v="1"/>
    <s v="x"/>
  </r>
  <r>
    <x v="5"/>
    <x v="2"/>
    <n v="2"/>
  </r>
  <r>
    <x v="5"/>
    <x v="3"/>
    <s v="x"/>
  </r>
  <r>
    <x v="5"/>
    <x v="4"/>
    <n v="1"/>
  </r>
  <r>
    <x v="5"/>
    <x v="5"/>
    <m/>
  </r>
  <r>
    <x v="5"/>
    <x v="6"/>
    <m/>
  </r>
  <r>
    <x v="5"/>
    <x v="7"/>
    <m/>
  </r>
  <r>
    <x v="5"/>
    <x v="8"/>
    <m/>
  </r>
  <r>
    <x v="5"/>
    <x v="9"/>
    <n v="3"/>
  </r>
  <r>
    <x v="7"/>
    <x v="0"/>
    <n v="517"/>
  </r>
  <r>
    <x v="7"/>
    <x v="1"/>
    <m/>
  </r>
  <r>
    <x v="7"/>
    <x v="2"/>
    <m/>
  </r>
  <r>
    <x v="7"/>
    <x v="3"/>
    <m/>
  </r>
  <r>
    <x v="7"/>
    <x v="4"/>
    <m/>
  </r>
  <r>
    <x v="7"/>
    <x v="5"/>
    <m/>
  </r>
  <r>
    <x v="7"/>
    <x v="6"/>
    <m/>
  </r>
  <r>
    <x v="7"/>
    <x v="7"/>
    <m/>
  </r>
  <r>
    <x v="7"/>
    <x v="8"/>
    <m/>
  </r>
  <r>
    <x v="7"/>
    <x v="9"/>
    <n v="0"/>
  </r>
  <r>
    <x v="2"/>
    <x v="0"/>
    <n v="500"/>
  </r>
  <r>
    <x v="2"/>
    <x v="1"/>
    <m/>
  </r>
  <r>
    <x v="2"/>
    <x v="2"/>
    <m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0"/>
  </r>
  <r>
    <x v="1"/>
    <x v="0"/>
    <s v="500"/>
  </r>
  <r>
    <x v="1"/>
    <x v="1"/>
    <m/>
  </r>
  <r>
    <x v="1"/>
    <x v="2"/>
    <m/>
  </r>
  <r>
    <x v="1"/>
    <x v="3"/>
    <s v="x"/>
  </r>
  <r>
    <x v="1"/>
    <x v="4"/>
    <n v="6"/>
  </r>
  <r>
    <x v="1"/>
    <x v="5"/>
    <m/>
  </r>
  <r>
    <x v="1"/>
    <x v="6"/>
    <m/>
  </r>
  <r>
    <x v="1"/>
    <x v="7"/>
    <m/>
  </r>
  <r>
    <x v="1"/>
    <x v="8"/>
    <m/>
  </r>
  <r>
    <x v="1"/>
    <x v="9"/>
    <n v="6"/>
  </r>
  <r>
    <x v="9"/>
    <x v="0"/>
    <n v="500"/>
  </r>
  <r>
    <x v="9"/>
    <x v="1"/>
    <m/>
  </r>
  <r>
    <x v="9"/>
    <x v="2"/>
    <m/>
  </r>
  <r>
    <x v="9"/>
    <x v="3"/>
    <m/>
  </r>
  <r>
    <x v="9"/>
    <x v="4"/>
    <m/>
  </r>
  <r>
    <x v="9"/>
    <x v="5"/>
    <m/>
  </r>
  <r>
    <x v="9"/>
    <x v="6"/>
    <m/>
  </r>
  <r>
    <x v="9"/>
    <x v="7"/>
    <m/>
  </r>
  <r>
    <x v="9"/>
    <x v="8"/>
    <m/>
  </r>
  <r>
    <x v="9"/>
    <x v="9"/>
    <n v="0"/>
  </r>
  <r>
    <x v="3"/>
    <x v="0"/>
    <n v="500"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5"/>
    <x v="0"/>
    <n v="500"/>
  </r>
  <r>
    <x v="5"/>
    <x v="1"/>
    <m/>
  </r>
  <r>
    <x v="5"/>
    <x v="2"/>
    <m/>
  </r>
  <r>
    <x v="5"/>
    <x v="3"/>
    <s v="x"/>
  </r>
  <r>
    <x v="5"/>
    <x v="4"/>
    <n v="2"/>
  </r>
  <r>
    <x v="5"/>
    <x v="5"/>
    <m/>
  </r>
  <r>
    <x v="5"/>
    <x v="6"/>
    <m/>
  </r>
  <r>
    <x v="5"/>
    <x v="7"/>
    <m/>
  </r>
  <r>
    <x v="5"/>
    <x v="8"/>
    <m/>
  </r>
  <r>
    <x v="5"/>
    <x v="9"/>
    <n v="2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0"/>
    <x v="0"/>
    <n v="500"/>
  </r>
  <r>
    <x v="0"/>
    <x v="1"/>
    <s v="x"/>
  </r>
  <r>
    <x v="0"/>
    <x v="2"/>
    <n v="7"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7"/>
  </r>
  <r>
    <x v="0"/>
    <x v="0"/>
    <n v="1134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7"/>
    <x v="0"/>
    <n v="538"/>
  </r>
  <r>
    <x v="7"/>
    <x v="1"/>
    <s v="x"/>
  </r>
  <r>
    <x v="7"/>
    <x v="2"/>
    <n v="9"/>
  </r>
  <r>
    <x v="7"/>
    <x v="3"/>
    <s v="x"/>
  </r>
  <r>
    <x v="7"/>
    <x v="4"/>
    <n v="9"/>
  </r>
  <r>
    <x v="7"/>
    <x v="5"/>
    <m/>
  </r>
  <r>
    <x v="7"/>
    <x v="6"/>
    <m/>
  </r>
  <r>
    <x v="7"/>
    <x v="7"/>
    <m/>
  </r>
  <r>
    <x v="7"/>
    <x v="8"/>
    <m/>
  </r>
  <r>
    <x v="7"/>
    <x v="9"/>
    <n v="18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8"/>
    <x v="0"/>
    <n v="500"/>
  </r>
  <r>
    <x v="8"/>
    <x v="1"/>
    <s v="x"/>
  </r>
  <r>
    <x v="8"/>
    <x v="2"/>
    <n v="9"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9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3"/>
    <x v="0"/>
    <n v="500"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1"/>
    <x v="0"/>
    <n v="500"/>
  </r>
  <r>
    <x v="1"/>
    <x v="1"/>
    <s v="x"/>
  </r>
  <r>
    <x v="1"/>
    <x v="2"/>
    <n v="2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2"/>
  </r>
  <r>
    <x v="8"/>
    <x v="0"/>
    <n v="500"/>
  </r>
  <r>
    <x v="8"/>
    <x v="1"/>
    <s v="x"/>
  </r>
  <r>
    <x v="8"/>
    <x v="2"/>
    <n v="2"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2"/>
  </r>
  <r>
    <x v="2"/>
    <x v="0"/>
    <n v="500"/>
  </r>
  <r>
    <x v="2"/>
    <x v="1"/>
    <s v="x"/>
  </r>
  <r>
    <x v="2"/>
    <x v="2"/>
    <n v="7"/>
  </r>
  <r>
    <x v="2"/>
    <x v="3"/>
    <s v="x"/>
  </r>
  <r>
    <x v="2"/>
    <x v="4"/>
    <n v="6"/>
  </r>
  <r>
    <x v="2"/>
    <x v="5"/>
    <m/>
  </r>
  <r>
    <x v="2"/>
    <x v="6"/>
    <m/>
  </r>
  <r>
    <x v="2"/>
    <x v="7"/>
    <m/>
  </r>
  <r>
    <x v="2"/>
    <x v="8"/>
    <m/>
  </r>
  <r>
    <x v="2"/>
    <x v="9"/>
    <n v="13"/>
  </r>
  <r>
    <x v="7"/>
    <x v="0"/>
    <n v="500"/>
  </r>
  <r>
    <x v="7"/>
    <x v="1"/>
    <s v="x"/>
  </r>
  <r>
    <x v="7"/>
    <x v="2"/>
    <n v="2"/>
  </r>
  <r>
    <x v="7"/>
    <x v="3"/>
    <m/>
  </r>
  <r>
    <x v="7"/>
    <x v="4"/>
    <m/>
  </r>
  <r>
    <x v="7"/>
    <x v="5"/>
    <m/>
  </r>
  <r>
    <x v="7"/>
    <x v="6"/>
    <m/>
  </r>
  <r>
    <x v="7"/>
    <x v="7"/>
    <m/>
  </r>
  <r>
    <x v="7"/>
    <x v="8"/>
    <m/>
  </r>
  <r>
    <x v="7"/>
    <x v="9"/>
    <n v="2"/>
  </r>
  <r>
    <x v="0"/>
    <x v="0"/>
    <n v="94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5"/>
    <x v="0"/>
    <n v="575"/>
  </r>
  <r>
    <x v="5"/>
    <x v="1"/>
    <s v="x"/>
  </r>
  <r>
    <x v="5"/>
    <x v="2"/>
    <n v="9"/>
  </r>
  <r>
    <x v="5"/>
    <x v="3"/>
    <s v="x"/>
  </r>
  <r>
    <x v="5"/>
    <x v="4"/>
    <n v="6"/>
  </r>
  <r>
    <x v="5"/>
    <x v="5"/>
    <m/>
  </r>
  <r>
    <x v="5"/>
    <x v="6"/>
    <m/>
  </r>
  <r>
    <x v="5"/>
    <x v="7"/>
    <m/>
  </r>
  <r>
    <x v="5"/>
    <x v="8"/>
    <m/>
  </r>
  <r>
    <x v="5"/>
    <x v="9"/>
    <n v="15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5"/>
    <x v="0"/>
    <n v="500"/>
  </r>
  <r>
    <x v="5"/>
    <x v="1"/>
    <s v="x"/>
  </r>
  <r>
    <x v="5"/>
    <x v="2"/>
    <n v="8"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8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0"/>
    <x v="0"/>
    <n v="983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5"/>
    <x v="0"/>
    <n v="500"/>
  </r>
  <r>
    <x v="5"/>
    <x v="1"/>
    <s v="x"/>
  </r>
  <r>
    <x v="5"/>
    <x v="2"/>
    <n v="3"/>
  </r>
  <r>
    <x v="5"/>
    <x v="3"/>
    <s v="x"/>
  </r>
  <r>
    <x v="5"/>
    <x v="4"/>
    <n v="1"/>
  </r>
  <r>
    <x v="5"/>
    <x v="5"/>
    <m/>
  </r>
  <r>
    <x v="5"/>
    <x v="6"/>
    <m/>
  </r>
  <r>
    <x v="5"/>
    <x v="7"/>
    <m/>
  </r>
  <r>
    <x v="5"/>
    <x v="8"/>
    <m/>
  </r>
  <r>
    <x v="5"/>
    <x v="9"/>
    <n v="4"/>
  </r>
  <r>
    <x v="1"/>
    <x v="0"/>
    <s v="500"/>
  </r>
  <r>
    <x v="1"/>
    <x v="1"/>
    <m/>
  </r>
  <r>
    <x v="1"/>
    <x v="2"/>
    <m/>
  </r>
  <r>
    <x v="1"/>
    <x v="3"/>
    <s v="x"/>
  </r>
  <r>
    <x v="1"/>
    <x v="4"/>
    <n v="8"/>
  </r>
  <r>
    <x v="1"/>
    <x v="5"/>
    <m/>
  </r>
  <r>
    <x v="1"/>
    <x v="6"/>
    <m/>
  </r>
  <r>
    <x v="1"/>
    <x v="7"/>
    <m/>
  </r>
  <r>
    <x v="1"/>
    <x v="8"/>
    <m/>
  </r>
  <r>
    <x v="1"/>
    <x v="9"/>
    <n v="8"/>
  </r>
  <r>
    <x v="1"/>
    <x v="0"/>
    <s v="769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n v="500"/>
  </r>
  <r>
    <x v="1"/>
    <x v="1"/>
    <s v="x"/>
  </r>
  <r>
    <x v="1"/>
    <x v="2"/>
    <n v="4"/>
  </r>
  <r>
    <x v="1"/>
    <x v="3"/>
    <s v="x"/>
  </r>
  <r>
    <x v="1"/>
    <x v="4"/>
    <n v="7"/>
  </r>
  <r>
    <x v="1"/>
    <x v="5"/>
    <m/>
  </r>
  <r>
    <x v="1"/>
    <x v="6"/>
    <m/>
  </r>
  <r>
    <x v="1"/>
    <x v="7"/>
    <m/>
  </r>
  <r>
    <x v="1"/>
    <x v="8"/>
    <m/>
  </r>
  <r>
    <x v="1"/>
    <x v="9"/>
    <n v="11"/>
  </r>
  <r>
    <x v="0"/>
    <x v="0"/>
    <n v="726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0"/>
    <x v="0"/>
    <n v="1036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0"/>
    <x v="0"/>
    <n v="1054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1"/>
    <x v="0"/>
    <n v="500"/>
  </r>
  <r>
    <x v="1"/>
    <x v="1"/>
    <s v="x"/>
  </r>
  <r>
    <x v="1"/>
    <x v="2"/>
    <n v="8"/>
  </r>
  <r>
    <x v="1"/>
    <x v="3"/>
    <s v="x"/>
  </r>
  <r>
    <x v="1"/>
    <x v="4"/>
    <n v="2"/>
  </r>
  <r>
    <x v="1"/>
    <x v="5"/>
    <m/>
  </r>
  <r>
    <x v="1"/>
    <x v="6"/>
    <m/>
  </r>
  <r>
    <x v="1"/>
    <x v="7"/>
    <m/>
  </r>
  <r>
    <x v="1"/>
    <x v="8"/>
    <m/>
  </r>
  <r>
    <x v="1"/>
    <x v="9"/>
    <n v="10"/>
  </r>
  <r>
    <x v="0"/>
    <x v="0"/>
    <n v="84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2"/>
    <x v="0"/>
    <n v="500"/>
  </r>
  <r>
    <x v="2"/>
    <x v="1"/>
    <s v="x"/>
  </r>
  <r>
    <x v="2"/>
    <x v="2"/>
    <n v="4"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4"/>
  </r>
  <r>
    <x v="1"/>
    <x v="0"/>
    <s v="500"/>
  </r>
  <r>
    <x v="1"/>
    <x v="1"/>
    <m/>
  </r>
  <r>
    <x v="1"/>
    <x v="2"/>
    <m/>
  </r>
  <r>
    <x v="1"/>
    <x v="3"/>
    <s v="x"/>
  </r>
  <r>
    <x v="1"/>
    <x v="4"/>
    <n v="3"/>
  </r>
  <r>
    <x v="1"/>
    <x v="5"/>
    <m/>
  </r>
  <r>
    <x v="1"/>
    <x v="6"/>
    <m/>
  </r>
  <r>
    <x v="1"/>
    <x v="7"/>
    <m/>
  </r>
  <r>
    <x v="1"/>
    <x v="8"/>
    <m/>
  </r>
  <r>
    <x v="1"/>
    <x v="9"/>
    <n v="3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1"/>
    <x v="0"/>
    <n v="826"/>
  </r>
  <r>
    <x v="1"/>
    <x v="1"/>
    <s v="x"/>
  </r>
  <r>
    <x v="1"/>
    <x v="2"/>
    <n v="10"/>
  </r>
  <r>
    <x v="1"/>
    <x v="3"/>
    <s v="x"/>
  </r>
  <r>
    <x v="1"/>
    <x v="4"/>
    <n v="12"/>
  </r>
  <r>
    <x v="1"/>
    <x v="5"/>
    <m/>
  </r>
  <r>
    <x v="1"/>
    <x v="6"/>
    <m/>
  </r>
  <r>
    <x v="1"/>
    <x v="7"/>
    <m/>
  </r>
  <r>
    <x v="1"/>
    <x v="8"/>
    <m/>
  </r>
  <r>
    <x v="1"/>
    <x v="9"/>
    <n v="22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7"/>
    <x v="0"/>
    <n v="879"/>
  </r>
  <r>
    <x v="7"/>
    <x v="1"/>
    <s v="x"/>
  </r>
  <r>
    <x v="7"/>
    <x v="2"/>
    <n v="11"/>
  </r>
  <r>
    <x v="7"/>
    <x v="3"/>
    <s v="x"/>
  </r>
  <r>
    <x v="7"/>
    <x v="4"/>
    <n v="10"/>
  </r>
  <r>
    <x v="7"/>
    <x v="5"/>
    <m/>
  </r>
  <r>
    <x v="7"/>
    <x v="6"/>
    <m/>
  </r>
  <r>
    <x v="7"/>
    <x v="7"/>
    <m/>
  </r>
  <r>
    <x v="7"/>
    <x v="8"/>
    <m/>
  </r>
  <r>
    <x v="7"/>
    <x v="9"/>
    <n v="21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10"/>
    <x v="0"/>
    <n v="500"/>
  </r>
  <r>
    <x v="10"/>
    <x v="1"/>
    <s v="x"/>
  </r>
  <r>
    <x v="10"/>
    <x v="2"/>
    <n v="4"/>
  </r>
  <r>
    <x v="10"/>
    <x v="3"/>
    <s v="x"/>
  </r>
  <r>
    <x v="10"/>
    <x v="4"/>
    <n v="2"/>
  </r>
  <r>
    <x v="10"/>
    <x v="5"/>
    <m/>
  </r>
  <r>
    <x v="10"/>
    <x v="6"/>
    <m/>
  </r>
  <r>
    <x v="10"/>
    <x v="7"/>
    <m/>
  </r>
  <r>
    <x v="10"/>
    <x v="8"/>
    <m/>
  </r>
  <r>
    <x v="10"/>
    <x v="9"/>
    <n v="6"/>
  </r>
  <r>
    <x v="5"/>
    <x v="0"/>
    <n v="756"/>
  </r>
  <r>
    <x v="5"/>
    <x v="1"/>
    <m/>
  </r>
  <r>
    <x v="5"/>
    <x v="2"/>
    <m/>
  </r>
  <r>
    <x v="5"/>
    <x v="3"/>
    <s v="x"/>
  </r>
  <r>
    <x v="5"/>
    <x v="4"/>
    <n v="7"/>
  </r>
  <r>
    <x v="5"/>
    <x v="5"/>
    <m/>
  </r>
  <r>
    <x v="5"/>
    <x v="6"/>
    <m/>
  </r>
  <r>
    <x v="5"/>
    <x v="7"/>
    <m/>
  </r>
  <r>
    <x v="5"/>
    <x v="8"/>
    <m/>
  </r>
  <r>
    <x v="5"/>
    <x v="9"/>
    <n v="7"/>
  </r>
  <r>
    <x v="0"/>
    <x v="0"/>
    <n v="1113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4"/>
    <x v="0"/>
    <n v="619"/>
  </r>
  <r>
    <x v="4"/>
    <x v="1"/>
    <s v="x"/>
  </r>
  <r>
    <x v="4"/>
    <x v="2"/>
    <n v="7"/>
  </r>
  <r>
    <x v="4"/>
    <x v="3"/>
    <s v="x"/>
  </r>
  <r>
    <x v="4"/>
    <x v="4"/>
    <n v="8"/>
  </r>
  <r>
    <x v="4"/>
    <x v="5"/>
    <m/>
  </r>
  <r>
    <x v="4"/>
    <x v="6"/>
    <m/>
  </r>
  <r>
    <x v="4"/>
    <x v="7"/>
    <m/>
  </r>
  <r>
    <x v="4"/>
    <x v="8"/>
    <m/>
  </r>
  <r>
    <x v="4"/>
    <x v="9"/>
    <n v="15"/>
  </r>
  <r>
    <x v="5"/>
    <x v="0"/>
    <n v="500"/>
  </r>
  <r>
    <x v="5"/>
    <x v="1"/>
    <m/>
  </r>
  <r>
    <x v="5"/>
    <x v="2"/>
    <m/>
  </r>
  <r>
    <x v="5"/>
    <x v="3"/>
    <s v="x"/>
  </r>
  <r>
    <x v="5"/>
    <x v="4"/>
    <n v="1"/>
  </r>
  <r>
    <x v="5"/>
    <x v="5"/>
    <m/>
  </r>
  <r>
    <x v="5"/>
    <x v="6"/>
    <m/>
  </r>
  <r>
    <x v="5"/>
    <x v="7"/>
    <m/>
  </r>
  <r>
    <x v="5"/>
    <x v="8"/>
    <m/>
  </r>
  <r>
    <x v="5"/>
    <x v="9"/>
    <n v="1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1"/>
    <x v="0"/>
    <s v="501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0"/>
    <x v="0"/>
    <n v="785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7"/>
    <x v="0"/>
    <n v="500"/>
  </r>
  <r>
    <x v="7"/>
    <x v="1"/>
    <s v="x"/>
  </r>
  <r>
    <x v="7"/>
    <x v="2"/>
    <n v="7"/>
  </r>
  <r>
    <x v="7"/>
    <x v="3"/>
    <m/>
  </r>
  <r>
    <x v="7"/>
    <x v="4"/>
    <m/>
  </r>
  <r>
    <x v="7"/>
    <x v="5"/>
    <m/>
  </r>
  <r>
    <x v="7"/>
    <x v="6"/>
    <m/>
  </r>
  <r>
    <x v="7"/>
    <x v="7"/>
    <m/>
  </r>
  <r>
    <x v="7"/>
    <x v="8"/>
    <m/>
  </r>
  <r>
    <x v="7"/>
    <x v="9"/>
    <n v="7"/>
  </r>
  <r>
    <x v="3"/>
    <x v="0"/>
    <n v="539"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10"/>
    <x v="0"/>
    <n v="500"/>
  </r>
  <r>
    <x v="10"/>
    <x v="1"/>
    <s v="x"/>
  </r>
  <r>
    <x v="10"/>
    <x v="2"/>
    <n v="1"/>
  </r>
  <r>
    <x v="10"/>
    <x v="3"/>
    <s v="x"/>
  </r>
  <r>
    <x v="10"/>
    <x v="4"/>
    <n v="1"/>
  </r>
  <r>
    <x v="10"/>
    <x v="5"/>
    <m/>
  </r>
  <r>
    <x v="10"/>
    <x v="6"/>
    <m/>
  </r>
  <r>
    <x v="10"/>
    <x v="7"/>
    <m/>
  </r>
  <r>
    <x v="10"/>
    <x v="8"/>
    <m/>
  </r>
  <r>
    <x v="10"/>
    <x v="9"/>
    <n v="2"/>
  </r>
  <r>
    <x v="5"/>
    <x v="0"/>
    <n v="606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0"/>
    <x v="0"/>
    <n v="610"/>
  </r>
  <r>
    <x v="0"/>
    <x v="1"/>
    <s v="x"/>
  </r>
  <r>
    <x v="0"/>
    <x v="2"/>
    <n v="8"/>
  </r>
  <r>
    <x v="0"/>
    <x v="3"/>
    <s v="x"/>
  </r>
  <r>
    <x v="0"/>
    <x v="4"/>
    <n v="6"/>
  </r>
  <r>
    <x v="0"/>
    <x v="5"/>
    <m/>
  </r>
  <r>
    <x v="0"/>
    <x v="6"/>
    <m/>
  </r>
  <r>
    <x v="0"/>
    <x v="7"/>
    <m/>
  </r>
  <r>
    <x v="0"/>
    <x v="8"/>
    <m/>
  </r>
  <r>
    <x v="0"/>
    <x v="9"/>
    <n v="14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3"/>
    <x v="0"/>
    <n v="816"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1"/>
    <x v="0"/>
    <n v="500"/>
  </r>
  <r>
    <x v="1"/>
    <x v="1"/>
    <s v="x"/>
  </r>
  <r>
    <x v="1"/>
    <x v="2"/>
    <n v="3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3"/>
  </r>
  <r>
    <x v="6"/>
    <x v="0"/>
    <s v="822"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2"/>
    <x v="0"/>
    <n v="597"/>
  </r>
  <r>
    <x v="2"/>
    <x v="1"/>
    <m/>
  </r>
  <r>
    <x v="2"/>
    <x v="2"/>
    <m/>
  </r>
  <r>
    <x v="2"/>
    <x v="3"/>
    <s v="x"/>
  </r>
  <r>
    <x v="2"/>
    <x v="4"/>
    <n v="6"/>
  </r>
  <r>
    <x v="2"/>
    <x v="5"/>
    <m/>
  </r>
  <r>
    <x v="2"/>
    <x v="6"/>
    <m/>
  </r>
  <r>
    <x v="2"/>
    <x v="7"/>
    <m/>
  </r>
  <r>
    <x v="2"/>
    <x v="8"/>
    <m/>
  </r>
  <r>
    <x v="2"/>
    <x v="9"/>
    <n v="6"/>
  </r>
  <r>
    <x v="10"/>
    <x v="0"/>
    <n v="500"/>
  </r>
  <r>
    <x v="10"/>
    <x v="1"/>
    <s v="x"/>
  </r>
  <r>
    <x v="10"/>
    <x v="2"/>
    <n v="8"/>
  </r>
  <r>
    <x v="10"/>
    <x v="3"/>
    <s v="x"/>
  </r>
  <r>
    <x v="10"/>
    <x v="4"/>
    <n v="2"/>
  </r>
  <r>
    <x v="10"/>
    <x v="5"/>
    <m/>
  </r>
  <r>
    <x v="10"/>
    <x v="6"/>
    <m/>
  </r>
  <r>
    <x v="10"/>
    <x v="7"/>
    <m/>
  </r>
  <r>
    <x v="10"/>
    <x v="8"/>
    <m/>
  </r>
  <r>
    <x v="10"/>
    <x v="9"/>
    <n v="1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2"/>
    <x v="0"/>
    <n v="500"/>
  </r>
  <r>
    <x v="2"/>
    <x v="1"/>
    <s v="x"/>
  </r>
  <r>
    <x v="2"/>
    <x v="2"/>
    <n v="8"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8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3"/>
    <x v="0"/>
    <n v="500"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0"/>
    <x v="0"/>
    <n v="1146"/>
  </r>
  <r>
    <x v="0"/>
    <x v="1"/>
    <s v="x"/>
  </r>
  <r>
    <x v="0"/>
    <x v="2"/>
    <n v="13"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13"/>
  </r>
  <r>
    <x v="0"/>
    <x v="0"/>
    <n v="967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8"/>
    <x v="0"/>
    <n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6"/>
    <x v="0"/>
    <n v="500"/>
  </r>
  <r>
    <x v="6"/>
    <x v="1"/>
    <s v="x"/>
  </r>
  <r>
    <x v="6"/>
    <x v="2"/>
    <n v="3"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3"/>
  </r>
  <r>
    <x v="10"/>
    <x v="0"/>
    <n v="500"/>
  </r>
  <r>
    <x v="10"/>
    <x v="1"/>
    <s v="x"/>
  </r>
  <r>
    <x v="10"/>
    <x v="2"/>
    <n v="3"/>
  </r>
  <r>
    <x v="10"/>
    <x v="3"/>
    <s v="x"/>
  </r>
  <r>
    <x v="10"/>
    <x v="4"/>
    <n v="3"/>
  </r>
  <r>
    <x v="10"/>
    <x v="5"/>
    <m/>
  </r>
  <r>
    <x v="10"/>
    <x v="6"/>
    <m/>
  </r>
  <r>
    <x v="10"/>
    <x v="7"/>
    <m/>
  </r>
  <r>
    <x v="10"/>
    <x v="8"/>
    <m/>
  </r>
  <r>
    <x v="10"/>
    <x v="9"/>
    <n v="6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2"/>
    <x v="0"/>
    <n v="561"/>
  </r>
  <r>
    <x v="2"/>
    <x v="1"/>
    <m/>
  </r>
  <r>
    <x v="2"/>
    <x v="2"/>
    <m/>
  </r>
  <r>
    <x v="2"/>
    <x v="3"/>
    <s v="x"/>
  </r>
  <r>
    <x v="2"/>
    <x v="4"/>
    <n v="7"/>
  </r>
  <r>
    <x v="2"/>
    <x v="5"/>
    <m/>
  </r>
  <r>
    <x v="2"/>
    <x v="6"/>
    <m/>
  </r>
  <r>
    <x v="2"/>
    <x v="7"/>
    <m/>
  </r>
  <r>
    <x v="2"/>
    <x v="8"/>
    <m/>
  </r>
  <r>
    <x v="2"/>
    <x v="9"/>
    <n v="7"/>
  </r>
  <r>
    <x v="1"/>
    <x v="0"/>
    <n v="500"/>
  </r>
  <r>
    <x v="1"/>
    <x v="1"/>
    <s v="x"/>
  </r>
  <r>
    <x v="1"/>
    <x v="2"/>
    <n v="4"/>
  </r>
  <r>
    <x v="1"/>
    <x v="3"/>
    <s v="x"/>
  </r>
  <r>
    <x v="1"/>
    <x v="4"/>
    <n v="1"/>
  </r>
  <r>
    <x v="1"/>
    <x v="5"/>
    <m/>
  </r>
  <r>
    <x v="1"/>
    <x v="6"/>
    <m/>
  </r>
  <r>
    <x v="1"/>
    <x v="7"/>
    <m/>
  </r>
  <r>
    <x v="1"/>
    <x v="8"/>
    <m/>
  </r>
  <r>
    <x v="1"/>
    <x v="9"/>
    <n v="5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3"/>
    <x v="0"/>
    <n v="487"/>
  </r>
  <r>
    <x v="3"/>
    <x v="1"/>
    <m/>
  </r>
  <r>
    <x v="3"/>
    <x v="2"/>
    <m/>
  </r>
  <r>
    <x v="3"/>
    <x v="3"/>
    <s v="x"/>
  </r>
  <r>
    <x v="3"/>
    <x v="4"/>
    <n v="6"/>
  </r>
  <r>
    <x v="3"/>
    <x v="5"/>
    <m/>
  </r>
  <r>
    <x v="3"/>
    <x v="6"/>
    <m/>
  </r>
  <r>
    <x v="3"/>
    <x v="7"/>
    <m/>
  </r>
  <r>
    <x v="3"/>
    <x v="8"/>
    <m/>
  </r>
  <r>
    <x v="3"/>
    <x v="9"/>
    <n v="6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6"/>
    <x v="0"/>
    <n v="500"/>
  </r>
  <r>
    <x v="6"/>
    <x v="1"/>
    <s v="x"/>
  </r>
  <r>
    <x v="6"/>
    <x v="2"/>
    <n v="1"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1"/>
  </r>
  <r>
    <x v="2"/>
    <x v="0"/>
    <n v="654"/>
  </r>
  <r>
    <x v="2"/>
    <x v="1"/>
    <s v="x"/>
  </r>
  <r>
    <x v="2"/>
    <x v="2"/>
    <n v="9"/>
  </r>
  <r>
    <x v="2"/>
    <x v="3"/>
    <s v="x"/>
  </r>
  <r>
    <x v="2"/>
    <x v="4"/>
    <n v="8"/>
  </r>
  <r>
    <x v="2"/>
    <x v="5"/>
    <m/>
  </r>
  <r>
    <x v="2"/>
    <x v="6"/>
    <m/>
  </r>
  <r>
    <x v="2"/>
    <x v="7"/>
    <m/>
  </r>
  <r>
    <x v="2"/>
    <x v="8"/>
    <m/>
  </r>
  <r>
    <x v="2"/>
    <x v="9"/>
    <n v="17"/>
  </r>
  <r>
    <x v="1"/>
    <x v="0"/>
    <s v="1045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n v="656"/>
  </r>
  <r>
    <x v="1"/>
    <x v="1"/>
    <s v="x"/>
  </r>
  <r>
    <x v="1"/>
    <x v="2"/>
    <n v="10"/>
  </r>
  <r>
    <x v="1"/>
    <x v="3"/>
    <s v="x"/>
  </r>
  <r>
    <x v="1"/>
    <x v="4"/>
    <n v="9"/>
  </r>
  <r>
    <x v="1"/>
    <x v="5"/>
    <m/>
  </r>
  <r>
    <x v="1"/>
    <x v="6"/>
    <m/>
  </r>
  <r>
    <x v="1"/>
    <x v="7"/>
    <m/>
  </r>
  <r>
    <x v="1"/>
    <x v="8"/>
    <m/>
  </r>
  <r>
    <x v="1"/>
    <x v="9"/>
    <n v="19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4"/>
    <x v="0"/>
    <n v="514"/>
  </r>
  <r>
    <x v="4"/>
    <x v="1"/>
    <s v="x"/>
  </r>
  <r>
    <x v="4"/>
    <x v="2"/>
    <n v="8"/>
  </r>
  <r>
    <x v="4"/>
    <x v="3"/>
    <s v="x"/>
  </r>
  <r>
    <x v="4"/>
    <x v="4"/>
    <n v="7"/>
  </r>
  <r>
    <x v="4"/>
    <x v="5"/>
    <m/>
  </r>
  <r>
    <x v="4"/>
    <x v="6"/>
    <m/>
  </r>
  <r>
    <x v="4"/>
    <x v="7"/>
    <m/>
  </r>
  <r>
    <x v="4"/>
    <x v="8"/>
    <m/>
  </r>
  <r>
    <x v="4"/>
    <x v="9"/>
    <n v="15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0"/>
    <x v="0"/>
    <m/>
  </r>
  <r>
    <x v="10"/>
    <x v="1"/>
    <m/>
  </r>
  <r>
    <x v="10"/>
    <x v="2"/>
    <m/>
  </r>
  <r>
    <x v="10"/>
    <x v="3"/>
    <m/>
  </r>
  <r>
    <x v="10"/>
    <x v="4"/>
    <m/>
  </r>
  <r>
    <x v="10"/>
    <x v="5"/>
    <m/>
  </r>
  <r>
    <x v="10"/>
    <x v="6"/>
    <m/>
  </r>
  <r>
    <x v="10"/>
    <x v="7"/>
    <m/>
  </r>
  <r>
    <x v="10"/>
    <x v="8"/>
    <m/>
  </r>
  <r>
    <x v="10"/>
    <x v="9"/>
    <n v="0"/>
  </r>
  <r>
    <x v="0"/>
    <x v="0"/>
    <m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6"/>
    <x v="0"/>
    <m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4"/>
    <x v="0"/>
    <m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1"/>
    <x v="0"/>
    <m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9"/>
    <x v="0"/>
    <m/>
  </r>
  <r>
    <x v="9"/>
    <x v="1"/>
    <m/>
  </r>
  <r>
    <x v="9"/>
    <x v="2"/>
    <m/>
  </r>
  <r>
    <x v="9"/>
    <x v="3"/>
    <m/>
  </r>
  <r>
    <x v="9"/>
    <x v="4"/>
    <m/>
  </r>
  <r>
    <x v="9"/>
    <x v="5"/>
    <m/>
  </r>
  <r>
    <x v="9"/>
    <x v="6"/>
    <m/>
  </r>
  <r>
    <x v="9"/>
    <x v="7"/>
    <m/>
  </r>
  <r>
    <x v="9"/>
    <x v="8"/>
    <m/>
  </r>
  <r>
    <x v="9"/>
    <x v="9"/>
    <n v="0"/>
  </r>
  <r>
    <x v="3"/>
    <x v="0"/>
    <m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8"/>
    <x v="0"/>
    <m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7"/>
    <x v="0"/>
    <m/>
  </r>
  <r>
    <x v="7"/>
    <x v="1"/>
    <m/>
  </r>
  <r>
    <x v="7"/>
    <x v="2"/>
    <m/>
  </r>
  <r>
    <x v="7"/>
    <x v="3"/>
    <m/>
  </r>
  <r>
    <x v="7"/>
    <x v="4"/>
    <m/>
  </r>
  <r>
    <x v="7"/>
    <x v="5"/>
    <m/>
  </r>
  <r>
    <x v="7"/>
    <x v="6"/>
    <m/>
  </r>
  <r>
    <x v="7"/>
    <x v="7"/>
    <m/>
  </r>
  <r>
    <x v="7"/>
    <x v="8"/>
    <m/>
  </r>
  <r>
    <x v="7"/>
    <x v="9"/>
    <n v="0"/>
  </r>
  <r>
    <x v="2"/>
    <x v="0"/>
    <m/>
  </r>
  <r>
    <x v="2"/>
    <x v="1"/>
    <m/>
  </r>
  <r>
    <x v="2"/>
    <x v="2"/>
    <m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0"/>
  </r>
  <r>
    <x v="5"/>
    <x v="0"/>
    <m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11"/>
    <x v="0"/>
    <s v="NB DE PARTICIPANTS"/>
  </r>
  <r>
    <x v="11"/>
    <x v="1"/>
    <n v="37"/>
  </r>
  <r>
    <x v="11"/>
    <x v="2"/>
    <m/>
  </r>
  <r>
    <x v="11"/>
    <x v="3"/>
    <n v="31"/>
  </r>
  <r>
    <x v="11"/>
    <x v="4"/>
    <m/>
  </r>
  <r>
    <x v="11"/>
    <x v="5"/>
    <n v="0"/>
  </r>
  <r>
    <x v="11"/>
    <x v="6"/>
    <m/>
  </r>
  <r>
    <x v="11"/>
    <x v="7"/>
    <n v="0"/>
  </r>
  <r>
    <x v="11"/>
    <x v="8"/>
    <m/>
  </r>
  <r>
    <x v="11"/>
    <x v="9"/>
    <n v="46"/>
  </r>
  <r>
    <x v="2"/>
    <x v="0"/>
    <n v="500"/>
  </r>
  <r>
    <x v="2"/>
    <x v="1"/>
    <s v="x"/>
  </r>
  <r>
    <x v="2"/>
    <x v="2"/>
    <n v="9"/>
  </r>
  <r>
    <x v="2"/>
    <x v="3"/>
    <s v="x"/>
  </r>
  <r>
    <x v="2"/>
    <x v="4"/>
    <n v="9"/>
  </r>
  <r>
    <x v="2"/>
    <x v="5"/>
    <m/>
  </r>
  <r>
    <x v="2"/>
    <x v="6"/>
    <m/>
  </r>
  <r>
    <x v="2"/>
    <x v="7"/>
    <m/>
  </r>
  <r>
    <x v="2"/>
    <x v="8"/>
    <m/>
  </r>
  <r>
    <x v="2"/>
    <x v="9"/>
    <n v="18"/>
  </r>
  <r>
    <x v="0"/>
    <x v="0"/>
    <n v="500"/>
  </r>
  <r>
    <x v="0"/>
    <x v="1"/>
    <s v="x"/>
  </r>
  <r>
    <x v="0"/>
    <x v="2"/>
    <n v="7"/>
  </r>
  <r>
    <x v="0"/>
    <x v="3"/>
    <s v="x"/>
  </r>
  <r>
    <x v="0"/>
    <x v="4"/>
    <n v="6"/>
  </r>
  <r>
    <x v="0"/>
    <x v="5"/>
    <m/>
  </r>
  <r>
    <x v="0"/>
    <x v="6"/>
    <m/>
  </r>
  <r>
    <x v="0"/>
    <x v="7"/>
    <m/>
  </r>
  <r>
    <x v="0"/>
    <x v="8"/>
    <m/>
  </r>
  <r>
    <x v="0"/>
    <x v="9"/>
    <n v="13"/>
  </r>
  <r>
    <x v="1"/>
    <x v="0"/>
    <n v="500"/>
  </r>
  <r>
    <x v="1"/>
    <x v="1"/>
    <s v="x"/>
  </r>
  <r>
    <x v="1"/>
    <x v="2"/>
    <n v="6"/>
  </r>
  <r>
    <x v="1"/>
    <x v="3"/>
    <s v="x"/>
  </r>
  <r>
    <x v="1"/>
    <x v="4"/>
    <n v="5"/>
  </r>
  <r>
    <x v="1"/>
    <x v="5"/>
    <m/>
  </r>
  <r>
    <x v="1"/>
    <x v="6"/>
    <m/>
  </r>
  <r>
    <x v="1"/>
    <x v="7"/>
    <m/>
  </r>
  <r>
    <x v="1"/>
    <x v="8"/>
    <m/>
  </r>
  <r>
    <x v="1"/>
    <x v="9"/>
    <n v="11"/>
  </r>
  <r>
    <x v="6"/>
    <x v="0"/>
    <n v="500"/>
  </r>
  <r>
    <x v="6"/>
    <x v="1"/>
    <s v="x"/>
  </r>
  <r>
    <x v="6"/>
    <x v="2"/>
    <n v="5"/>
  </r>
  <r>
    <x v="6"/>
    <x v="3"/>
    <s v="x"/>
  </r>
  <r>
    <x v="6"/>
    <x v="4"/>
    <n v="3"/>
  </r>
  <r>
    <x v="6"/>
    <x v="5"/>
    <m/>
  </r>
  <r>
    <x v="6"/>
    <x v="6"/>
    <m/>
  </r>
  <r>
    <x v="6"/>
    <x v="7"/>
    <m/>
  </r>
  <r>
    <x v="6"/>
    <x v="8"/>
    <m/>
  </r>
  <r>
    <x v="6"/>
    <x v="9"/>
    <n v="8"/>
  </r>
  <r>
    <x v="2"/>
    <x v="0"/>
    <n v="575"/>
  </r>
  <r>
    <x v="2"/>
    <x v="1"/>
    <m/>
  </r>
  <r>
    <x v="2"/>
    <x v="2"/>
    <m/>
  </r>
  <r>
    <x v="2"/>
    <x v="3"/>
    <s v="x"/>
  </r>
  <r>
    <x v="2"/>
    <x v="4"/>
    <n v="7"/>
  </r>
  <r>
    <x v="2"/>
    <x v="5"/>
    <m/>
  </r>
  <r>
    <x v="2"/>
    <x v="6"/>
    <m/>
  </r>
  <r>
    <x v="2"/>
    <x v="7"/>
    <m/>
  </r>
  <r>
    <x v="2"/>
    <x v="8"/>
    <m/>
  </r>
  <r>
    <x v="2"/>
    <x v="9"/>
    <n v="7"/>
  </r>
  <r>
    <x v="2"/>
    <x v="0"/>
    <n v="500"/>
  </r>
  <r>
    <x v="2"/>
    <x v="1"/>
    <s v="x"/>
  </r>
  <r>
    <x v="2"/>
    <x v="2"/>
    <n v="5"/>
  </r>
  <r>
    <x v="2"/>
    <x v="3"/>
    <s v="x"/>
  </r>
  <r>
    <x v="2"/>
    <x v="4"/>
    <n v="2"/>
  </r>
  <r>
    <x v="2"/>
    <x v="5"/>
    <m/>
  </r>
  <r>
    <x v="2"/>
    <x v="6"/>
    <m/>
  </r>
  <r>
    <x v="2"/>
    <x v="7"/>
    <m/>
  </r>
  <r>
    <x v="2"/>
    <x v="8"/>
    <m/>
  </r>
  <r>
    <x v="2"/>
    <x v="9"/>
    <n v="7"/>
  </r>
  <r>
    <x v="2"/>
    <x v="0"/>
    <n v="500"/>
  </r>
  <r>
    <x v="2"/>
    <x v="1"/>
    <s v="x"/>
  </r>
  <r>
    <x v="2"/>
    <x v="2"/>
    <n v="6"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6"/>
  </r>
  <r>
    <x v="0"/>
    <x v="0"/>
    <n v="500"/>
  </r>
  <r>
    <x v="0"/>
    <x v="1"/>
    <s v="x"/>
  </r>
  <r>
    <x v="0"/>
    <x v="2"/>
    <n v="5"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5"/>
  </r>
  <r>
    <x v="0"/>
    <x v="0"/>
    <n v="500"/>
  </r>
  <r>
    <x v="0"/>
    <x v="1"/>
    <m/>
  </r>
  <r>
    <x v="0"/>
    <x v="2"/>
    <m/>
  </r>
  <r>
    <x v="0"/>
    <x v="3"/>
    <s v="x"/>
  </r>
  <r>
    <x v="0"/>
    <x v="4"/>
    <n v="5"/>
  </r>
  <r>
    <x v="0"/>
    <x v="5"/>
    <m/>
  </r>
  <r>
    <x v="0"/>
    <x v="6"/>
    <m/>
  </r>
  <r>
    <x v="0"/>
    <x v="7"/>
    <m/>
  </r>
  <r>
    <x v="0"/>
    <x v="8"/>
    <m/>
  </r>
  <r>
    <x v="0"/>
    <x v="9"/>
    <n v="5"/>
  </r>
  <r>
    <x v="9"/>
    <x v="0"/>
    <n v="500"/>
  </r>
  <r>
    <x v="9"/>
    <x v="1"/>
    <s v="x"/>
  </r>
  <r>
    <x v="9"/>
    <x v="2"/>
    <n v="3"/>
  </r>
  <r>
    <x v="9"/>
    <x v="3"/>
    <m/>
  </r>
  <r>
    <x v="9"/>
    <x v="4"/>
    <m/>
  </r>
  <r>
    <x v="9"/>
    <x v="5"/>
    <m/>
  </r>
  <r>
    <x v="9"/>
    <x v="6"/>
    <m/>
  </r>
  <r>
    <x v="9"/>
    <x v="7"/>
    <m/>
  </r>
  <r>
    <x v="9"/>
    <x v="8"/>
    <m/>
  </r>
  <r>
    <x v="9"/>
    <x v="9"/>
    <n v="3"/>
  </r>
  <r>
    <x v="4"/>
    <x v="0"/>
    <n v="500"/>
  </r>
  <r>
    <x v="4"/>
    <x v="1"/>
    <s v="x"/>
  </r>
  <r>
    <x v="4"/>
    <x v="2"/>
    <n v="2"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2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3"/>
    <x v="0"/>
    <n v="500"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6"/>
    <x v="0"/>
    <s v="500"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3"/>
    <x v="0"/>
    <n v="500"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7"/>
    <x v="0"/>
    <n v="500"/>
  </r>
  <r>
    <x v="7"/>
    <x v="1"/>
    <m/>
  </r>
  <r>
    <x v="7"/>
    <x v="2"/>
    <m/>
  </r>
  <r>
    <x v="7"/>
    <x v="3"/>
    <m/>
  </r>
  <r>
    <x v="7"/>
    <x v="4"/>
    <m/>
  </r>
  <r>
    <x v="7"/>
    <x v="5"/>
    <m/>
  </r>
  <r>
    <x v="7"/>
    <x v="6"/>
    <m/>
  </r>
  <r>
    <x v="7"/>
    <x v="7"/>
    <m/>
  </r>
  <r>
    <x v="7"/>
    <x v="8"/>
    <m/>
  </r>
  <r>
    <x v="7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0"/>
    <x v="0"/>
    <n v="678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0"/>
    <x v="0"/>
    <n v="737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0"/>
    <x v="0"/>
    <n v="697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3"/>
    <x v="0"/>
    <n v="500"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2"/>
    <x v="0"/>
    <n v="574"/>
  </r>
  <r>
    <x v="2"/>
    <x v="1"/>
    <s v="x"/>
  </r>
  <r>
    <x v="2"/>
    <x v="2"/>
    <n v="13"/>
  </r>
  <r>
    <x v="2"/>
    <x v="3"/>
    <s v="x"/>
  </r>
  <r>
    <x v="2"/>
    <x v="4"/>
    <n v="10"/>
  </r>
  <r>
    <x v="2"/>
    <x v="5"/>
    <m/>
  </r>
  <r>
    <x v="2"/>
    <x v="6"/>
    <m/>
  </r>
  <r>
    <x v="2"/>
    <x v="7"/>
    <m/>
  </r>
  <r>
    <x v="2"/>
    <x v="8"/>
    <m/>
  </r>
  <r>
    <x v="2"/>
    <x v="9"/>
    <n v="23"/>
  </r>
  <r>
    <x v="0"/>
    <x v="0"/>
    <n v="660"/>
  </r>
  <r>
    <x v="0"/>
    <x v="1"/>
    <s v="x"/>
  </r>
  <r>
    <x v="0"/>
    <x v="2"/>
    <n v="10"/>
  </r>
  <r>
    <x v="0"/>
    <x v="3"/>
    <s v="x"/>
  </r>
  <r>
    <x v="0"/>
    <x v="4"/>
    <n v="12"/>
  </r>
  <r>
    <x v="0"/>
    <x v="5"/>
    <m/>
  </r>
  <r>
    <x v="0"/>
    <x v="6"/>
    <m/>
  </r>
  <r>
    <x v="0"/>
    <x v="7"/>
    <m/>
  </r>
  <r>
    <x v="0"/>
    <x v="8"/>
    <m/>
  </r>
  <r>
    <x v="0"/>
    <x v="9"/>
    <n v="22"/>
  </r>
  <r>
    <x v="7"/>
    <x v="0"/>
    <n v="563"/>
  </r>
  <r>
    <x v="7"/>
    <x v="1"/>
    <s v="x"/>
  </r>
  <r>
    <x v="7"/>
    <x v="2"/>
    <n v="9"/>
  </r>
  <r>
    <x v="7"/>
    <x v="3"/>
    <s v="x"/>
  </r>
  <r>
    <x v="7"/>
    <x v="4"/>
    <n v="8"/>
  </r>
  <r>
    <x v="7"/>
    <x v="5"/>
    <m/>
  </r>
  <r>
    <x v="7"/>
    <x v="6"/>
    <m/>
  </r>
  <r>
    <x v="7"/>
    <x v="7"/>
    <m/>
  </r>
  <r>
    <x v="7"/>
    <x v="8"/>
    <m/>
  </r>
  <r>
    <x v="7"/>
    <x v="9"/>
    <n v="17"/>
  </r>
  <r>
    <x v="0"/>
    <x v="0"/>
    <n v="636"/>
  </r>
  <r>
    <x v="0"/>
    <x v="1"/>
    <s v="x"/>
  </r>
  <r>
    <x v="0"/>
    <x v="2"/>
    <n v="9"/>
  </r>
  <r>
    <x v="0"/>
    <x v="3"/>
    <s v="x"/>
  </r>
  <r>
    <x v="0"/>
    <x v="4"/>
    <n v="8"/>
  </r>
  <r>
    <x v="0"/>
    <x v="5"/>
    <m/>
  </r>
  <r>
    <x v="0"/>
    <x v="6"/>
    <m/>
  </r>
  <r>
    <x v="0"/>
    <x v="7"/>
    <m/>
  </r>
  <r>
    <x v="0"/>
    <x v="8"/>
    <m/>
  </r>
  <r>
    <x v="0"/>
    <x v="9"/>
    <n v="17"/>
  </r>
  <r>
    <x v="0"/>
    <x v="0"/>
    <n v="617"/>
  </r>
  <r>
    <x v="0"/>
    <x v="1"/>
    <s v="x"/>
  </r>
  <r>
    <x v="0"/>
    <x v="2"/>
    <n v="9"/>
  </r>
  <r>
    <x v="0"/>
    <x v="3"/>
    <s v="x"/>
  </r>
  <r>
    <x v="0"/>
    <x v="4"/>
    <n v="8"/>
  </r>
  <r>
    <x v="0"/>
    <x v="5"/>
    <m/>
  </r>
  <r>
    <x v="0"/>
    <x v="6"/>
    <m/>
  </r>
  <r>
    <x v="0"/>
    <x v="7"/>
    <m/>
  </r>
  <r>
    <x v="0"/>
    <x v="8"/>
    <m/>
  </r>
  <r>
    <x v="0"/>
    <x v="9"/>
    <n v="17"/>
  </r>
  <r>
    <x v="8"/>
    <x v="0"/>
    <n v="500"/>
  </r>
  <r>
    <x v="8"/>
    <x v="1"/>
    <s v="x"/>
  </r>
  <r>
    <x v="8"/>
    <x v="2"/>
    <n v="9"/>
  </r>
  <r>
    <x v="8"/>
    <x v="3"/>
    <s v="x"/>
  </r>
  <r>
    <x v="8"/>
    <x v="4"/>
    <n v="8"/>
  </r>
  <r>
    <x v="8"/>
    <x v="5"/>
    <m/>
  </r>
  <r>
    <x v="8"/>
    <x v="6"/>
    <m/>
  </r>
  <r>
    <x v="8"/>
    <x v="7"/>
    <m/>
  </r>
  <r>
    <x v="8"/>
    <x v="8"/>
    <m/>
  </r>
  <r>
    <x v="8"/>
    <x v="9"/>
    <n v="17"/>
  </r>
  <r>
    <x v="7"/>
    <x v="0"/>
    <n v="500"/>
  </r>
  <r>
    <x v="7"/>
    <x v="1"/>
    <s v="x"/>
  </r>
  <r>
    <x v="7"/>
    <x v="2"/>
    <n v="8"/>
  </r>
  <r>
    <x v="7"/>
    <x v="3"/>
    <s v="x"/>
  </r>
  <r>
    <x v="7"/>
    <x v="4"/>
    <n v="9"/>
  </r>
  <r>
    <x v="7"/>
    <x v="5"/>
    <m/>
  </r>
  <r>
    <x v="7"/>
    <x v="6"/>
    <m/>
  </r>
  <r>
    <x v="7"/>
    <x v="7"/>
    <m/>
  </r>
  <r>
    <x v="7"/>
    <x v="8"/>
    <m/>
  </r>
  <r>
    <x v="7"/>
    <x v="9"/>
    <n v="17"/>
  </r>
  <r>
    <x v="4"/>
    <x v="0"/>
    <n v="532"/>
  </r>
  <r>
    <x v="4"/>
    <x v="1"/>
    <s v="x"/>
  </r>
  <r>
    <x v="4"/>
    <x v="2"/>
    <n v="8"/>
  </r>
  <r>
    <x v="4"/>
    <x v="3"/>
    <s v="x"/>
  </r>
  <r>
    <x v="4"/>
    <x v="4"/>
    <n v="7"/>
  </r>
  <r>
    <x v="4"/>
    <x v="5"/>
    <m/>
  </r>
  <r>
    <x v="4"/>
    <x v="6"/>
    <m/>
  </r>
  <r>
    <x v="4"/>
    <x v="7"/>
    <m/>
  </r>
  <r>
    <x v="4"/>
    <x v="8"/>
    <m/>
  </r>
  <r>
    <x v="4"/>
    <x v="9"/>
    <n v="15"/>
  </r>
  <r>
    <x v="5"/>
    <x v="0"/>
    <n v="500"/>
  </r>
  <r>
    <x v="5"/>
    <x v="1"/>
    <s v="x"/>
  </r>
  <r>
    <x v="5"/>
    <x v="2"/>
    <n v="8"/>
  </r>
  <r>
    <x v="5"/>
    <x v="3"/>
    <s v="x"/>
  </r>
  <r>
    <x v="5"/>
    <x v="4"/>
    <n v="7"/>
  </r>
  <r>
    <x v="5"/>
    <x v="5"/>
    <m/>
  </r>
  <r>
    <x v="5"/>
    <x v="6"/>
    <m/>
  </r>
  <r>
    <x v="5"/>
    <x v="7"/>
    <m/>
  </r>
  <r>
    <x v="5"/>
    <x v="8"/>
    <m/>
  </r>
  <r>
    <x v="5"/>
    <x v="9"/>
    <n v="15"/>
  </r>
  <r>
    <x v="2"/>
    <x v="0"/>
    <n v="500"/>
  </r>
  <r>
    <x v="2"/>
    <x v="1"/>
    <s v="x"/>
  </r>
  <r>
    <x v="2"/>
    <x v="2"/>
    <n v="8"/>
  </r>
  <r>
    <x v="2"/>
    <x v="3"/>
    <s v="x"/>
  </r>
  <r>
    <x v="2"/>
    <x v="4"/>
    <n v="6"/>
  </r>
  <r>
    <x v="2"/>
    <x v="5"/>
    <m/>
  </r>
  <r>
    <x v="2"/>
    <x v="6"/>
    <m/>
  </r>
  <r>
    <x v="2"/>
    <x v="7"/>
    <m/>
  </r>
  <r>
    <x v="2"/>
    <x v="8"/>
    <m/>
  </r>
  <r>
    <x v="2"/>
    <x v="9"/>
    <n v="14"/>
  </r>
  <r>
    <x v="2"/>
    <x v="0"/>
    <n v="500"/>
  </r>
  <r>
    <x v="2"/>
    <x v="1"/>
    <s v="x"/>
  </r>
  <r>
    <x v="2"/>
    <x v="2"/>
    <n v="7"/>
  </r>
  <r>
    <x v="2"/>
    <x v="3"/>
    <s v="x"/>
  </r>
  <r>
    <x v="2"/>
    <x v="4"/>
    <n v="7"/>
  </r>
  <r>
    <x v="2"/>
    <x v="5"/>
    <m/>
  </r>
  <r>
    <x v="2"/>
    <x v="6"/>
    <m/>
  </r>
  <r>
    <x v="2"/>
    <x v="7"/>
    <m/>
  </r>
  <r>
    <x v="2"/>
    <x v="8"/>
    <m/>
  </r>
  <r>
    <x v="2"/>
    <x v="9"/>
    <n v="14"/>
  </r>
  <r>
    <x v="1"/>
    <x v="0"/>
    <n v="500"/>
  </r>
  <r>
    <x v="1"/>
    <x v="1"/>
    <s v="x"/>
  </r>
  <r>
    <x v="1"/>
    <x v="2"/>
    <n v="7"/>
  </r>
  <r>
    <x v="1"/>
    <x v="3"/>
    <s v="x"/>
  </r>
  <r>
    <x v="1"/>
    <x v="4"/>
    <n v="7"/>
  </r>
  <r>
    <x v="1"/>
    <x v="5"/>
    <m/>
  </r>
  <r>
    <x v="1"/>
    <x v="6"/>
    <m/>
  </r>
  <r>
    <x v="1"/>
    <x v="7"/>
    <m/>
  </r>
  <r>
    <x v="1"/>
    <x v="8"/>
    <m/>
  </r>
  <r>
    <x v="1"/>
    <x v="9"/>
    <n v="14"/>
  </r>
  <r>
    <x v="6"/>
    <x v="0"/>
    <n v="500"/>
  </r>
  <r>
    <x v="6"/>
    <x v="1"/>
    <s v="x"/>
  </r>
  <r>
    <x v="6"/>
    <x v="2"/>
    <n v="7"/>
  </r>
  <r>
    <x v="6"/>
    <x v="3"/>
    <s v="x"/>
  </r>
  <r>
    <x v="6"/>
    <x v="4"/>
    <n v="6"/>
  </r>
  <r>
    <x v="6"/>
    <x v="5"/>
    <m/>
  </r>
  <r>
    <x v="6"/>
    <x v="6"/>
    <m/>
  </r>
  <r>
    <x v="6"/>
    <x v="7"/>
    <m/>
  </r>
  <r>
    <x v="6"/>
    <x v="8"/>
    <m/>
  </r>
  <r>
    <x v="6"/>
    <x v="9"/>
    <n v="13"/>
  </r>
  <r>
    <x v="0"/>
    <x v="0"/>
    <n v="525"/>
  </r>
  <r>
    <x v="0"/>
    <x v="1"/>
    <s v="x"/>
  </r>
  <r>
    <x v="0"/>
    <x v="2"/>
    <n v="7"/>
  </r>
  <r>
    <x v="0"/>
    <x v="3"/>
    <s v="x"/>
  </r>
  <r>
    <x v="0"/>
    <x v="4"/>
    <n v="6"/>
  </r>
  <r>
    <x v="0"/>
    <x v="5"/>
    <m/>
  </r>
  <r>
    <x v="0"/>
    <x v="6"/>
    <m/>
  </r>
  <r>
    <x v="0"/>
    <x v="7"/>
    <m/>
  </r>
  <r>
    <x v="0"/>
    <x v="8"/>
    <m/>
  </r>
  <r>
    <x v="0"/>
    <x v="9"/>
    <n v="13"/>
  </r>
  <r>
    <x v="4"/>
    <x v="0"/>
    <n v="500"/>
  </r>
  <r>
    <x v="4"/>
    <x v="1"/>
    <s v="x"/>
  </r>
  <r>
    <x v="4"/>
    <x v="2"/>
    <n v="7"/>
  </r>
  <r>
    <x v="4"/>
    <x v="3"/>
    <s v="x"/>
  </r>
  <r>
    <x v="4"/>
    <x v="4"/>
    <n v="6"/>
  </r>
  <r>
    <x v="4"/>
    <x v="5"/>
    <m/>
  </r>
  <r>
    <x v="4"/>
    <x v="6"/>
    <m/>
  </r>
  <r>
    <x v="4"/>
    <x v="7"/>
    <m/>
  </r>
  <r>
    <x v="4"/>
    <x v="8"/>
    <m/>
  </r>
  <r>
    <x v="4"/>
    <x v="9"/>
    <n v="13"/>
  </r>
  <r>
    <x v="0"/>
    <x v="0"/>
    <n v="715"/>
  </r>
  <r>
    <x v="0"/>
    <x v="1"/>
    <s v="x"/>
  </r>
  <r>
    <x v="0"/>
    <x v="2"/>
    <n v="11"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11"/>
  </r>
  <r>
    <x v="5"/>
    <x v="0"/>
    <n v="500"/>
  </r>
  <r>
    <x v="5"/>
    <x v="1"/>
    <s v="x"/>
  </r>
  <r>
    <x v="5"/>
    <x v="2"/>
    <n v="7"/>
  </r>
  <r>
    <x v="5"/>
    <x v="3"/>
    <s v="x"/>
  </r>
  <r>
    <x v="5"/>
    <x v="4"/>
    <n v="3"/>
  </r>
  <r>
    <x v="5"/>
    <x v="5"/>
    <m/>
  </r>
  <r>
    <x v="5"/>
    <x v="6"/>
    <m/>
  </r>
  <r>
    <x v="5"/>
    <x v="7"/>
    <m/>
  </r>
  <r>
    <x v="5"/>
    <x v="8"/>
    <m/>
  </r>
  <r>
    <x v="5"/>
    <x v="9"/>
    <n v="10"/>
  </r>
  <r>
    <x v="1"/>
    <x v="0"/>
    <n v="619"/>
  </r>
  <r>
    <x v="1"/>
    <x v="1"/>
    <s v="x"/>
  </r>
  <r>
    <x v="1"/>
    <x v="2"/>
    <n v="10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10"/>
  </r>
  <r>
    <x v="1"/>
    <x v="0"/>
    <n v="500"/>
  </r>
  <r>
    <x v="1"/>
    <x v="1"/>
    <s v="x"/>
  </r>
  <r>
    <x v="1"/>
    <x v="2"/>
    <n v="4"/>
  </r>
  <r>
    <x v="1"/>
    <x v="3"/>
    <s v="x"/>
  </r>
  <r>
    <x v="1"/>
    <x v="4"/>
    <n v="6"/>
  </r>
  <r>
    <x v="1"/>
    <x v="5"/>
    <m/>
  </r>
  <r>
    <x v="1"/>
    <x v="6"/>
    <m/>
  </r>
  <r>
    <x v="1"/>
    <x v="7"/>
    <m/>
  </r>
  <r>
    <x v="1"/>
    <x v="8"/>
    <m/>
  </r>
  <r>
    <x v="1"/>
    <x v="9"/>
    <n v="10"/>
  </r>
  <r>
    <x v="0"/>
    <x v="0"/>
    <n v="500"/>
  </r>
  <r>
    <x v="0"/>
    <x v="1"/>
    <m/>
  </r>
  <r>
    <x v="0"/>
    <x v="2"/>
    <m/>
  </r>
  <r>
    <x v="0"/>
    <x v="3"/>
    <s v="x"/>
  </r>
  <r>
    <x v="0"/>
    <x v="4"/>
    <n v="9"/>
  </r>
  <r>
    <x v="0"/>
    <x v="5"/>
    <m/>
  </r>
  <r>
    <x v="0"/>
    <x v="6"/>
    <m/>
  </r>
  <r>
    <x v="0"/>
    <x v="7"/>
    <m/>
  </r>
  <r>
    <x v="0"/>
    <x v="8"/>
    <m/>
  </r>
  <r>
    <x v="0"/>
    <x v="9"/>
    <n v="9"/>
  </r>
  <r>
    <x v="1"/>
    <x v="0"/>
    <n v="500"/>
  </r>
  <r>
    <x v="1"/>
    <x v="1"/>
    <s v="x"/>
  </r>
  <r>
    <x v="1"/>
    <x v="2"/>
    <n v="8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8"/>
  </r>
  <r>
    <x v="7"/>
    <x v="0"/>
    <n v="500"/>
  </r>
  <r>
    <x v="7"/>
    <x v="1"/>
    <s v="x"/>
  </r>
  <r>
    <x v="7"/>
    <x v="2"/>
    <n v="2"/>
  </r>
  <r>
    <x v="7"/>
    <x v="3"/>
    <s v="x"/>
  </r>
  <r>
    <x v="7"/>
    <x v="4"/>
    <n v="6"/>
  </r>
  <r>
    <x v="7"/>
    <x v="5"/>
    <m/>
  </r>
  <r>
    <x v="7"/>
    <x v="6"/>
    <m/>
  </r>
  <r>
    <x v="7"/>
    <x v="7"/>
    <m/>
  </r>
  <r>
    <x v="7"/>
    <x v="8"/>
    <m/>
  </r>
  <r>
    <x v="7"/>
    <x v="9"/>
    <n v="8"/>
  </r>
  <r>
    <x v="4"/>
    <x v="0"/>
    <n v="500"/>
  </r>
  <r>
    <x v="4"/>
    <x v="1"/>
    <s v="x"/>
  </r>
  <r>
    <x v="4"/>
    <x v="2"/>
    <n v="7"/>
  </r>
  <r>
    <x v="4"/>
    <x v="3"/>
    <s v="x"/>
  </r>
  <r>
    <x v="4"/>
    <x v="4"/>
    <n v="1"/>
  </r>
  <r>
    <x v="4"/>
    <x v="5"/>
    <m/>
  </r>
  <r>
    <x v="4"/>
    <x v="6"/>
    <m/>
  </r>
  <r>
    <x v="4"/>
    <x v="7"/>
    <m/>
  </r>
  <r>
    <x v="4"/>
    <x v="8"/>
    <m/>
  </r>
  <r>
    <x v="4"/>
    <x v="9"/>
    <n v="8"/>
  </r>
  <r>
    <x v="1"/>
    <x v="0"/>
    <n v="500"/>
  </r>
  <r>
    <x v="1"/>
    <x v="1"/>
    <s v="x"/>
  </r>
  <r>
    <x v="1"/>
    <x v="2"/>
    <n v="8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8"/>
  </r>
  <r>
    <x v="4"/>
    <x v="0"/>
    <n v="500"/>
  </r>
  <r>
    <x v="4"/>
    <x v="1"/>
    <s v="x"/>
  </r>
  <r>
    <x v="4"/>
    <x v="2"/>
    <n v="8"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8"/>
  </r>
  <r>
    <x v="1"/>
    <x v="0"/>
    <n v="500"/>
  </r>
  <r>
    <x v="1"/>
    <x v="1"/>
    <s v="x"/>
  </r>
  <r>
    <x v="1"/>
    <x v="2"/>
    <n v="8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8"/>
  </r>
  <r>
    <x v="1"/>
    <x v="0"/>
    <n v="500"/>
  </r>
  <r>
    <x v="1"/>
    <x v="1"/>
    <s v="x"/>
  </r>
  <r>
    <x v="1"/>
    <x v="2"/>
    <n v="7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7"/>
  </r>
  <r>
    <x v="6"/>
    <x v="0"/>
    <n v="500"/>
  </r>
  <r>
    <x v="6"/>
    <x v="1"/>
    <s v="x"/>
  </r>
  <r>
    <x v="6"/>
    <x v="2"/>
    <n v="7"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7"/>
  </r>
  <r>
    <x v="4"/>
    <x v="0"/>
    <n v="500"/>
  </r>
  <r>
    <x v="4"/>
    <x v="1"/>
    <s v="x"/>
  </r>
  <r>
    <x v="4"/>
    <x v="2"/>
    <n v="7"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7"/>
  </r>
  <r>
    <x v="1"/>
    <x v="0"/>
    <n v="500"/>
  </r>
  <r>
    <x v="1"/>
    <x v="1"/>
    <s v="x"/>
  </r>
  <r>
    <x v="1"/>
    <x v="2"/>
    <n v="7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7"/>
  </r>
  <r>
    <x v="0"/>
    <x v="0"/>
    <n v="576"/>
  </r>
  <r>
    <x v="0"/>
    <x v="1"/>
    <m/>
  </r>
  <r>
    <x v="0"/>
    <x v="2"/>
    <m/>
  </r>
  <r>
    <x v="0"/>
    <x v="3"/>
    <s v="x"/>
  </r>
  <r>
    <x v="0"/>
    <x v="4"/>
    <n v="7"/>
  </r>
  <r>
    <x v="0"/>
    <x v="5"/>
    <m/>
  </r>
  <r>
    <x v="0"/>
    <x v="6"/>
    <m/>
  </r>
  <r>
    <x v="0"/>
    <x v="7"/>
    <m/>
  </r>
  <r>
    <x v="0"/>
    <x v="8"/>
    <m/>
  </r>
  <r>
    <x v="0"/>
    <x v="9"/>
    <n v="7"/>
  </r>
  <r>
    <x v="2"/>
    <x v="0"/>
    <n v="500"/>
  </r>
  <r>
    <x v="2"/>
    <x v="1"/>
    <s v="x"/>
  </r>
  <r>
    <x v="2"/>
    <x v="2"/>
    <n v="7"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7"/>
  </r>
  <r>
    <x v="2"/>
    <x v="0"/>
    <n v="575"/>
  </r>
  <r>
    <x v="2"/>
    <x v="1"/>
    <m/>
  </r>
  <r>
    <x v="2"/>
    <x v="2"/>
    <m/>
  </r>
  <r>
    <x v="2"/>
    <x v="3"/>
    <s v="x"/>
  </r>
  <r>
    <x v="2"/>
    <x v="4"/>
    <n v="7"/>
  </r>
  <r>
    <x v="2"/>
    <x v="5"/>
    <m/>
  </r>
  <r>
    <x v="2"/>
    <x v="6"/>
    <m/>
  </r>
  <r>
    <x v="2"/>
    <x v="7"/>
    <m/>
  </r>
  <r>
    <x v="2"/>
    <x v="8"/>
    <m/>
  </r>
  <r>
    <x v="2"/>
    <x v="9"/>
    <n v="7"/>
  </r>
  <r>
    <x v="1"/>
    <x v="0"/>
    <n v="500"/>
  </r>
  <r>
    <x v="1"/>
    <x v="1"/>
    <s v="x"/>
  </r>
  <r>
    <x v="1"/>
    <x v="2"/>
    <n v="7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7"/>
  </r>
  <r>
    <x v="8"/>
    <x v="0"/>
    <n v="500"/>
  </r>
  <r>
    <x v="8"/>
    <x v="1"/>
    <s v="x"/>
  </r>
  <r>
    <x v="8"/>
    <x v="2"/>
    <n v="7"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7"/>
  </r>
  <r>
    <x v="0"/>
    <x v="0"/>
    <n v="500"/>
  </r>
  <r>
    <x v="0"/>
    <x v="1"/>
    <m/>
  </r>
  <r>
    <x v="0"/>
    <x v="2"/>
    <m/>
  </r>
  <r>
    <x v="0"/>
    <x v="3"/>
    <s v="x"/>
  </r>
  <r>
    <x v="0"/>
    <x v="4"/>
    <n v="7"/>
  </r>
  <r>
    <x v="0"/>
    <x v="5"/>
    <m/>
  </r>
  <r>
    <x v="0"/>
    <x v="6"/>
    <m/>
  </r>
  <r>
    <x v="0"/>
    <x v="7"/>
    <m/>
  </r>
  <r>
    <x v="0"/>
    <x v="8"/>
    <m/>
  </r>
  <r>
    <x v="0"/>
    <x v="9"/>
    <n v="7"/>
  </r>
  <r>
    <x v="2"/>
    <x v="0"/>
    <n v="500"/>
  </r>
  <r>
    <x v="2"/>
    <x v="1"/>
    <m/>
  </r>
  <r>
    <x v="2"/>
    <x v="2"/>
    <m/>
  </r>
  <r>
    <x v="2"/>
    <x v="3"/>
    <s v="x"/>
  </r>
  <r>
    <x v="2"/>
    <x v="4"/>
    <n v="7"/>
  </r>
  <r>
    <x v="2"/>
    <x v="5"/>
    <m/>
  </r>
  <r>
    <x v="2"/>
    <x v="6"/>
    <m/>
  </r>
  <r>
    <x v="2"/>
    <x v="7"/>
    <m/>
  </r>
  <r>
    <x v="2"/>
    <x v="8"/>
    <m/>
  </r>
  <r>
    <x v="2"/>
    <x v="9"/>
    <n v="7"/>
  </r>
  <r>
    <x v="8"/>
    <x v="0"/>
    <n v="500"/>
  </r>
  <r>
    <x v="8"/>
    <x v="1"/>
    <s v="x"/>
  </r>
  <r>
    <x v="8"/>
    <x v="2"/>
    <n v="7"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7"/>
  </r>
  <r>
    <x v="1"/>
    <x v="0"/>
    <n v="500"/>
  </r>
  <r>
    <x v="1"/>
    <x v="1"/>
    <m/>
  </r>
  <r>
    <x v="1"/>
    <x v="2"/>
    <m/>
  </r>
  <r>
    <x v="1"/>
    <x v="3"/>
    <s v="x"/>
  </r>
  <r>
    <x v="1"/>
    <x v="4"/>
    <n v="6"/>
  </r>
  <r>
    <x v="1"/>
    <x v="5"/>
    <m/>
  </r>
  <r>
    <x v="1"/>
    <x v="6"/>
    <m/>
  </r>
  <r>
    <x v="1"/>
    <x v="7"/>
    <m/>
  </r>
  <r>
    <x v="1"/>
    <x v="8"/>
    <m/>
  </r>
  <r>
    <x v="1"/>
    <x v="9"/>
    <n v="6"/>
  </r>
  <r>
    <x v="2"/>
    <x v="0"/>
    <n v="500"/>
  </r>
  <r>
    <x v="2"/>
    <x v="1"/>
    <m/>
  </r>
  <r>
    <x v="2"/>
    <x v="2"/>
    <m/>
  </r>
  <r>
    <x v="2"/>
    <x v="3"/>
    <s v="x"/>
  </r>
  <r>
    <x v="2"/>
    <x v="4"/>
    <n v="6"/>
  </r>
  <r>
    <x v="2"/>
    <x v="5"/>
    <m/>
  </r>
  <r>
    <x v="2"/>
    <x v="6"/>
    <m/>
  </r>
  <r>
    <x v="2"/>
    <x v="7"/>
    <m/>
  </r>
  <r>
    <x v="2"/>
    <x v="8"/>
    <m/>
  </r>
  <r>
    <x v="2"/>
    <x v="9"/>
    <n v="6"/>
  </r>
  <r>
    <x v="1"/>
    <x v="0"/>
    <n v="500"/>
  </r>
  <r>
    <x v="1"/>
    <x v="1"/>
    <m/>
  </r>
  <r>
    <x v="1"/>
    <x v="2"/>
    <m/>
  </r>
  <r>
    <x v="1"/>
    <x v="3"/>
    <s v="x"/>
  </r>
  <r>
    <x v="1"/>
    <x v="4"/>
    <n v="6"/>
  </r>
  <r>
    <x v="1"/>
    <x v="5"/>
    <m/>
  </r>
  <r>
    <x v="1"/>
    <x v="6"/>
    <m/>
  </r>
  <r>
    <x v="1"/>
    <x v="7"/>
    <m/>
  </r>
  <r>
    <x v="1"/>
    <x v="8"/>
    <m/>
  </r>
  <r>
    <x v="1"/>
    <x v="9"/>
    <n v="6"/>
  </r>
  <r>
    <x v="1"/>
    <x v="0"/>
    <n v="500"/>
  </r>
  <r>
    <x v="1"/>
    <x v="1"/>
    <s v="x"/>
  </r>
  <r>
    <x v="1"/>
    <x v="2"/>
    <n v="2"/>
  </r>
  <r>
    <x v="1"/>
    <x v="3"/>
    <s v="x"/>
  </r>
  <r>
    <x v="1"/>
    <x v="4"/>
    <n v="4"/>
  </r>
  <r>
    <x v="1"/>
    <x v="5"/>
    <m/>
  </r>
  <r>
    <x v="1"/>
    <x v="6"/>
    <m/>
  </r>
  <r>
    <x v="1"/>
    <x v="7"/>
    <m/>
  </r>
  <r>
    <x v="1"/>
    <x v="8"/>
    <m/>
  </r>
  <r>
    <x v="1"/>
    <x v="9"/>
    <n v="6"/>
  </r>
  <r>
    <x v="7"/>
    <x v="0"/>
    <n v="500"/>
  </r>
  <r>
    <x v="7"/>
    <x v="1"/>
    <s v="x"/>
  </r>
  <r>
    <x v="7"/>
    <x v="2"/>
    <n v="5"/>
  </r>
  <r>
    <x v="7"/>
    <x v="3"/>
    <m/>
  </r>
  <r>
    <x v="7"/>
    <x v="4"/>
    <m/>
  </r>
  <r>
    <x v="7"/>
    <x v="5"/>
    <m/>
  </r>
  <r>
    <x v="7"/>
    <x v="6"/>
    <m/>
  </r>
  <r>
    <x v="7"/>
    <x v="7"/>
    <m/>
  </r>
  <r>
    <x v="7"/>
    <x v="8"/>
    <m/>
  </r>
  <r>
    <x v="7"/>
    <x v="9"/>
    <n v="5"/>
  </r>
  <r>
    <x v="5"/>
    <x v="0"/>
    <n v="500"/>
  </r>
  <r>
    <x v="5"/>
    <x v="1"/>
    <s v="x"/>
  </r>
  <r>
    <x v="5"/>
    <x v="2"/>
    <n v="4"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4"/>
  </r>
  <r>
    <x v="4"/>
    <x v="0"/>
    <n v="500"/>
  </r>
  <r>
    <x v="4"/>
    <x v="1"/>
    <s v="x"/>
  </r>
  <r>
    <x v="4"/>
    <x v="2"/>
    <n v="3"/>
  </r>
  <r>
    <x v="4"/>
    <x v="3"/>
    <s v="x"/>
  </r>
  <r>
    <x v="4"/>
    <x v="4"/>
    <n v="1"/>
  </r>
  <r>
    <x v="4"/>
    <x v="5"/>
    <m/>
  </r>
  <r>
    <x v="4"/>
    <x v="6"/>
    <m/>
  </r>
  <r>
    <x v="4"/>
    <x v="7"/>
    <m/>
  </r>
  <r>
    <x v="4"/>
    <x v="8"/>
    <m/>
  </r>
  <r>
    <x v="4"/>
    <x v="9"/>
    <n v="4"/>
  </r>
  <r>
    <x v="8"/>
    <x v="0"/>
    <n v="500"/>
  </r>
  <r>
    <x v="8"/>
    <x v="1"/>
    <s v="x"/>
  </r>
  <r>
    <x v="8"/>
    <x v="2"/>
    <n v="2"/>
  </r>
  <r>
    <x v="8"/>
    <x v="3"/>
    <s v="x"/>
  </r>
  <r>
    <x v="8"/>
    <x v="4"/>
    <n v="2"/>
  </r>
  <r>
    <x v="8"/>
    <x v="5"/>
    <m/>
  </r>
  <r>
    <x v="8"/>
    <x v="6"/>
    <m/>
  </r>
  <r>
    <x v="8"/>
    <x v="7"/>
    <m/>
  </r>
  <r>
    <x v="8"/>
    <x v="8"/>
    <m/>
  </r>
  <r>
    <x v="8"/>
    <x v="9"/>
    <n v="4"/>
  </r>
  <r>
    <x v="5"/>
    <x v="0"/>
    <n v="500"/>
  </r>
  <r>
    <x v="5"/>
    <x v="1"/>
    <s v="x"/>
  </r>
  <r>
    <x v="5"/>
    <x v="2"/>
    <n v="3"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3"/>
  </r>
  <r>
    <x v="5"/>
    <x v="0"/>
    <n v="500"/>
  </r>
  <r>
    <x v="5"/>
    <x v="1"/>
    <s v="x"/>
  </r>
  <r>
    <x v="5"/>
    <x v="2"/>
    <n v="3"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3"/>
  </r>
  <r>
    <x v="7"/>
    <x v="0"/>
    <n v="500"/>
  </r>
  <r>
    <x v="7"/>
    <x v="1"/>
    <s v="x"/>
  </r>
  <r>
    <x v="7"/>
    <x v="2"/>
    <n v="3"/>
  </r>
  <r>
    <x v="7"/>
    <x v="3"/>
    <m/>
  </r>
  <r>
    <x v="7"/>
    <x v="4"/>
    <m/>
  </r>
  <r>
    <x v="7"/>
    <x v="5"/>
    <m/>
  </r>
  <r>
    <x v="7"/>
    <x v="6"/>
    <m/>
  </r>
  <r>
    <x v="7"/>
    <x v="7"/>
    <m/>
  </r>
  <r>
    <x v="7"/>
    <x v="8"/>
    <m/>
  </r>
  <r>
    <x v="7"/>
    <x v="9"/>
    <n v="3"/>
  </r>
  <r>
    <x v="1"/>
    <x v="0"/>
    <n v="500"/>
  </r>
  <r>
    <x v="1"/>
    <x v="1"/>
    <s v="x"/>
  </r>
  <r>
    <x v="1"/>
    <x v="2"/>
    <n v="1"/>
  </r>
  <r>
    <x v="1"/>
    <x v="3"/>
    <s v="x"/>
  </r>
  <r>
    <x v="1"/>
    <x v="4"/>
    <n v="2"/>
  </r>
  <r>
    <x v="1"/>
    <x v="5"/>
    <m/>
  </r>
  <r>
    <x v="1"/>
    <x v="6"/>
    <m/>
  </r>
  <r>
    <x v="1"/>
    <x v="7"/>
    <m/>
  </r>
  <r>
    <x v="1"/>
    <x v="8"/>
    <m/>
  </r>
  <r>
    <x v="1"/>
    <x v="9"/>
    <n v="3"/>
  </r>
  <r>
    <x v="1"/>
    <x v="0"/>
    <m/>
  </r>
  <r>
    <x v="1"/>
    <x v="1"/>
    <m/>
  </r>
  <r>
    <x v="1"/>
    <x v="2"/>
    <m/>
  </r>
  <r>
    <x v="1"/>
    <x v="3"/>
    <s v="x"/>
  </r>
  <r>
    <x v="1"/>
    <x v="4"/>
    <n v="3"/>
  </r>
  <r>
    <x v="1"/>
    <x v="5"/>
    <m/>
  </r>
  <r>
    <x v="1"/>
    <x v="6"/>
    <m/>
  </r>
  <r>
    <x v="1"/>
    <x v="7"/>
    <m/>
  </r>
  <r>
    <x v="1"/>
    <x v="8"/>
    <m/>
  </r>
  <r>
    <x v="1"/>
    <x v="9"/>
    <n v="3"/>
  </r>
  <r>
    <x v="8"/>
    <x v="0"/>
    <n v="500"/>
  </r>
  <r>
    <x v="8"/>
    <x v="1"/>
    <s v="x"/>
  </r>
  <r>
    <x v="8"/>
    <x v="2"/>
    <n v="2"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2"/>
  </r>
  <r>
    <x v="3"/>
    <x v="0"/>
    <n v="500"/>
  </r>
  <r>
    <x v="3"/>
    <x v="1"/>
    <s v="x"/>
  </r>
  <r>
    <x v="3"/>
    <x v="2"/>
    <n v="1"/>
  </r>
  <r>
    <x v="3"/>
    <x v="3"/>
    <s v="x"/>
  </r>
  <r>
    <x v="3"/>
    <x v="4"/>
    <n v="1"/>
  </r>
  <r>
    <x v="3"/>
    <x v="5"/>
    <m/>
  </r>
  <r>
    <x v="3"/>
    <x v="6"/>
    <m/>
  </r>
  <r>
    <x v="3"/>
    <x v="7"/>
    <m/>
  </r>
  <r>
    <x v="3"/>
    <x v="8"/>
    <m/>
  </r>
  <r>
    <x v="3"/>
    <x v="9"/>
    <n v="2"/>
  </r>
  <r>
    <x v="4"/>
    <x v="0"/>
    <n v="500"/>
  </r>
  <r>
    <x v="4"/>
    <x v="1"/>
    <s v="x"/>
  </r>
  <r>
    <x v="4"/>
    <x v="2"/>
    <n v="2"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2"/>
  </r>
  <r>
    <x v="7"/>
    <x v="0"/>
    <n v="500"/>
  </r>
  <r>
    <x v="7"/>
    <x v="1"/>
    <s v="x"/>
  </r>
  <r>
    <x v="7"/>
    <x v="2"/>
    <n v="1"/>
  </r>
  <r>
    <x v="7"/>
    <x v="3"/>
    <s v="x"/>
  </r>
  <r>
    <x v="7"/>
    <x v="4"/>
    <n v="1"/>
  </r>
  <r>
    <x v="7"/>
    <x v="5"/>
    <m/>
  </r>
  <r>
    <x v="7"/>
    <x v="6"/>
    <m/>
  </r>
  <r>
    <x v="7"/>
    <x v="7"/>
    <m/>
  </r>
  <r>
    <x v="7"/>
    <x v="8"/>
    <m/>
  </r>
  <r>
    <x v="7"/>
    <x v="9"/>
    <n v="2"/>
  </r>
  <r>
    <x v="8"/>
    <x v="0"/>
    <n v="500"/>
  </r>
  <r>
    <x v="8"/>
    <x v="1"/>
    <s v="x"/>
  </r>
  <r>
    <x v="8"/>
    <x v="2"/>
    <n v="1"/>
  </r>
  <r>
    <x v="8"/>
    <x v="3"/>
    <s v="x"/>
  </r>
  <r>
    <x v="8"/>
    <x v="4"/>
    <n v="1"/>
  </r>
  <r>
    <x v="8"/>
    <x v="5"/>
    <m/>
  </r>
  <r>
    <x v="8"/>
    <x v="6"/>
    <m/>
  </r>
  <r>
    <x v="8"/>
    <x v="7"/>
    <m/>
  </r>
  <r>
    <x v="8"/>
    <x v="8"/>
    <m/>
  </r>
  <r>
    <x v="8"/>
    <x v="9"/>
    <n v="2"/>
  </r>
  <r>
    <x v="10"/>
    <x v="0"/>
    <n v="500"/>
  </r>
  <r>
    <x v="10"/>
    <x v="1"/>
    <m/>
  </r>
  <r>
    <x v="10"/>
    <x v="2"/>
    <m/>
  </r>
  <r>
    <x v="10"/>
    <x v="3"/>
    <s v="x"/>
  </r>
  <r>
    <x v="10"/>
    <x v="4"/>
    <n v="2"/>
  </r>
  <r>
    <x v="10"/>
    <x v="5"/>
    <m/>
  </r>
  <r>
    <x v="10"/>
    <x v="6"/>
    <m/>
  </r>
  <r>
    <x v="10"/>
    <x v="7"/>
    <m/>
  </r>
  <r>
    <x v="10"/>
    <x v="8"/>
    <m/>
  </r>
  <r>
    <x v="10"/>
    <x v="9"/>
    <n v="2"/>
  </r>
  <r>
    <x v="5"/>
    <x v="0"/>
    <n v="500"/>
  </r>
  <r>
    <x v="5"/>
    <x v="1"/>
    <s v="x"/>
  </r>
  <r>
    <x v="5"/>
    <x v="2"/>
    <n v="2"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2"/>
  </r>
  <r>
    <x v="7"/>
    <x v="0"/>
    <n v="500"/>
  </r>
  <r>
    <x v="7"/>
    <x v="1"/>
    <m/>
  </r>
  <r>
    <x v="7"/>
    <x v="2"/>
    <m/>
  </r>
  <r>
    <x v="7"/>
    <x v="3"/>
    <s v="x"/>
  </r>
  <r>
    <x v="7"/>
    <x v="4"/>
    <n v="2"/>
  </r>
  <r>
    <x v="7"/>
    <x v="5"/>
    <m/>
  </r>
  <r>
    <x v="7"/>
    <x v="6"/>
    <m/>
  </r>
  <r>
    <x v="7"/>
    <x v="7"/>
    <m/>
  </r>
  <r>
    <x v="7"/>
    <x v="8"/>
    <m/>
  </r>
  <r>
    <x v="7"/>
    <x v="9"/>
    <n v="2"/>
  </r>
  <r>
    <x v="8"/>
    <x v="0"/>
    <n v="500"/>
  </r>
  <r>
    <x v="8"/>
    <x v="1"/>
    <s v="x"/>
  </r>
  <r>
    <x v="8"/>
    <x v="2"/>
    <n v="2"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2"/>
  </r>
  <r>
    <x v="0"/>
    <x v="0"/>
    <n v="500"/>
  </r>
  <r>
    <x v="0"/>
    <x v="1"/>
    <s v="x"/>
  </r>
  <r>
    <x v="0"/>
    <x v="2"/>
    <n v="1"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1"/>
  </r>
  <r>
    <x v="8"/>
    <x v="0"/>
    <n v="500"/>
  </r>
  <r>
    <x v="8"/>
    <x v="1"/>
    <s v="x"/>
  </r>
  <r>
    <x v="8"/>
    <x v="2"/>
    <n v="1"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1"/>
  </r>
  <r>
    <x v="8"/>
    <x v="0"/>
    <n v="500"/>
  </r>
  <r>
    <x v="8"/>
    <x v="1"/>
    <m/>
  </r>
  <r>
    <x v="8"/>
    <x v="2"/>
    <m/>
  </r>
  <r>
    <x v="8"/>
    <x v="3"/>
    <s v="x"/>
  </r>
  <r>
    <x v="8"/>
    <x v="4"/>
    <n v="1"/>
  </r>
  <r>
    <x v="8"/>
    <x v="5"/>
    <m/>
  </r>
  <r>
    <x v="8"/>
    <x v="6"/>
    <m/>
  </r>
  <r>
    <x v="8"/>
    <x v="7"/>
    <m/>
  </r>
  <r>
    <x v="8"/>
    <x v="8"/>
    <m/>
  </r>
  <r>
    <x v="8"/>
    <x v="9"/>
    <n v="1"/>
  </r>
  <r>
    <x v="1"/>
    <x v="0"/>
    <n v="500"/>
  </r>
  <r>
    <x v="1"/>
    <x v="1"/>
    <s v="x"/>
  </r>
  <r>
    <x v="1"/>
    <x v="2"/>
    <n v="1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1"/>
  </r>
  <r>
    <x v="0"/>
    <x v="0"/>
    <n v="500"/>
  </r>
  <r>
    <x v="0"/>
    <x v="1"/>
    <s v="x"/>
  </r>
  <r>
    <x v="0"/>
    <x v="2"/>
    <n v="1"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1"/>
  </r>
  <r>
    <x v="4"/>
    <x v="0"/>
    <n v="500"/>
  </r>
  <r>
    <x v="4"/>
    <x v="1"/>
    <s v="x"/>
  </r>
  <r>
    <x v="4"/>
    <x v="2"/>
    <n v="1"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1"/>
  </r>
  <r>
    <x v="1"/>
    <x v="0"/>
    <n v="500"/>
  </r>
  <r>
    <x v="1"/>
    <x v="1"/>
    <s v="x"/>
  </r>
  <r>
    <x v="1"/>
    <x v="2"/>
    <n v="1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1"/>
  </r>
  <r>
    <x v="8"/>
    <x v="0"/>
    <n v="500"/>
  </r>
  <r>
    <x v="8"/>
    <x v="1"/>
    <m/>
  </r>
  <r>
    <x v="8"/>
    <x v="2"/>
    <m/>
  </r>
  <r>
    <x v="8"/>
    <x v="3"/>
    <s v="x"/>
  </r>
  <r>
    <x v="8"/>
    <x v="4"/>
    <n v="1"/>
  </r>
  <r>
    <x v="8"/>
    <x v="5"/>
    <m/>
  </r>
  <r>
    <x v="8"/>
    <x v="6"/>
    <m/>
  </r>
  <r>
    <x v="8"/>
    <x v="7"/>
    <m/>
  </r>
  <r>
    <x v="8"/>
    <x v="8"/>
    <m/>
  </r>
  <r>
    <x v="8"/>
    <x v="9"/>
    <n v="1"/>
  </r>
  <r>
    <x v="0"/>
    <x v="0"/>
    <n v="500"/>
  </r>
  <r>
    <x v="0"/>
    <x v="1"/>
    <s v="x"/>
  </r>
  <r>
    <x v="0"/>
    <x v="2"/>
    <n v="1"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1"/>
  </r>
  <r>
    <x v="1"/>
    <x v="0"/>
    <n v="500"/>
  </r>
  <r>
    <x v="1"/>
    <x v="1"/>
    <s v="x"/>
  </r>
  <r>
    <x v="1"/>
    <x v="2"/>
    <n v="1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1"/>
  </r>
  <r>
    <x v="9"/>
    <x v="0"/>
    <n v="500"/>
  </r>
  <r>
    <x v="9"/>
    <x v="1"/>
    <s v="x"/>
  </r>
  <r>
    <x v="9"/>
    <x v="2"/>
    <n v="1"/>
  </r>
  <r>
    <x v="9"/>
    <x v="3"/>
    <m/>
  </r>
  <r>
    <x v="9"/>
    <x v="4"/>
    <m/>
  </r>
  <r>
    <x v="9"/>
    <x v="5"/>
    <m/>
  </r>
  <r>
    <x v="9"/>
    <x v="6"/>
    <m/>
  </r>
  <r>
    <x v="9"/>
    <x v="7"/>
    <m/>
  </r>
  <r>
    <x v="9"/>
    <x v="8"/>
    <m/>
  </r>
  <r>
    <x v="9"/>
    <x v="9"/>
    <n v="1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8"/>
    <x v="0"/>
    <n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8"/>
    <x v="0"/>
    <n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3"/>
    <x v="0"/>
    <n v="500"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8"/>
    <x v="0"/>
    <n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1"/>
    <x v="0"/>
    <n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3"/>
    <x v="0"/>
    <n v="500"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3"/>
    <x v="0"/>
    <n v="500"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0"/>
    <x v="0"/>
    <n v="815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0"/>
    <x v="0"/>
    <n v="851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2"/>
    <x v="0"/>
    <n v="500"/>
  </r>
  <r>
    <x v="2"/>
    <x v="1"/>
    <m/>
  </r>
  <r>
    <x v="2"/>
    <x v="2"/>
    <m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0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9"/>
    <x v="0"/>
    <n v="500"/>
  </r>
  <r>
    <x v="9"/>
    <x v="1"/>
    <m/>
  </r>
  <r>
    <x v="9"/>
    <x v="2"/>
    <m/>
  </r>
  <r>
    <x v="9"/>
    <x v="3"/>
    <m/>
  </r>
  <r>
    <x v="9"/>
    <x v="4"/>
    <m/>
  </r>
  <r>
    <x v="9"/>
    <x v="5"/>
    <m/>
  </r>
  <r>
    <x v="9"/>
    <x v="6"/>
    <m/>
  </r>
  <r>
    <x v="9"/>
    <x v="7"/>
    <m/>
  </r>
  <r>
    <x v="9"/>
    <x v="8"/>
    <m/>
  </r>
  <r>
    <x v="9"/>
    <x v="9"/>
    <n v="0"/>
  </r>
  <r>
    <x v="2"/>
    <x v="0"/>
    <n v="500"/>
  </r>
  <r>
    <x v="2"/>
    <x v="1"/>
    <m/>
  </r>
  <r>
    <x v="2"/>
    <x v="2"/>
    <m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2"/>
    <x v="0"/>
    <n v="500"/>
  </r>
  <r>
    <x v="2"/>
    <x v="1"/>
    <m/>
  </r>
  <r>
    <x v="2"/>
    <x v="2"/>
    <m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0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3"/>
    <x v="0"/>
    <n v="500"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2"/>
    <x v="0"/>
    <n v="515"/>
  </r>
  <r>
    <x v="2"/>
    <x v="1"/>
    <m/>
  </r>
  <r>
    <x v="2"/>
    <x v="2"/>
    <m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0"/>
  </r>
  <r>
    <x v="8"/>
    <x v="0"/>
    <n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1"/>
    <x v="0"/>
    <n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n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0"/>
    <x v="0"/>
    <n v="737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0"/>
    <x v="0"/>
    <n v="697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6"/>
    <x v="0"/>
    <s v="500"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8"/>
    <x v="0"/>
    <n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8"/>
    <x v="0"/>
    <n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9"/>
    <x v="0"/>
    <n v="500"/>
  </r>
  <r>
    <x v="9"/>
    <x v="1"/>
    <m/>
  </r>
  <r>
    <x v="9"/>
    <x v="2"/>
    <m/>
  </r>
  <r>
    <x v="9"/>
    <x v="3"/>
    <m/>
  </r>
  <r>
    <x v="9"/>
    <x v="4"/>
    <m/>
  </r>
  <r>
    <x v="9"/>
    <x v="5"/>
    <m/>
  </r>
  <r>
    <x v="9"/>
    <x v="6"/>
    <m/>
  </r>
  <r>
    <x v="9"/>
    <x v="7"/>
    <m/>
  </r>
  <r>
    <x v="9"/>
    <x v="8"/>
    <m/>
  </r>
  <r>
    <x v="9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0"/>
    <x v="0"/>
    <n v="1456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8"/>
    <x v="0"/>
    <n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0"/>
    <x v="0"/>
    <n v="512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3"/>
    <x v="0"/>
    <n v="500"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6"/>
    <x v="0"/>
    <n v="523"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3"/>
    <x v="0"/>
    <n v="500"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10"/>
    <x v="0"/>
    <m/>
  </r>
  <r>
    <x v="10"/>
    <x v="1"/>
    <m/>
  </r>
  <r>
    <x v="10"/>
    <x v="2"/>
    <m/>
  </r>
  <r>
    <x v="10"/>
    <x v="3"/>
    <m/>
  </r>
  <r>
    <x v="10"/>
    <x v="4"/>
    <m/>
  </r>
  <r>
    <x v="10"/>
    <x v="5"/>
    <m/>
  </r>
  <r>
    <x v="10"/>
    <x v="6"/>
    <m/>
  </r>
  <r>
    <x v="10"/>
    <x v="7"/>
    <m/>
  </r>
  <r>
    <x v="10"/>
    <x v="8"/>
    <m/>
  </r>
  <r>
    <x v="10"/>
    <x v="9"/>
    <n v="0"/>
  </r>
  <r>
    <x v="0"/>
    <x v="0"/>
    <m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6"/>
    <x v="0"/>
    <m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4"/>
    <x v="0"/>
    <m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1"/>
    <x v="0"/>
    <m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9"/>
    <x v="0"/>
    <m/>
  </r>
  <r>
    <x v="9"/>
    <x v="1"/>
    <m/>
  </r>
  <r>
    <x v="9"/>
    <x v="2"/>
    <m/>
  </r>
  <r>
    <x v="9"/>
    <x v="3"/>
    <m/>
  </r>
  <r>
    <x v="9"/>
    <x v="4"/>
    <m/>
  </r>
  <r>
    <x v="9"/>
    <x v="5"/>
    <m/>
  </r>
  <r>
    <x v="9"/>
    <x v="6"/>
    <m/>
  </r>
  <r>
    <x v="9"/>
    <x v="7"/>
    <m/>
  </r>
  <r>
    <x v="9"/>
    <x v="8"/>
    <m/>
  </r>
  <r>
    <x v="9"/>
    <x v="9"/>
    <n v="0"/>
  </r>
  <r>
    <x v="3"/>
    <x v="0"/>
    <m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8"/>
    <x v="0"/>
    <m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7"/>
    <x v="0"/>
    <m/>
  </r>
  <r>
    <x v="7"/>
    <x v="1"/>
    <m/>
  </r>
  <r>
    <x v="7"/>
    <x v="2"/>
    <m/>
  </r>
  <r>
    <x v="7"/>
    <x v="3"/>
    <m/>
  </r>
  <r>
    <x v="7"/>
    <x v="4"/>
    <m/>
  </r>
  <r>
    <x v="7"/>
    <x v="5"/>
    <m/>
  </r>
  <r>
    <x v="7"/>
    <x v="6"/>
    <m/>
  </r>
  <r>
    <x v="7"/>
    <x v="7"/>
    <m/>
  </r>
  <r>
    <x v="7"/>
    <x v="8"/>
    <m/>
  </r>
  <r>
    <x v="7"/>
    <x v="9"/>
    <n v="0"/>
  </r>
  <r>
    <x v="2"/>
    <x v="0"/>
    <m/>
  </r>
  <r>
    <x v="2"/>
    <x v="1"/>
    <m/>
  </r>
  <r>
    <x v="2"/>
    <x v="2"/>
    <m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0"/>
  </r>
  <r>
    <x v="5"/>
    <x v="0"/>
    <m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s v="NB DE PARTICIPANTS"/>
  </r>
  <r>
    <x v="11"/>
    <x v="1"/>
    <n v="58"/>
  </r>
  <r>
    <x v="11"/>
    <x v="2"/>
    <m/>
  </r>
  <r>
    <x v="11"/>
    <x v="3"/>
    <n v="39"/>
  </r>
  <r>
    <x v="11"/>
    <x v="4"/>
    <s v=" "/>
  </r>
  <r>
    <x v="11"/>
    <x v="5"/>
    <n v="0"/>
  </r>
  <r>
    <x v="11"/>
    <x v="6"/>
    <m/>
  </r>
  <r>
    <x v="11"/>
    <x v="7"/>
    <n v="0"/>
  </r>
  <r>
    <x v="11"/>
    <x v="8"/>
    <m/>
  </r>
  <r>
    <x v="11"/>
    <x v="9"/>
    <n v="71"/>
  </r>
  <r>
    <x v="8"/>
    <x v="0"/>
    <n v="500"/>
  </r>
  <r>
    <x v="8"/>
    <x v="1"/>
    <s v="x"/>
  </r>
  <r>
    <x v="8"/>
    <x v="2"/>
    <n v="11"/>
  </r>
  <r>
    <x v="8"/>
    <x v="3"/>
    <s v="x"/>
  </r>
  <r>
    <x v="8"/>
    <x v="4"/>
    <n v="7"/>
  </r>
  <r>
    <x v="8"/>
    <x v="5"/>
    <m/>
  </r>
  <r>
    <x v="8"/>
    <x v="6"/>
    <m/>
  </r>
  <r>
    <x v="8"/>
    <x v="7"/>
    <m/>
  </r>
  <r>
    <x v="8"/>
    <x v="8"/>
    <m/>
  </r>
  <r>
    <x v="8"/>
    <x v="9"/>
    <n v="18"/>
  </r>
  <r>
    <x v="4"/>
    <x v="0"/>
    <n v="503"/>
  </r>
  <r>
    <x v="4"/>
    <x v="1"/>
    <s v="x"/>
  </r>
  <r>
    <x v="4"/>
    <x v="2"/>
    <n v="9"/>
  </r>
  <r>
    <x v="4"/>
    <x v="3"/>
    <s v="x"/>
  </r>
  <r>
    <x v="4"/>
    <x v="4"/>
    <n v="9"/>
  </r>
  <r>
    <x v="4"/>
    <x v="5"/>
    <m/>
  </r>
  <r>
    <x v="4"/>
    <x v="6"/>
    <m/>
  </r>
  <r>
    <x v="4"/>
    <x v="7"/>
    <m/>
  </r>
  <r>
    <x v="4"/>
    <x v="8"/>
    <m/>
  </r>
  <r>
    <x v="4"/>
    <x v="9"/>
    <n v="18"/>
  </r>
  <r>
    <x v="2"/>
    <x v="0"/>
    <n v="508"/>
  </r>
  <r>
    <x v="2"/>
    <x v="1"/>
    <s v="x"/>
  </r>
  <r>
    <x v="2"/>
    <x v="2"/>
    <n v="8"/>
  </r>
  <r>
    <x v="2"/>
    <x v="3"/>
    <s v="x"/>
  </r>
  <r>
    <x v="2"/>
    <x v="4"/>
    <n v="6"/>
  </r>
  <r>
    <x v="2"/>
    <x v="5"/>
    <m/>
  </r>
  <r>
    <x v="2"/>
    <x v="6"/>
    <m/>
  </r>
  <r>
    <x v="2"/>
    <x v="7"/>
    <m/>
  </r>
  <r>
    <x v="2"/>
    <x v="8"/>
    <m/>
  </r>
  <r>
    <x v="2"/>
    <x v="9"/>
    <n v="14"/>
  </r>
  <r>
    <x v="0"/>
    <x v="0"/>
    <n v="501"/>
  </r>
  <r>
    <x v="0"/>
    <x v="1"/>
    <s v="x"/>
  </r>
  <r>
    <x v="0"/>
    <x v="2"/>
    <n v="8"/>
  </r>
  <r>
    <x v="0"/>
    <x v="3"/>
    <s v="x"/>
  </r>
  <r>
    <x v="0"/>
    <x v="4"/>
    <n v="5"/>
  </r>
  <r>
    <x v="0"/>
    <x v="5"/>
    <m/>
  </r>
  <r>
    <x v="0"/>
    <x v="6"/>
    <m/>
  </r>
  <r>
    <x v="0"/>
    <x v="7"/>
    <m/>
  </r>
  <r>
    <x v="0"/>
    <x v="8"/>
    <m/>
  </r>
  <r>
    <x v="0"/>
    <x v="9"/>
    <n v="13"/>
  </r>
  <r>
    <x v="2"/>
    <x v="0"/>
    <n v="500"/>
  </r>
  <r>
    <x v="2"/>
    <x v="1"/>
    <s v="x"/>
  </r>
  <r>
    <x v="2"/>
    <x v="2"/>
    <n v="6"/>
  </r>
  <r>
    <x v="2"/>
    <x v="3"/>
    <s v="x"/>
  </r>
  <r>
    <x v="2"/>
    <x v="4"/>
    <n v="6"/>
  </r>
  <r>
    <x v="2"/>
    <x v="5"/>
    <m/>
  </r>
  <r>
    <x v="2"/>
    <x v="6"/>
    <m/>
  </r>
  <r>
    <x v="2"/>
    <x v="7"/>
    <m/>
  </r>
  <r>
    <x v="2"/>
    <x v="8"/>
    <m/>
  </r>
  <r>
    <x v="2"/>
    <x v="9"/>
    <n v="12"/>
  </r>
  <r>
    <x v="0"/>
    <x v="0"/>
    <n v="501"/>
  </r>
  <r>
    <x v="0"/>
    <x v="1"/>
    <s v="x"/>
  </r>
  <r>
    <x v="0"/>
    <x v="2"/>
    <n v="7"/>
  </r>
  <r>
    <x v="0"/>
    <x v="3"/>
    <s v="x"/>
  </r>
  <r>
    <x v="0"/>
    <x v="4"/>
    <n v="5"/>
  </r>
  <r>
    <x v="0"/>
    <x v="5"/>
    <m/>
  </r>
  <r>
    <x v="0"/>
    <x v="6"/>
    <m/>
  </r>
  <r>
    <x v="0"/>
    <x v="7"/>
    <m/>
  </r>
  <r>
    <x v="0"/>
    <x v="8"/>
    <m/>
  </r>
  <r>
    <x v="0"/>
    <x v="9"/>
    <n v="12"/>
  </r>
  <r>
    <x v="2"/>
    <x v="0"/>
    <n v="500"/>
  </r>
  <r>
    <x v="2"/>
    <x v="1"/>
    <s v="x"/>
  </r>
  <r>
    <x v="2"/>
    <x v="2"/>
    <n v="6"/>
  </r>
  <r>
    <x v="2"/>
    <x v="3"/>
    <s v="x"/>
  </r>
  <r>
    <x v="2"/>
    <x v="4"/>
    <n v="5"/>
  </r>
  <r>
    <x v="2"/>
    <x v="5"/>
    <m/>
  </r>
  <r>
    <x v="2"/>
    <x v="6"/>
    <m/>
  </r>
  <r>
    <x v="2"/>
    <x v="7"/>
    <m/>
  </r>
  <r>
    <x v="2"/>
    <x v="8"/>
    <m/>
  </r>
  <r>
    <x v="2"/>
    <x v="9"/>
    <n v="11"/>
  </r>
  <r>
    <x v="6"/>
    <x v="0"/>
    <n v="500"/>
  </r>
  <r>
    <x v="6"/>
    <x v="1"/>
    <s v="x"/>
  </r>
  <r>
    <x v="6"/>
    <x v="2"/>
    <n v="6"/>
  </r>
  <r>
    <x v="6"/>
    <x v="3"/>
    <s v="x"/>
  </r>
  <r>
    <x v="6"/>
    <x v="4"/>
    <n v="5"/>
  </r>
  <r>
    <x v="6"/>
    <x v="5"/>
    <m/>
  </r>
  <r>
    <x v="6"/>
    <x v="6"/>
    <m/>
  </r>
  <r>
    <x v="6"/>
    <x v="7"/>
    <m/>
  </r>
  <r>
    <x v="6"/>
    <x v="8"/>
    <m/>
  </r>
  <r>
    <x v="6"/>
    <x v="9"/>
    <n v="11"/>
  </r>
  <r>
    <x v="0"/>
    <x v="0"/>
    <n v="500"/>
  </r>
  <r>
    <x v="0"/>
    <x v="1"/>
    <s v="x"/>
  </r>
  <r>
    <x v="0"/>
    <x v="2"/>
    <n v="4"/>
  </r>
  <r>
    <x v="0"/>
    <x v="3"/>
    <s v="x"/>
  </r>
  <r>
    <x v="0"/>
    <x v="4"/>
    <n v="5"/>
  </r>
  <r>
    <x v="0"/>
    <x v="5"/>
    <m/>
  </r>
  <r>
    <x v="0"/>
    <x v="6"/>
    <m/>
  </r>
  <r>
    <x v="0"/>
    <x v="7"/>
    <m/>
  </r>
  <r>
    <x v="0"/>
    <x v="8"/>
    <m/>
  </r>
  <r>
    <x v="0"/>
    <x v="9"/>
    <n v="9"/>
  </r>
  <r>
    <x v="6"/>
    <x v="0"/>
    <n v="500"/>
  </r>
  <r>
    <x v="6"/>
    <x v="1"/>
    <s v="x"/>
  </r>
  <r>
    <x v="6"/>
    <x v="2"/>
    <n v="6"/>
  </r>
  <r>
    <x v="6"/>
    <x v="3"/>
    <s v="x"/>
  </r>
  <r>
    <x v="6"/>
    <x v="4"/>
    <n v="3"/>
  </r>
  <r>
    <x v="6"/>
    <x v="5"/>
    <m/>
  </r>
  <r>
    <x v="6"/>
    <x v="6"/>
    <m/>
  </r>
  <r>
    <x v="6"/>
    <x v="7"/>
    <m/>
  </r>
  <r>
    <x v="6"/>
    <x v="8"/>
    <m/>
  </r>
  <r>
    <x v="6"/>
    <x v="9"/>
    <n v="9"/>
  </r>
  <r>
    <x v="3"/>
    <x v="0"/>
    <n v="500"/>
  </r>
  <r>
    <x v="3"/>
    <x v="1"/>
    <s v="x"/>
  </r>
  <r>
    <x v="3"/>
    <x v="2"/>
    <n v="7"/>
  </r>
  <r>
    <x v="3"/>
    <x v="3"/>
    <s v="x"/>
  </r>
  <r>
    <x v="3"/>
    <x v="4"/>
    <n v="2"/>
  </r>
  <r>
    <x v="3"/>
    <x v="5"/>
    <m/>
  </r>
  <r>
    <x v="3"/>
    <x v="6"/>
    <m/>
  </r>
  <r>
    <x v="3"/>
    <x v="7"/>
    <m/>
  </r>
  <r>
    <x v="3"/>
    <x v="8"/>
    <m/>
  </r>
  <r>
    <x v="3"/>
    <x v="9"/>
    <n v="9"/>
  </r>
  <r>
    <x v="0"/>
    <x v="0"/>
    <n v="500"/>
  </r>
  <r>
    <x v="0"/>
    <x v="1"/>
    <s v="x"/>
  </r>
  <r>
    <x v="0"/>
    <x v="2"/>
    <n v="6"/>
  </r>
  <r>
    <x v="0"/>
    <x v="3"/>
    <s v="x"/>
  </r>
  <r>
    <x v="0"/>
    <x v="4"/>
    <n v="1"/>
  </r>
  <r>
    <x v="0"/>
    <x v="5"/>
    <m/>
  </r>
  <r>
    <x v="0"/>
    <x v="6"/>
    <m/>
  </r>
  <r>
    <x v="0"/>
    <x v="7"/>
    <m/>
  </r>
  <r>
    <x v="0"/>
    <x v="8"/>
    <m/>
  </r>
  <r>
    <x v="0"/>
    <x v="9"/>
    <n v="7"/>
  </r>
  <r>
    <x v="8"/>
    <x v="0"/>
    <n v="500"/>
  </r>
  <r>
    <x v="8"/>
    <x v="1"/>
    <s v="x"/>
  </r>
  <r>
    <x v="8"/>
    <x v="2"/>
    <n v="7"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7"/>
  </r>
  <r>
    <x v="8"/>
    <x v="0"/>
    <n v="500"/>
  </r>
  <r>
    <x v="8"/>
    <x v="1"/>
    <s v="x"/>
  </r>
  <r>
    <x v="8"/>
    <x v="2"/>
    <n v="7"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7"/>
  </r>
  <r>
    <x v="0"/>
    <x v="0"/>
    <n v="500"/>
  </r>
  <r>
    <x v="0"/>
    <x v="1"/>
    <s v="x"/>
  </r>
  <r>
    <x v="0"/>
    <x v="2"/>
    <n v="6"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6"/>
  </r>
  <r>
    <x v="0"/>
    <x v="0"/>
    <n v="501"/>
  </r>
  <r>
    <x v="0"/>
    <x v="1"/>
    <s v="x"/>
  </r>
  <r>
    <x v="0"/>
    <x v="2"/>
    <n v="6"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6"/>
  </r>
  <r>
    <x v="3"/>
    <x v="0"/>
    <n v="500"/>
  </r>
  <r>
    <x v="3"/>
    <x v="1"/>
    <s v="x"/>
  </r>
  <r>
    <x v="3"/>
    <x v="2"/>
    <n v="6"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6"/>
  </r>
  <r>
    <x v="7"/>
    <x v="0"/>
    <n v="500"/>
  </r>
  <r>
    <x v="7"/>
    <x v="1"/>
    <s v="x"/>
  </r>
  <r>
    <x v="7"/>
    <x v="2"/>
    <n v="3"/>
  </r>
  <r>
    <x v="7"/>
    <x v="3"/>
    <s v="x"/>
  </r>
  <r>
    <x v="7"/>
    <x v="4"/>
    <n v="1"/>
  </r>
  <r>
    <x v="7"/>
    <x v="5"/>
    <m/>
  </r>
  <r>
    <x v="7"/>
    <x v="6"/>
    <m/>
  </r>
  <r>
    <x v="7"/>
    <x v="7"/>
    <m/>
  </r>
  <r>
    <x v="7"/>
    <x v="8"/>
    <m/>
  </r>
  <r>
    <x v="7"/>
    <x v="9"/>
    <n v="4"/>
  </r>
  <r>
    <x v="6"/>
    <x v="0"/>
    <n v="500"/>
  </r>
  <r>
    <x v="6"/>
    <x v="1"/>
    <s v="x"/>
  </r>
  <r>
    <x v="6"/>
    <x v="2"/>
    <n v="3"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3"/>
  </r>
  <r>
    <x v="3"/>
    <x v="0"/>
    <n v="500"/>
  </r>
  <r>
    <x v="3"/>
    <x v="1"/>
    <s v="x"/>
  </r>
  <r>
    <x v="3"/>
    <x v="2"/>
    <n v="1"/>
  </r>
  <r>
    <x v="3"/>
    <x v="3"/>
    <s v="x"/>
  </r>
  <r>
    <x v="3"/>
    <x v="4"/>
    <n v="2"/>
  </r>
  <r>
    <x v="3"/>
    <x v="5"/>
    <m/>
  </r>
  <r>
    <x v="3"/>
    <x v="6"/>
    <m/>
  </r>
  <r>
    <x v="3"/>
    <x v="7"/>
    <m/>
  </r>
  <r>
    <x v="3"/>
    <x v="8"/>
    <m/>
  </r>
  <r>
    <x v="3"/>
    <x v="9"/>
    <n v="3"/>
  </r>
  <r>
    <x v="1"/>
    <x v="0"/>
    <n v="500"/>
  </r>
  <r>
    <x v="1"/>
    <x v="1"/>
    <s v="x"/>
  </r>
  <r>
    <x v="1"/>
    <x v="2"/>
    <n v="2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2"/>
  </r>
  <r>
    <x v="0"/>
    <x v="0"/>
    <n v="500"/>
  </r>
  <r>
    <x v="0"/>
    <x v="1"/>
    <s v="x"/>
  </r>
  <r>
    <x v="0"/>
    <x v="2"/>
    <n v="2"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2"/>
  </r>
  <r>
    <x v="3"/>
    <x v="0"/>
    <n v="500"/>
  </r>
  <r>
    <x v="3"/>
    <x v="1"/>
    <s v="x"/>
  </r>
  <r>
    <x v="3"/>
    <x v="2"/>
    <n v="1"/>
  </r>
  <r>
    <x v="3"/>
    <x v="3"/>
    <s v="x"/>
  </r>
  <r>
    <x v="3"/>
    <x v="4"/>
    <n v="1"/>
  </r>
  <r>
    <x v="3"/>
    <x v="5"/>
    <m/>
  </r>
  <r>
    <x v="3"/>
    <x v="6"/>
    <m/>
  </r>
  <r>
    <x v="3"/>
    <x v="7"/>
    <m/>
  </r>
  <r>
    <x v="3"/>
    <x v="8"/>
    <m/>
  </r>
  <r>
    <x v="3"/>
    <x v="9"/>
    <n v="2"/>
  </r>
  <r>
    <x v="7"/>
    <x v="0"/>
    <n v="500"/>
  </r>
  <r>
    <x v="7"/>
    <x v="1"/>
    <s v="x"/>
  </r>
  <r>
    <x v="7"/>
    <x v="2"/>
    <n v="2"/>
  </r>
  <r>
    <x v="7"/>
    <x v="3"/>
    <m/>
  </r>
  <r>
    <x v="7"/>
    <x v="4"/>
    <m/>
  </r>
  <r>
    <x v="7"/>
    <x v="5"/>
    <m/>
  </r>
  <r>
    <x v="7"/>
    <x v="6"/>
    <m/>
  </r>
  <r>
    <x v="7"/>
    <x v="7"/>
    <m/>
  </r>
  <r>
    <x v="7"/>
    <x v="8"/>
    <m/>
  </r>
  <r>
    <x v="7"/>
    <x v="9"/>
    <n v="2"/>
  </r>
  <r>
    <x v="3"/>
    <x v="0"/>
    <n v="500"/>
  </r>
  <r>
    <x v="3"/>
    <x v="1"/>
    <s v="x"/>
  </r>
  <r>
    <x v="3"/>
    <x v="2"/>
    <n v="2"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2"/>
  </r>
  <r>
    <x v="1"/>
    <x v="0"/>
    <n v="500"/>
  </r>
  <r>
    <x v="1"/>
    <x v="1"/>
    <s v="x"/>
  </r>
  <r>
    <x v="1"/>
    <x v="2"/>
    <n v="1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1"/>
  </r>
  <r>
    <x v="6"/>
    <x v="0"/>
    <n v="500"/>
  </r>
  <r>
    <x v="6"/>
    <x v="1"/>
    <s v="x"/>
  </r>
  <r>
    <x v="6"/>
    <x v="2"/>
    <n v="1"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1"/>
  </r>
  <r>
    <x v="9"/>
    <x v="0"/>
    <n v="500"/>
  </r>
  <r>
    <x v="9"/>
    <x v="1"/>
    <s v="x"/>
  </r>
  <r>
    <x v="9"/>
    <x v="2"/>
    <n v="1"/>
  </r>
  <r>
    <x v="9"/>
    <x v="3"/>
    <m/>
  </r>
  <r>
    <x v="9"/>
    <x v="4"/>
    <m/>
  </r>
  <r>
    <x v="9"/>
    <x v="5"/>
    <m/>
  </r>
  <r>
    <x v="9"/>
    <x v="6"/>
    <m/>
  </r>
  <r>
    <x v="9"/>
    <x v="7"/>
    <m/>
  </r>
  <r>
    <x v="9"/>
    <x v="8"/>
    <m/>
  </r>
  <r>
    <x v="9"/>
    <x v="9"/>
    <n v="1"/>
  </r>
  <r>
    <x v="0"/>
    <x v="0"/>
    <n v="500"/>
  </r>
  <r>
    <x v="0"/>
    <x v="1"/>
    <s v="x"/>
  </r>
  <r>
    <x v="0"/>
    <x v="2"/>
    <s v="x"/>
  </r>
  <r>
    <x v="0"/>
    <x v="3"/>
    <s v="x"/>
  </r>
  <r>
    <x v="0"/>
    <x v="4"/>
    <n v="1"/>
  </r>
  <r>
    <x v="0"/>
    <x v="5"/>
    <m/>
  </r>
  <r>
    <x v="0"/>
    <x v="6"/>
    <m/>
  </r>
  <r>
    <x v="0"/>
    <x v="7"/>
    <m/>
  </r>
  <r>
    <x v="0"/>
    <x v="8"/>
    <m/>
  </r>
  <r>
    <x v="0"/>
    <x v="9"/>
    <n v="1"/>
  </r>
  <r>
    <x v="0"/>
    <x v="0"/>
    <n v="500"/>
  </r>
  <r>
    <x v="0"/>
    <x v="1"/>
    <s v="x"/>
  </r>
  <r>
    <x v="0"/>
    <x v="2"/>
    <n v="1"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1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6"/>
    <x v="0"/>
    <s v="500"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3"/>
    <x v="0"/>
    <n v="500"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6"/>
    <x v="0"/>
    <s v="500"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3"/>
    <x v="0"/>
    <n v="500"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3"/>
    <x v="0"/>
    <n v="500"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6"/>
    <x v="0"/>
    <s v="500"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6"/>
    <x v="0"/>
    <s v="500"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9"/>
    <x v="0"/>
    <n v="500"/>
  </r>
  <r>
    <x v="9"/>
    <x v="1"/>
    <m/>
  </r>
  <r>
    <x v="9"/>
    <x v="2"/>
    <m/>
  </r>
  <r>
    <x v="9"/>
    <x v="3"/>
    <m/>
  </r>
  <r>
    <x v="9"/>
    <x v="4"/>
    <m/>
  </r>
  <r>
    <x v="9"/>
    <x v="5"/>
    <m/>
  </r>
  <r>
    <x v="9"/>
    <x v="6"/>
    <m/>
  </r>
  <r>
    <x v="9"/>
    <x v="7"/>
    <m/>
  </r>
  <r>
    <x v="9"/>
    <x v="8"/>
    <m/>
  </r>
  <r>
    <x v="9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0"/>
    <x v="0"/>
    <m/>
  </r>
  <r>
    <x v="10"/>
    <x v="1"/>
    <m/>
  </r>
  <r>
    <x v="10"/>
    <x v="2"/>
    <m/>
  </r>
  <r>
    <x v="10"/>
    <x v="3"/>
    <m/>
  </r>
  <r>
    <x v="10"/>
    <x v="4"/>
    <m/>
  </r>
  <r>
    <x v="10"/>
    <x v="5"/>
    <m/>
  </r>
  <r>
    <x v="10"/>
    <x v="6"/>
    <m/>
  </r>
  <r>
    <x v="10"/>
    <x v="7"/>
    <m/>
  </r>
  <r>
    <x v="10"/>
    <x v="8"/>
    <m/>
  </r>
  <r>
    <x v="10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s v="NB DE PARTICIPANTS"/>
  </r>
  <r>
    <x v="11"/>
    <x v="1"/>
    <n v="30"/>
  </r>
  <r>
    <x v="11"/>
    <x v="2"/>
    <m/>
  </r>
  <r>
    <x v="11"/>
    <x v="3"/>
    <n v="16"/>
  </r>
  <r>
    <x v="11"/>
    <x v="4"/>
    <s v=" "/>
  </r>
  <r>
    <x v="11"/>
    <x v="5"/>
    <n v="0"/>
  </r>
  <r>
    <x v="11"/>
    <x v="6"/>
    <m/>
  </r>
  <r>
    <x v="11"/>
    <x v="7"/>
    <n v="0"/>
  </r>
  <r>
    <x v="11"/>
    <x v="8"/>
    <m/>
  </r>
  <r>
    <x v="11"/>
    <x v="9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4000000}" name="Tableau croisé dynamique14" cacheId="7" autoFormatId="4112" applyNumberFormats="1" applyBorderFormats="1" applyFontFormats="1" applyPatternFormats="1" applyAlignmentFormats="1" applyWidthHeightFormats="1" dataCaption="Données" updatedVersion="8" minRefreshableVersion="3" showMultipleLabel="0" showMemberPropertyTips="0" useAutoFormatting="1" itemPrintTitles="1" createdVersion="3" indent="0" compact="0" compactData="0" gridDropZones="1">
  <location ref="H62:M75" firstHeaderRow="1" firstDataRow="2" firstDataCol="1"/>
  <pivotFields count="4">
    <pivotField name="Club" axis="axisRow" compact="0" outline="0" subtotalTop="0" showAll="0" includeNewItemsInFilter="1" sortType="ascending">
      <items count="20">
        <item x="3"/>
        <item x="2"/>
        <item x="4"/>
        <item m="1" x="14"/>
        <item x="5"/>
        <item x="6"/>
        <item h="1" x="1"/>
        <item x="7"/>
        <item x="8"/>
        <item h="1" f="1" x="18"/>
        <item m="1" x="13"/>
        <item m="1" x="15"/>
        <item m="1" x="16"/>
        <item x="9"/>
        <item x="10"/>
        <item x="11"/>
        <item x="12"/>
        <item m="1" x="17"/>
        <item h="1" x="0"/>
        <item t="default"/>
      </items>
    </pivotField>
    <pivotField name="Tour" axis="axisCol" compact="0" outline="0" subtotalTop="0" showAll="0" includeNewItemsInFilter="1">
      <items count="10">
        <item m="1" x="8"/>
        <item h="1" m="1" x="7"/>
        <item h="1" m="1" x="5"/>
        <item h="1" m="1" x="6"/>
        <item h="1" x="0"/>
        <item x="1"/>
        <item x="2"/>
        <item x="3"/>
        <item x="4"/>
        <item t="default"/>
      </items>
    </pivotField>
    <pivotField dataField="1" compact="0" outline="0" subtotalTop="0" showAll="0" includeNewItemsInFilter="1"/>
    <pivotField compact="0" outline="0" subtotalTop="0" showAll="0" includeNewItemsInFilter="1"/>
  </pivotFields>
  <rowFields count="1">
    <field x="0"/>
  </rowFields>
  <rowItems count="12">
    <i>
      <x/>
    </i>
    <i>
      <x v="1"/>
    </i>
    <i>
      <x v="2"/>
    </i>
    <i>
      <x v="4"/>
    </i>
    <i>
      <x v="5"/>
    </i>
    <i>
      <x v="7"/>
    </i>
    <i>
      <x v="8"/>
    </i>
    <i>
      <x v="13"/>
    </i>
    <i>
      <x v="14"/>
    </i>
    <i>
      <x v="15"/>
    </i>
    <i>
      <x v="16"/>
    </i>
    <i t="grand">
      <x/>
    </i>
  </rowItems>
  <colFields count="1">
    <field x="1"/>
  </colFields>
  <colItems count="5">
    <i>
      <x v="5"/>
    </i>
    <i>
      <x v="6"/>
    </i>
    <i>
      <x v="7"/>
    </i>
    <i>
      <x v="8"/>
    </i>
    <i t="grand">
      <x/>
    </i>
  </colItems>
  <dataFields count="1">
    <dataField name=" " fld="2" subtotal="count" baseField="0" baseItem="0"/>
  </dataFields>
  <formats count="6">
    <format dxfId="355">
      <pivotArea outline="0" fieldPosition="0">
        <references count="1">
          <reference field="0" count="0" selected="0"/>
        </references>
      </pivotArea>
    </format>
    <format dxfId="354">
      <pivotArea dataOnly="0" labelOnly="1" grandCol="1" outline="0" fieldPosition="0"/>
    </format>
    <format dxfId="353">
      <pivotArea outline="0" fieldPosition="0">
        <references count="2">
          <reference field="0" count="0" selected="0"/>
          <reference field="1" count="0" selected="0"/>
        </references>
      </pivotArea>
    </format>
    <format dxfId="352">
      <pivotArea dataOnly="0" labelOnly="1" outline="0" fieldPosition="0">
        <references count="1">
          <reference field="0" count="0"/>
        </references>
      </pivotArea>
    </format>
    <format dxfId="351">
      <pivotArea outline="0" fieldPosition="0">
        <references count="1">
          <reference field="0" count="1" selected="0">
            <x v="5"/>
          </reference>
        </references>
      </pivotArea>
    </format>
    <format dxfId="350">
      <pivotArea dataOnly="0" outline="0" fieldPosition="0">
        <references count="1">
          <reference field="0" count="1">
            <x v="5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9000000}" name="Tableau croisé dynamique9" cacheId="4" applyNumberFormats="0" applyBorderFormats="0" applyFontFormats="0" applyPatternFormats="0" applyAlignmentFormats="0" applyWidthHeightFormats="1" dataCaption="Valeurs" updatedVersion="8" minRefreshableVersion="3" showCalcMbrs="0" useAutoFormatting="1" itemPrintTitles="1" createdVersion="3" indent="0" outline="1" outlineData="1" multipleFieldFilters="0" rowHeaderCaption="Club" colHeaderCaption="">
  <location ref="O5:T18" firstHeaderRow="1" firstDataRow="2" firstDataCol="1"/>
  <pivotFields count="4">
    <pivotField axis="axisRow" showAll="0" sortType="ascending">
      <items count="15">
        <item x="3"/>
        <item x="10"/>
        <item x="4"/>
        <item h="1" m="1" x="13"/>
        <item x="1"/>
        <item x="7"/>
        <item x="8"/>
        <item x="5"/>
        <item h="1" m="1" x="12"/>
        <item x="0"/>
        <item x="6"/>
        <item x="2"/>
        <item x="9"/>
        <item h="1" x="11"/>
        <item t="default"/>
      </items>
    </pivotField>
    <pivotField axis="axisCol" showAll="0">
      <items count="13">
        <item h="1" x="0"/>
        <item x="2"/>
        <item x="4"/>
        <item x="6"/>
        <item x="8"/>
        <item h="1" m="1" x="11"/>
        <item h="1" x="9"/>
        <item h="1" m="1" x="10"/>
        <item h="1" x="1"/>
        <item h="1" x="3"/>
        <item h="1" x="5"/>
        <item h="1" x="7"/>
        <item t="default"/>
      </items>
    </pivotField>
    <pivotField dataField="1" showAll="0"/>
    <pivotField showAll="0"/>
  </pivotFields>
  <rowFields count="1">
    <field x="0"/>
  </rowFields>
  <rowItems count="12">
    <i>
      <x/>
    </i>
    <i>
      <x v="1"/>
    </i>
    <i>
      <x v="2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5">
    <i>
      <x v="1"/>
    </i>
    <i>
      <x v="2"/>
    </i>
    <i>
      <x v="3"/>
    </i>
    <i>
      <x v="4"/>
    </i>
    <i t="grand">
      <x/>
    </i>
  </colItems>
  <dataFields count="1">
    <dataField name="Poussins" fld="2" baseField="0" baseItem="0"/>
  </dataFields>
  <formats count="15">
    <format dxfId="370">
      <pivotArea type="all" dataOnly="0" outline="0" fieldPosition="0"/>
    </format>
    <format dxfId="369">
      <pivotArea dataOnly="0" labelOnly="1" fieldPosition="0">
        <references count="1">
          <reference field="0" count="0"/>
        </references>
      </pivotArea>
    </format>
    <format dxfId="368">
      <pivotArea field="0" type="button" dataOnly="0" labelOnly="1" outline="0" axis="axisRow" fieldPosition="0"/>
    </format>
    <format dxfId="367">
      <pivotArea dataOnly="0" labelOnly="1" fieldPosition="0">
        <references count="1">
          <reference field="1" count="0"/>
        </references>
      </pivotArea>
    </format>
    <format dxfId="366">
      <pivotArea dataOnly="0" labelOnly="1" grandCol="1" outline="0" fieldPosition="0"/>
    </format>
    <format dxfId="365">
      <pivotArea collapsedLevelsAreSubtotals="1" fieldPosition="0">
        <references count="1">
          <reference field="0" count="0"/>
        </references>
      </pivotArea>
    </format>
    <format dxfId="364">
      <pivotArea type="origin" dataOnly="0" labelOnly="1" outline="0" fieldPosition="0"/>
    </format>
    <format dxfId="363">
      <pivotArea field="1" type="button" dataOnly="0" labelOnly="1" outline="0" axis="axisCol" fieldPosition="0"/>
    </format>
    <format dxfId="362">
      <pivotArea type="topRight" dataOnly="0" labelOnly="1" outline="0" fieldPosition="0"/>
    </format>
    <format dxfId="361">
      <pivotArea grandCol="1" outline="0" collapsedLevelsAreSubtotals="1" fieldPosition="0"/>
    </format>
    <format dxfId="360">
      <pivotArea dataOnly="0" labelOnly="1" grandCol="1" outline="0" fieldPosition="0"/>
    </format>
    <format dxfId="359">
      <pivotArea grandCol="1" outline="0" collapsedLevelsAreSubtotals="1" fieldPosition="0"/>
    </format>
    <format dxfId="358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357">
      <pivotArea field="1" type="button" dataOnly="0" labelOnly="1" outline="0" axis="axisCol" fieldPosition="0"/>
    </format>
    <format dxfId="356">
      <pivotArea dataOnly="0" labelOnly="1" fieldPosition="0">
        <references count="1">
          <reference field="1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410D52-3631-4A60-9441-30641AADD58B}" name="Tableau croisé dynamique1" cacheId="8" autoFormatId="4112" applyNumberFormats="1" applyBorderFormats="1" applyFontFormats="1" applyPatternFormats="1" applyAlignmentFormats="1" applyWidthHeightFormats="1" dataCaption="Données" updatedVersion="8" minRefreshableVersion="3" asteriskTotals="1" showMultipleLabel="0" showMemberPropertyTips="0" useAutoFormatting="1" itemPrintTitles="1" createdVersion="3" indent="0" compact="0" compactData="0" gridDropZones="1">
  <location ref="O62:T75" firstHeaderRow="1" firstDataRow="2" firstDataCol="1"/>
  <pivotFields count="4">
    <pivotField name="Club" axis="axisRow" compact="0" outline="0" subtotalTop="0" showAll="0" includeNewItemsInFilter="1" sortType="ascending">
      <items count="20">
        <item x="3"/>
        <item x="11"/>
        <item x="9"/>
        <item m="1" x="13"/>
        <item x="6"/>
        <item x="8"/>
        <item h="1" x="1"/>
        <item x="12"/>
        <item x="10"/>
        <item h="1" f="1" x="18"/>
        <item h="1" f="1" x="17"/>
        <item m="1" x="14"/>
        <item m="1" x="15"/>
        <item x="5"/>
        <item x="4"/>
        <item x="2"/>
        <item x="7"/>
        <item m="1" x="16"/>
        <item h="1" x="0"/>
        <item t="default"/>
      </items>
    </pivotField>
    <pivotField name="Tour" axis="axisCol" compact="0" outline="0" subtotalTop="0" showAll="0" includeNewItemsInFilter="1">
      <items count="10">
        <item m="1" x="8"/>
        <item h="1" m="1" x="7"/>
        <item h="1" m="1" x="5"/>
        <item h="1" m="1" x="6"/>
        <item h="1" x="0"/>
        <item x="1"/>
        <item x="2"/>
        <item x="3"/>
        <item x="4"/>
        <item t="default"/>
      </items>
    </pivotField>
    <pivotField dataField="1" compact="0" outline="0" subtotalTop="0" showAll="0" includeNewItemsInFilter="1"/>
    <pivotField compact="0" outline="0" subtotalTop="0" showAll="0" includeNewItemsInFilter="1"/>
  </pivotFields>
  <rowFields count="1">
    <field x="0"/>
  </rowFields>
  <rowItems count="12">
    <i>
      <x/>
    </i>
    <i>
      <x v="1"/>
    </i>
    <i>
      <x v="2"/>
    </i>
    <i>
      <x v="4"/>
    </i>
    <i>
      <x v="5"/>
    </i>
    <i>
      <x v="7"/>
    </i>
    <i>
      <x v="8"/>
    </i>
    <i>
      <x v="13"/>
    </i>
    <i>
      <x v="14"/>
    </i>
    <i>
      <x v="15"/>
    </i>
    <i>
      <x v="16"/>
    </i>
    <i t="grand">
      <x/>
    </i>
  </rowItems>
  <colFields count="1">
    <field x="1"/>
  </colFields>
  <colItems count="5">
    <i>
      <x v="5"/>
    </i>
    <i>
      <x v="6"/>
    </i>
    <i>
      <x v="7"/>
    </i>
    <i>
      <x v="8"/>
    </i>
    <i t="grand">
      <x/>
    </i>
  </colItems>
  <dataFields count="1">
    <dataField name=" " fld="2" subtotal="count" baseField="0" baseItem="0"/>
  </dataFields>
  <formats count="6">
    <format dxfId="376">
      <pivotArea outline="0" fieldPosition="0">
        <references count="1">
          <reference field="0" count="0" selected="0"/>
        </references>
      </pivotArea>
    </format>
    <format dxfId="375">
      <pivotArea dataOnly="0" grandCol="1" outline="0" fieldPosition="0"/>
    </format>
    <format dxfId="374">
      <pivotArea outline="0" fieldPosition="0">
        <references count="1">
          <reference field="0" count="1" selected="0">
            <x v="5"/>
          </reference>
        </references>
      </pivotArea>
    </format>
    <format dxfId="373">
      <pivotArea outline="0" fieldPosition="0">
        <references count="1">
          <reference field="0" count="1" selected="0">
            <x v="5"/>
          </reference>
        </references>
      </pivotArea>
    </format>
    <format dxfId="372">
      <pivotArea dataOnly="0" labelOnly="1" outline="0" fieldPosition="0">
        <references count="1">
          <reference field="0" count="0"/>
        </references>
      </pivotArea>
    </format>
    <format dxfId="371">
      <pivotArea dataOnly="0" outline="0" fieldPosition="0">
        <references count="1">
          <reference field="0" count="1">
            <x v="5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leau croisé dynamique4" cacheId="0" autoFormatId="4112" applyNumberFormats="1" applyBorderFormats="1" applyFontFormats="1" applyPatternFormats="1" applyAlignmentFormats="1" applyWidthHeightFormats="1" dataCaption="Données" updatedVersion="8" minRefreshableVersion="3" showMultipleLabel="0" showMemberPropertyTips="0" useAutoFormatting="1" itemPrintTitles="1" createdVersion="3" indent="0" compact="0" compactData="0" gridDropZones="1">
  <location ref="A5:F18" firstHeaderRow="1" firstDataRow="2" firstDataCol="1"/>
  <pivotFields count="4">
    <pivotField name="Club" axis="axisRow" compact="0" outline="0" subtotalTop="0" showAll="0" includeNewItemsInFilter="1" sortType="ascending">
      <items count="17">
        <item x="0"/>
        <item x="10"/>
        <item x="6"/>
        <item m="1" x="13"/>
        <item x="4"/>
        <item x="1"/>
        <item x="9"/>
        <item x="3"/>
        <item m="1" x="12"/>
        <item m="1" x="14"/>
        <item x="8"/>
        <item x="7"/>
        <item x="2"/>
        <item x="5"/>
        <item h="1" m="1" x="15"/>
        <item h="1" x="11"/>
        <item t="default"/>
      </items>
    </pivotField>
    <pivotField name="Tour" axis="axisCol" compact="0" outline="0" subtotalTop="0" showAll="0" includeNewItemsInFilter="1">
      <items count="13">
        <item x="2"/>
        <item x="4"/>
        <item x="6"/>
        <item x="8"/>
        <item h="1" m="1" x="11"/>
        <item h="1" m="1" x="9"/>
        <item h="1" x="0"/>
        <item h="1" m="1" x="10"/>
        <item h="1" x="1"/>
        <item h="1" x="3"/>
        <item h="1" x="5"/>
        <item h="1" x="7"/>
        <item t="default"/>
      </items>
    </pivotField>
    <pivotField dataField="1" compact="0" outline="0" subtotalTop="0" showAll="0" includeNewItemsInFilter="1"/>
    <pivotField compact="0" outline="0" subtotalTop="0" showAll="0" includeNewItemsInFilter="1"/>
  </pivotFields>
  <rowFields count="1">
    <field x="0"/>
  </rowFields>
  <rowItems count="12">
    <i>
      <x/>
    </i>
    <i>
      <x v="1"/>
    </i>
    <i>
      <x v="2"/>
    </i>
    <i>
      <x v="4"/>
    </i>
    <i>
      <x v="5"/>
    </i>
    <i>
      <x v="6"/>
    </i>
    <i>
      <x v="7"/>
    </i>
    <i>
      <x v="10"/>
    </i>
    <i>
      <x v="11"/>
    </i>
    <i>
      <x v="12"/>
    </i>
    <i>
      <x v="1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 " fld="2" baseField="0" baseItem="0"/>
  </dataFields>
  <formats count="6">
    <format dxfId="382">
      <pivotArea dataOnly="0" labelOnly="1" grandCol="1" outline="0" fieldPosition="0"/>
    </format>
    <format dxfId="381">
      <pivotArea outline="0" fieldPosition="0">
        <references count="1">
          <reference field="0" count="0" selected="0"/>
        </references>
      </pivotArea>
    </format>
    <format dxfId="380">
      <pivotArea field="0" grandCol="1" outline="0" axis="axisRow" fieldPosition="0">
        <references count="1">
          <reference field="0" count="0" selected="0"/>
        </references>
      </pivotArea>
    </format>
    <format dxfId="379">
      <pivotArea outline="0" fieldPosition="0">
        <references count="2">
          <reference field="0" count="0" selected="0"/>
          <reference field="1" count="0" selected="0"/>
        </references>
      </pivotArea>
    </format>
    <format dxfId="378">
      <pivotArea dataOnly="0" outline="0" fieldPosition="0">
        <references count="1">
          <reference field="0" count="1">
            <x v="5"/>
          </reference>
        </references>
      </pivotArea>
    </format>
    <format dxfId="377">
      <pivotArea dataOnly="0" labelOnly="1" outline="0" fieldPosition="0">
        <references count="1">
          <reference field="0" count="0"/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Tableau croisé dynamique6" cacheId="3" autoFormatId="4112" applyNumberFormats="1" applyBorderFormats="1" applyFontFormats="1" applyPatternFormats="1" applyAlignmentFormats="1" applyWidthHeightFormats="1" dataCaption="Données" updatedVersion="8" minRefreshableVersion="3" showMultipleLabel="0" showMemberPropertyTips="0" useAutoFormatting="1" itemPrintTitles="1" createdVersion="3" indent="0" compact="0" compactData="0" gridDropZones="1">
  <location ref="H23:M36" firstHeaderRow="1" firstDataRow="2" firstDataCol="1"/>
  <pivotFields count="4">
    <pivotField name="Club" axis="axisRow" compact="0" outline="0" subtotalTop="0" showAll="0" includeNewItemsInFilter="1" sortType="ascending">
      <items count="20">
        <item x="1"/>
        <item x="0"/>
        <item x="2"/>
        <item m="1" x="13"/>
        <item x="3"/>
        <item x="4"/>
        <item h="1" m="1" x="18"/>
        <item x="5"/>
        <item x="6"/>
        <item m="1" x="12"/>
        <item h="1" m="1" x="14"/>
        <item h="1" m="1" x="16"/>
        <item h="1" m="1" x="15"/>
        <item x="7"/>
        <item x="8"/>
        <item x="9"/>
        <item x="10"/>
        <item h="1" m="1" x="17"/>
        <item h="1" x="11"/>
        <item t="default"/>
      </items>
    </pivotField>
    <pivotField name="Tour" axis="axisCol" compact="0" outline="0" subtotalTop="0" showAll="0" includeNewItemsInFilter="1">
      <items count="17">
        <item x="2"/>
        <item x="4"/>
        <item x="6"/>
        <item x="8"/>
        <item h="1" m="1" x="15"/>
        <item h="1" m="1" x="10"/>
        <item h="1" m="1" x="9"/>
        <item h="1" m="1" x="13"/>
        <item h="1" m="1" x="14"/>
        <item h="1" m="1" x="11"/>
        <item h="1" m="1" x="12"/>
        <item h="1" x="1"/>
        <item h="1" x="3"/>
        <item h="1" x="5"/>
        <item h="1" x="7"/>
        <item h="1" x="0"/>
        <item t="default"/>
      </items>
    </pivotField>
    <pivotField dataField="1" compact="0" outline="0" subtotalTop="0" showAll="0" includeNewItemsInFilter="1"/>
    <pivotField compact="0" outline="0" subtotalTop="0" showAll="0" includeNewItemsInFilter="1"/>
  </pivotFields>
  <rowFields count="1">
    <field x="0"/>
  </rowFields>
  <rowItems count="12">
    <i>
      <x/>
    </i>
    <i>
      <x v="1"/>
    </i>
    <i>
      <x v="2"/>
    </i>
    <i>
      <x v="4"/>
    </i>
    <i>
      <x v="5"/>
    </i>
    <i>
      <x v="7"/>
    </i>
    <i>
      <x v="8"/>
    </i>
    <i>
      <x v="13"/>
    </i>
    <i>
      <x v="14"/>
    </i>
    <i>
      <x v="15"/>
    </i>
    <i>
      <x v="1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 " fld="2" baseField="0" baseItem="0"/>
  </dataFields>
  <formats count="15">
    <format dxfId="397">
      <pivotArea outline="0" fieldPosition="0"/>
    </format>
    <format dxfId="396">
      <pivotArea field="0" type="button" dataOnly="0" labelOnly="1" outline="0" axis="axisRow" fieldPosition="0"/>
    </format>
    <format dxfId="395">
      <pivotArea dataOnly="0" labelOnly="1" grandRow="1" outline="0" fieldPosition="0"/>
    </format>
    <format dxfId="394">
      <pivotArea dataOnly="0" labelOnly="1" outline="0" fieldPosition="0">
        <references count="1">
          <reference field="1" count="1">
            <x v="0"/>
          </reference>
        </references>
      </pivotArea>
    </format>
    <format dxfId="393">
      <pivotArea dataOnly="0" labelOnly="1" outline="0" fieldPosition="0">
        <references count="1">
          <reference field="1" count="1">
            <x v="1"/>
          </reference>
        </references>
      </pivotArea>
    </format>
    <format dxfId="392">
      <pivotArea dataOnly="0" labelOnly="1" outline="0" fieldPosition="0">
        <references count="1">
          <reference field="1" count="1">
            <x v="2"/>
          </reference>
        </references>
      </pivotArea>
    </format>
    <format dxfId="391">
      <pivotArea dataOnly="0" labelOnly="1" outline="0" fieldPosition="0">
        <references count="1">
          <reference field="1" count="1">
            <x v="3"/>
          </reference>
        </references>
      </pivotArea>
    </format>
    <format dxfId="390">
      <pivotArea dataOnly="0" labelOnly="1" grandCol="1" outline="0" fieldPosition="0"/>
    </format>
    <format dxfId="389">
      <pivotArea dataOnly="0" outline="0" fieldPosition="0">
        <references count="1">
          <reference field="0" count="1">
            <x v="2"/>
          </reference>
        </references>
      </pivotArea>
    </format>
    <format dxfId="388">
      <pivotArea dataOnly="0" outline="0" fieldPosition="0">
        <references count="1">
          <reference field="0" count="1">
            <x v="16"/>
          </reference>
        </references>
      </pivotArea>
    </format>
    <format dxfId="387">
      <pivotArea dataOnly="0" outline="0" fieldPosition="0">
        <references count="1">
          <reference field="0" count="1">
            <x v="5"/>
          </reference>
        </references>
      </pivotArea>
    </format>
    <format dxfId="386">
      <pivotArea dataOnly="0" labelOnly="1" outline="0" fieldPosition="0">
        <references count="1">
          <reference field="0" count="0"/>
        </references>
      </pivotArea>
    </format>
    <format dxfId="385">
      <pivotArea outline="0" collapsedLevelsAreSubtotals="1" fieldPosition="0">
        <references count="1">
          <reference field="0" count="0" selected="0"/>
        </references>
      </pivotArea>
    </format>
    <format dxfId="384">
      <pivotArea field="0" grandCol="1" outline="0" collapsedLevelsAreSubtotals="1" axis="axisRow" fieldPosition="0">
        <references count="1">
          <reference field="0" count="0" selected="0"/>
        </references>
      </pivotArea>
    </format>
    <format dxfId="383">
      <pivotArea dataOnly="0" labelOnly="1" outline="0" fieldPosition="0">
        <references count="1">
          <reference field="0" count="0"/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6000000}" name="Tableau croisé dynamique7" cacheId="5" autoFormatId="4112" applyNumberFormats="1" applyBorderFormats="1" applyFontFormats="1" applyPatternFormats="1" applyAlignmentFormats="1" applyWidthHeightFormats="1" dataCaption="Données" updatedVersion="8" minRefreshableVersion="3" asteriskTotals="1" showMultipleLabel="0" showMemberPropertyTips="0" useAutoFormatting="1" itemPrintTitles="1" createdVersion="3" indent="0" compact="0" compactData="0" gridDropZones="1">
  <location ref="A43:F56" firstHeaderRow="1" firstDataRow="2" firstDataCol="1"/>
  <pivotFields count="4">
    <pivotField name="Club" axis="axisRow" compact="0" outline="0" subtotalTop="0" showAll="0" includeNewItemsInFilter="1" sortType="ascending">
      <items count="18">
        <item x="2"/>
        <item x="12"/>
        <item x="8"/>
        <item m="1" x="14"/>
        <item x="6"/>
        <item x="3"/>
        <item h="1" x="1"/>
        <item x="11"/>
        <item x="5"/>
        <item m="1" x="13"/>
        <item m="1" x="15"/>
        <item x="10"/>
        <item x="9"/>
        <item x="4"/>
        <item x="7"/>
        <item h="1" m="1" x="16"/>
        <item h="1" x="0"/>
        <item t="default"/>
      </items>
    </pivotField>
    <pivotField name="Tour" axis="axisCol" compact="0" outline="0" subtotalTop="0" showAll="0" includeNewItemsInFilter="1">
      <items count="17">
        <item m="1" x="14"/>
        <item h="1" m="1" x="10"/>
        <item h="1" m="1" x="7"/>
        <item h="1" m="1" x="9"/>
        <item h="1" x="0"/>
        <item x="1"/>
        <item x="2"/>
        <item x="3"/>
        <item x="4"/>
        <item h="1" m="1" x="12"/>
        <item h="1" m="1" x="13"/>
        <item h="1" m="1" x="5"/>
        <item h="1" m="1" x="11"/>
        <item h="1" m="1" x="8"/>
        <item h="1" m="1" x="6"/>
        <item h="1" m="1" x="15"/>
        <item t="default"/>
      </items>
    </pivotField>
    <pivotField dataField="1" compact="0" outline="0" subtotalTop="0" showAll="0" includeNewItemsInFilter="1"/>
    <pivotField compact="0" outline="0" subtotalTop="0" showAll="0" includeNewItemsInFilter="1"/>
  </pivotFields>
  <rowFields count="1">
    <field x="0"/>
  </rowFields>
  <rowItems count="12">
    <i>
      <x/>
    </i>
    <i>
      <x v="1"/>
    </i>
    <i>
      <x v="2"/>
    </i>
    <i>
      <x v="4"/>
    </i>
    <i>
      <x v="5"/>
    </i>
    <i>
      <x v="7"/>
    </i>
    <i>
      <x v="8"/>
    </i>
    <i>
      <x v="11"/>
    </i>
    <i>
      <x v="12"/>
    </i>
    <i>
      <x v="13"/>
    </i>
    <i>
      <x v="14"/>
    </i>
    <i t="grand">
      <x/>
    </i>
  </rowItems>
  <colFields count="1">
    <field x="1"/>
  </colFields>
  <colItems count="5">
    <i>
      <x v="5"/>
    </i>
    <i>
      <x v="6"/>
    </i>
    <i>
      <x v="7"/>
    </i>
    <i>
      <x v="8"/>
    </i>
    <i t="grand">
      <x/>
    </i>
  </colItems>
  <dataFields count="1">
    <dataField name=" " fld="2" subtotal="count" baseField="0" baseItem="0"/>
  </dataFields>
  <formats count="7">
    <format dxfId="404">
      <pivotArea outline="0" fieldPosition="0">
        <references count="1">
          <reference field="0" count="0" selected="0"/>
        </references>
      </pivotArea>
    </format>
    <format dxfId="403">
      <pivotArea dataOnly="0" labelOnly="1" grandCol="1" outline="0" fieldPosition="0"/>
    </format>
    <format dxfId="402">
      <pivotArea field="0" grandCol="1" outline="0" axis="axisRow" fieldPosition="0">
        <references count="1">
          <reference field="0" count="0" selected="0"/>
        </references>
      </pivotArea>
    </format>
    <format dxfId="401">
      <pivotArea outline="0" fieldPosition="0">
        <references count="2">
          <reference field="0" count="0" selected="0"/>
          <reference field="1" count="0" selected="0"/>
        </references>
      </pivotArea>
    </format>
    <format dxfId="400">
      <pivotArea outline="0" fieldPosition="0">
        <references count="1">
          <reference field="0" count="1" selected="0">
            <x v="5"/>
          </reference>
        </references>
      </pivotArea>
    </format>
    <format dxfId="399">
      <pivotArea dataOnly="0" labelOnly="1" outline="0" fieldPosition="0">
        <references count="1">
          <reference field="0" count="0"/>
        </references>
      </pivotArea>
    </format>
    <format dxfId="398">
      <pivotArea dataOnly="0" outline="0" fieldPosition="0">
        <references count="1">
          <reference field="0" count="1">
            <x v="5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5000000}" name="Tableau croisé dynamique8" cacheId="4" applyNumberFormats="0" applyBorderFormats="0" applyFontFormats="0" applyPatternFormats="0" applyAlignmentFormats="0" applyWidthHeightFormats="1" dataCaption="Valeurs" updatedVersion="8" minRefreshableVersion="3" showCalcMbrs="0" itemPrintTitles="1" createdVersion="3" indent="0" outline="1" outlineData="1" multipleFieldFilters="0" rowHeaderCaption="Club" colHeaderCaption="Tour">
  <location ref="O43:T56" firstHeaderRow="1" firstDataRow="2" firstDataCol="1"/>
  <pivotFields count="4">
    <pivotField axis="axisRow" showAll="0">
      <items count="15">
        <item x="3"/>
        <item x="10"/>
        <item x="4"/>
        <item h="1" m="1" x="13"/>
        <item x="1"/>
        <item x="7"/>
        <item x="8"/>
        <item x="5"/>
        <item h="1" m="1" x="12"/>
        <item x="0"/>
        <item x="6"/>
        <item x="2"/>
        <item x="9"/>
        <item h="1" x="11"/>
        <item t="default"/>
      </items>
    </pivotField>
    <pivotField axis="axisCol" showAll="0">
      <items count="13">
        <item h="1" x="0"/>
        <item h="1" x="2"/>
        <item h="1" x="4"/>
        <item h="1" x="6"/>
        <item h="1" x="8"/>
        <item h="1" m="1" x="11"/>
        <item h="1" x="9"/>
        <item h="1" m="1" x="10"/>
        <item x="1"/>
        <item x="3"/>
        <item x="5"/>
        <item x="7"/>
        <item t="default"/>
      </items>
    </pivotField>
    <pivotField dataField="1" showAll="0"/>
    <pivotField showAll="0"/>
  </pivotFields>
  <rowFields count="1">
    <field x="0"/>
  </rowFields>
  <rowItems count="12">
    <i>
      <x/>
    </i>
    <i>
      <x v="1"/>
    </i>
    <i>
      <x v="2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5">
    <i>
      <x v="8"/>
    </i>
    <i>
      <x v="9"/>
    </i>
    <i>
      <x v="10"/>
    </i>
    <i>
      <x v="11"/>
    </i>
    <i t="grand">
      <x/>
    </i>
  </colItems>
  <dataFields count="1">
    <dataField name="Nombre de Valeur" fld="2" subtotal="count" baseField="0" baseItem="0"/>
  </dataFields>
  <formats count="18">
    <format dxfId="422">
      <pivotArea type="all" dataOnly="0" outline="0" fieldPosition="0"/>
    </format>
    <format dxfId="421">
      <pivotArea collapsedLevelsAreSubtotals="1" fieldPosition="0">
        <references count="1">
          <reference field="0" count="10">
            <x v="0"/>
            <x v="1"/>
            <x v="2"/>
            <x v="3"/>
            <x v="4"/>
            <x v="5"/>
            <x v="6"/>
            <x v="7"/>
            <x v="10"/>
            <x v="11"/>
          </reference>
        </references>
      </pivotArea>
    </format>
    <format dxfId="420">
      <pivotArea type="origin" dataOnly="0" labelOnly="1" outline="0" fieldPosition="0"/>
    </format>
    <format dxfId="419">
      <pivotArea field="0" type="button" dataOnly="0" labelOnly="1" outline="0" axis="axisRow" fieldPosition="0"/>
    </format>
    <format dxfId="418">
      <pivotArea field="1" type="button" dataOnly="0" labelOnly="1" outline="0" axis="axisCol" fieldPosition="0"/>
    </format>
    <format dxfId="417">
      <pivotArea type="topRight" dataOnly="0" labelOnly="1" outline="0" fieldPosition="0"/>
    </format>
    <format dxfId="416">
      <pivotArea dataOnly="0" labelOnly="1" fieldPosition="0">
        <references count="1">
          <reference field="1" count="0"/>
        </references>
      </pivotArea>
    </format>
    <format dxfId="415">
      <pivotArea dataOnly="0" labelOnly="1" grandCol="1" outline="0" fieldPosition="0"/>
    </format>
    <format dxfId="414">
      <pivotArea collapsedLevelsAreSubtotals="1" fieldPosition="0">
        <references count="1">
          <reference field="0" count="0"/>
        </references>
      </pivotArea>
    </format>
    <format dxfId="413">
      <pivotArea collapsedLevelsAreSubtotals="1" fieldPosition="0">
        <references count="1">
          <reference field="0" count="1">
            <x v="11"/>
          </reference>
        </references>
      </pivotArea>
    </format>
    <format dxfId="412">
      <pivotArea collapsedLevelsAreSubtotals="1" fieldPosition="0">
        <references count="1">
          <reference field="0" count="0"/>
        </references>
      </pivotArea>
    </format>
    <format dxfId="411">
      <pivotArea dataOnly="0" labelOnly="1" fieldPosition="0">
        <references count="1">
          <reference field="0" count="0"/>
        </references>
      </pivotArea>
    </format>
    <format dxfId="410">
      <pivotArea grandCol="1" outline="0" collapsedLevelsAreSubtotals="1" fieldPosition="0"/>
    </format>
    <format dxfId="409">
      <pivotArea dataOnly="0" labelOnly="1" grandCol="1" outline="0" fieldPosition="0"/>
    </format>
    <format dxfId="408">
      <pivotArea outline="0" collapsedLevelsAreSubtotals="1" fieldPosition="0">
        <references count="1">
          <reference field="1" count="1" selected="0">
            <x v="8"/>
          </reference>
        </references>
      </pivotArea>
    </format>
    <format dxfId="407">
      <pivotArea field="1" type="button" dataOnly="0" labelOnly="1" outline="0" axis="axisCol" fieldPosition="0"/>
    </format>
    <format dxfId="406">
      <pivotArea dataOnly="0" labelOnly="1" fieldPosition="0">
        <references count="1">
          <reference field="1" count="1">
            <x v="8"/>
          </reference>
        </references>
      </pivotArea>
    </format>
    <format dxfId="405">
      <pivotArea dataOnly="0" fieldPosition="0">
        <references count="1">
          <reference field="0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Tableau croisé dynamique2" cacheId="2" autoFormatId="4112" applyNumberFormats="1" applyBorderFormats="1" applyFontFormats="1" applyPatternFormats="1" applyAlignmentFormats="1" applyWidthHeightFormats="1" dataCaption="Données" updatedVersion="8" minRefreshableVersion="3" showMultipleLabel="0" showMemberPropertyTips="0" useAutoFormatting="1" itemPrintTitles="1" createdVersion="3" indent="0" compact="0" compactData="0" gridDropZones="1">
  <location ref="A23:F36" firstHeaderRow="1" firstDataRow="2" firstDataCol="1"/>
  <pivotFields count="4">
    <pivotField name="Club" axis="axisRow" compact="0" outline="0" subtotalTop="0" showAll="0" includeNewItemsInFilter="1" sortType="ascending">
      <items count="18">
        <item x="2"/>
        <item x="0"/>
        <item x="4"/>
        <item m="1" x="13"/>
        <item x="6"/>
        <item x="3"/>
        <item x="5"/>
        <item x="8"/>
        <item m="1" x="12"/>
        <item h="1" m="1" x="15"/>
        <item h="1" m="1" x="14"/>
        <item x="7"/>
        <item x="10"/>
        <item x="1"/>
        <item x="9"/>
        <item h="1" m="1" x="16"/>
        <item h="1" m="1" x="11"/>
        <item t="default"/>
      </items>
    </pivotField>
    <pivotField name="Tour" axis="axisCol" compact="0" outline="0" subtotalTop="0" showAll="0" includeNewItemsInFilter="1" sumSubtotal="1" countASubtotal="1">
      <items count="15">
        <item x="2"/>
        <item x="4"/>
        <item x="6"/>
        <item x="8"/>
        <item h="1" m="1" x="11"/>
        <item h="1" m="1" x="12"/>
        <item h="1" m="1" x="10"/>
        <item h="1" m="1" x="9"/>
        <item h="1" x="1"/>
        <item h="1" x="3"/>
        <item h="1" x="5"/>
        <item h="1" x="7"/>
        <item h="1" x="0"/>
        <item t="countA"/>
        <item t="sum"/>
      </items>
    </pivotField>
    <pivotField dataField="1" compact="0" outline="0" subtotalTop="0" showAll="0" includeNewItemsInFilter="1"/>
    <pivotField compact="0" outline="0" subtotalTop="0" showAll="0" includeNewItemsInFilter="1"/>
  </pivotFields>
  <rowFields count="1">
    <field x="0"/>
  </rowFields>
  <rowItems count="12">
    <i>
      <x/>
    </i>
    <i>
      <x v="1"/>
    </i>
    <i>
      <x v="2"/>
    </i>
    <i>
      <x v="4"/>
    </i>
    <i>
      <x v="5"/>
    </i>
    <i>
      <x v="6"/>
    </i>
    <i>
      <x v="7"/>
    </i>
    <i>
      <x v="11"/>
    </i>
    <i>
      <x v="12"/>
    </i>
    <i>
      <x v="13"/>
    </i>
    <i>
      <x v="1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 " fld="2" baseField="0" baseItem="0"/>
  </dataFields>
  <formats count="8">
    <format dxfId="430">
      <pivotArea dataOnly="0" labelOnly="1" grandCol="1" outline="0" fieldPosition="0"/>
    </format>
    <format dxfId="429">
      <pivotArea outline="0" fieldPosition="0">
        <references count="1">
          <reference field="0" count="0" selected="0"/>
        </references>
      </pivotArea>
    </format>
    <format dxfId="428">
      <pivotArea field="0" grandCol="1" outline="0" axis="axisRow" fieldPosition="0">
        <references count="1">
          <reference field="0" count="0" selected="0"/>
        </references>
      </pivotArea>
    </format>
    <format dxfId="427">
      <pivotArea outline="0" fieldPosition="0">
        <references count="2">
          <reference field="0" count="0" selected="0"/>
          <reference field="1" count="0" selected="0"/>
        </references>
      </pivotArea>
    </format>
    <format dxfId="426">
      <pivotArea field="0" type="button" dataOnly="0" labelOnly="1" outline="0" axis="axisRow" fieldPosition="0"/>
    </format>
    <format dxfId="425">
      <pivotArea dataOnly="0" labelOnly="1" grandRow="1" outline="0" fieldPosition="0"/>
    </format>
    <format dxfId="424">
      <pivotArea dataOnly="0" outline="0" fieldPosition="0">
        <references count="1">
          <reference field="0" count="1">
            <x v="5"/>
          </reference>
        </references>
      </pivotArea>
    </format>
    <format dxfId="423">
      <pivotArea dataOnly="0" labelOnly="1" outline="0" fieldPosition="0">
        <references count="1">
          <reference field="0" count="0"/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8000000}" name="Tableau croisé dynamique5" cacheId="1" autoFormatId="4112" applyNumberFormats="1" applyBorderFormats="1" applyFontFormats="1" applyPatternFormats="1" applyAlignmentFormats="1" applyWidthHeightFormats="1" dataCaption="Données" updatedVersion="8" minRefreshableVersion="3" showMultipleLabel="0" showMemberPropertyTips="0" useAutoFormatting="1" itemPrintTitles="1" createdVersion="3" indent="0" compact="0" compactData="0" gridDropZones="1">
  <location ref="H5:M18" firstHeaderRow="1" firstDataRow="2" firstDataCol="1"/>
  <pivotFields count="4">
    <pivotField name="Club" axis="axisRow" compact="0" outline="0" subtotalTop="0" showAll="0" includeNewItemsInFilter="1" sortType="ascending">
      <items count="18">
        <item x="1"/>
        <item x="9"/>
        <item x="7"/>
        <item m="1" x="12"/>
        <item x="4"/>
        <item x="6"/>
        <item x="10"/>
        <item x="8"/>
        <item m="1" x="13"/>
        <item m="1" x="15"/>
        <item h="1" m="1" x="14"/>
        <item x="3"/>
        <item x="2"/>
        <item x="0"/>
        <item x="5"/>
        <item h="1" m="1" x="16"/>
        <item h="1" x="11"/>
        <item t="default"/>
      </items>
    </pivotField>
    <pivotField name="Tour" axis="axisCol" compact="0" outline="0" subtotalTop="0" showAll="0" includeNewItemsInFilter="1">
      <items count="13">
        <item x="2"/>
        <item x="4"/>
        <item x="6"/>
        <item x="8"/>
        <item h="1" m="1" x="11"/>
        <item h="1" m="1" x="10"/>
        <item h="1" m="1" x="9"/>
        <item h="1" x="1"/>
        <item h="1" x="3"/>
        <item h="1" x="5"/>
        <item h="1" x="7"/>
        <item h="1" x="0"/>
        <item t="default"/>
      </items>
    </pivotField>
    <pivotField dataField="1" compact="0" outline="0" subtotalTop="0" showAll="0" includeNewItemsInFilter="1"/>
    <pivotField compact="0" outline="0" subtotalTop="0" showAll="0" includeNewItemsInFilter="1"/>
  </pivotFields>
  <rowFields count="1">
    <field x="0"/>
  </rowFields>
  <rowItems count="12">
    <i>
      <x/>
    </i>
    <i>
      <x v="1"/>
    </i>
    <i>
      <x v="2"/>
    </i>
    <i>
      <x v="4"/>
    </i>
    <i>
      <x v="5"/>
    </i>
    <i>
      <x v="6"/>
    </i>
    <i>
      <x v="7"/>
    </i>
    <i>
      <x v="11"/>
    </i>
    <i>
      <x v="12"/>
    </i>
    <i>
      <x v="13"/>
    </i>
    <i>
      <x v="1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 " fld="2" baseField="0" baseItem="0"/>
  </dataFields>
  <formats count="6">
    <format dxfId="436">
      <pivotArea outline="0" fieldPosition="0">
        <references count="1">
          <reference field="0" count="0" selected="0"/>
        </references>
      </pivotArea>
    </format>
    <format dxfId="435">
      <pivotArea dataOnly="0" labelOnly="1" grandCol="1" outline="0" fieldPosition="0"/>
    </format>
    <format dxfId="434">
      <pivotArea field="0" grandCol="1" outline="0" axis="axisRow" fieldPosition="0">
        <references count="1">
          <reference field="0" count="0" selected="0"/>
        </references>
      </pivotArea>
    </format>
    <format dxfId="433">
      <pivotArea outline="0" fieldPosition="0">
        <references count="2">
          <reference field="0" count="0" selected="0"/>
          <reference field="1" count="0" selected="0"/>
        </references>
      </pivotArea>
    </format>
    <format dxfId="432">
      <pivotArea dataOnly="0" outline="0" fieldPosition="0">
        <references count="1">
          <reference field="0" count="1">
            <x v="5"/>
          </reference>
        </references>
      </pivotArea>
    </format>
    <format dxfId="431">
      <pivotArea dataOnly="0" labelOnly="1" outline="0" fieldPosition="0">
        <references count="1">
          <reference field="0" count="0"/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Tableau croisé dynamique12" cacheId="6" autoFormatId="4112" applyNumberFormats="1" applyBorderFormats="1" applyFontFormats="1" applyPatternFormats="1" applyAlignmentFormats="1" applyWidthHeightFormats="1" dataCaption="Données" updatedVersion="8" minRefreshableVersion="3" showMultipleLabel="0" showMemberPropertyTips="0" useAutoFormatting="1" itemPrintTitles="1" createdVersion="3" indent="0" compact="0" compactData="0" gridDropZones="1">
  <location ref="A62:F75" firstHeaderRow="1" firstDataRow="2" firstDataCol="1"/>
  <pivotFields count="4">
    <pivotField name="Club" axis="axisRow" compact="0" outline="0" subtotalTop="0" showAll="0" includeNewItemsInFilter="1" sortType="ascending">
      <items count="18">
        <item x="4"/>
        <item x="2"/>
        <item x="6"/>
        <item m="1" x="14"/>
        <item x="8"/>
        <item x="5"/>
        <item h="1" x="1"/>
        <item x="7"/>
        <item x="10"/>
        <item m="1" x="13"/>
        <item m="1" x="15"/>
        <item x="9"/>
        <item x="12"/>
        <item x="3"/>
        <item x="11"/>
        <item h="1" m="1" x="16"/>
        <item h="1" x="0"/>
        <item t="default"/>
      </items>
    </pivotField>
    <pivotField name="Tour" axis="axisCol" compact="0" outline="0" subtotalTop="0" showAll="0" includeNewItemsInFilter="1">
      <items count="6">
        <item x="1"/>
        <item x="2"/>
        <item x="3"/>
        <item x="4"/>
        <item h="1" x="0"/>
        <item t="default"/>
      </items>
    </pivotField>
    <pivotField dataField="1" compact="0" outline="0" subtotalTop="0" showAll="0" includeNewItemsInFilter="1"/>
    <pivotField compact="0" outline="0" subtotalTop="0" showAll="0" includeNewItemsInFilter="1"/>
  </pivotFields>
  <rowFields count="1">
    <field x="0"/>
  </rowFields>
  <rowItems count="12">
    <i>
      <x/>
    </i>
    <i>
      <x v="1"/>
    </i>
    <i>
      <x v="2"/>
    </i>
    <i>
      <x v="4"/>
    </i>
    <i>
      <x v="5"/>
    </i>
    <i>
      <x v="7"/>
    </i>
    <i>
      <x v="8"/>
    </i>
    <i>
      <x v="11"/>
    </i>
    <i>
      <x v="12"/>
    </i>
    <i>
      <x v="13"/>
    </i>
    <i>
      <x v="1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 " fld="2" subtotal="count" baseField="0" baseItem="0"/>
  </dataFields>
  <formats count="6">
    <format dxfId="442">
      <pivotArea outline="0" fieldPosition="0">
        <references count="1">
          <reference field="0" count="0" selected="0"/>
        </references>
      </pivotArea>
    </format>
    <format dxfId="441">
      <pivotArea dataOnly="0" labelOnly="1" grandCol="1" outline="0" fieldPosition="0"/>
    </format>
    <format dxfId="440">
      <pivotArea outline="0" fieldPosition="0">
        <references count="2">
          <reference field="0" count="0" selected="0"/>
          <reference field="1" count="0" selected="0"/>
        </references>
      </pivotArea>
    </format>
    <format dxfId="439">
      <pivotArea dataOnly="0" labelOnly="1" outline="0" fieldPosition="0">
        <references count="1">
          <reference field="0" count="0"/>
        </references>
      </pivotArea>
    </format>
    <format dxfId="438">
      <pivotArea outline="0" fieldPosition="0">
        <references count="1">
          <reference field="0" count="1" selected="0">
            <x v="5"/>
          </reference>
        </references>
      </pivotArea>
    </format>
    <format dxfId="437">
      <pivotArea dataOnly="0" outline="0" fieldPosition="0">
        <references count="1">
          <reference field="0" count="1">
            <x v="5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7000000}" name="Tableau croisé dynamique11" cacheId="8" autoFormatId="4112" applyNumberFormats="1" applyBorderFormats="1" applyFontFormats="1" applyPatternFormats="1" applyAlignmentFormats="1" applyWidthHeightFormats="1" dataCaption="Données" updatedVersion="8" minRefreshableVersion="3" asteriskTotals="1" showMultipleLabel="0" showMemberPropertyTips="0" useAutoFormatting="1" itemPrintTitles="1" createdVersion="3" indent="0" compact="0" compactData="0" gridDropZones="1">
  <location ref="H43:M56" firstHeaderRow="1" firstDataRow="2" firstDataCol="1"/>
  <pivotFields count="4">
    <pivotField name="Club" axis="axisRow" compact="0" outline="0" subtotalTop="0" showAll="0" includeNewItemsInFilter="1" sortType="ascending">
      <items count="20">
        <item x="3"/>
        <item x="11"/>
        <item x="9"/>
        <item m="1" x="13"/>
        <item x="6"/>
        <item x="8"/>
        <item h="1" x="1"/>
        <item x="12"/>
        <item x="10"/>
        <item h="1" f="1" x="18"/>
        <item h="1" f="1" x="17"/>
        <item m="1" x="14"/>
        <item m="1" x="15"/>
        <item x="5"/>
        <item x="4"/>
        <item x="2"/>
        <item x="7"/>
        <item m="1" x="16"/>
        <item h="1" x="0"/>
        <item t="default"/>
      </items>
    </pivotField>
    <pivotField name="Tour" axis="axisCol" compact="0" outline="0" subtotalTop="0" showAll="0" includeNewItemsInFilter="1">
      <items count="10">
        <item m="1" x="8"/>
        <item h="1" m="1" x="7"/>
        <item h="1" m="1" x="5"/>
        <item h="1" m="1" x="6"/>
        <item h="1" x="0"/>
        <item x="1"/>
        <item x="2"/>
        <item x="3"/>
        <item x="4"/>
        <item t="default"/>
      </items>
    </pivotField>
    <pivotField dataField="1" compact="0" outline="0" subtotalTop="0" showAll="0" includeNewItemsInFilter="1"/>
    <pivotField compact="0" outline="0" subtotalTop="0" showAll="0" includeNewItemsInFilter="1"/>
  </pivotFields>
  <rowFields count="1">
    <field x="0"/>
  </rowFields>
  <rowItems count="12">
    <i>
      <x/>
    </i>
    <i>
      <x v="1"/>
    </i>
    <i>
      <x v="2"/>
    </i>
    <i>
      <x v="4"/>
    </i>
    <i>
      <x v="5"/>
    </i>
    <i>
      <x v="7"/>
    </i>
    <i>
      <x v="8"/>
    </i>
    <i>
      <x v="13"/>
    </i>
    <i>
      <x v="14"/>
    </i>
    <i>
      <x v="15"/>
    </i>
    <i>
      <x v="16"/>
    </i>
    <i t="grand">
      <x/>
    </i>
  </rowItems>
  <colFields count="1">
    <field x="1"/>
  </colFields>
  <colItems count="5">
    <i>
      <x v="5"/>
    </i>
    <i>
      <x v="6"/>
    </i>
    <i>
      <x v="7"/>
    </i>
    <i>
      <x v="8"/>
    </i>
    <i t="grand">
      <x/>
    </i>
  </colItems>
  <dataFields count="1">
    <dataField name=" " fld="2" subtotal="count" baseField="0" baseItem="0"/>
  </dataFields>
  <formats count="6">
    <format dxfId="448">
      <pivotArea outline="0" fieldPosition="0">
        <references count="1">
          <reference field="0" count="0" selected="0"/>
        </references>
      </pivotArea>
    </format>
    <format dxfId="447">
      <pivotArea dataOnly="0" grandCol="1" outline="0" fieldPosition="0"/>
    </format>
    <format dxfId="446">
      <pivotArea outline="0" fieldPosition="0">
        <references count="1">
          <reference field="0" count="1" selected="0">
            <x v="5"/>
          </reference>
        </references>
      </pivotArea>
    </format>
    <format dxfId="445">
      <pivotArea outline="0" fieldPosition="0">
        <references count="1">
          <reference field="0" count="1" selected="0">
            <x v="5"/>
          </reference>
        </references>
      </pivotArea>
    </format>
    <format dxfId="444">
      <pivotArea dataOnly="0" labelOnly="1" outline="0" fieldPosition="0">
        <references count="1">
          <reference field="0" count="0"/>
        </references>
      </pivotArea>
    </format>
    <format dxfId="443">
      <pivotArea dataOnly="0" outline="0" fieldPosition="0">
        <references count="1">
          <reference field="0" count="1">
            <x v="5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A000000}" name="Tableau croisé dynamique1" cacheId="9" applyNumberFormats="0" applyBorderFormats="0" applyFontFormats="0" applyPatternFormats="0" applyAlignmentFormats="0" applyWidthHeightFormats="1" dataCaption="Valeurs" updatedVersion="8" minRefreshableVersion="3" showCalcMbrs="0" useAutoFormatting="1" itemPrintTitles="1" createdVersion="3" indent="0" outline="1" outlineData="1" multipleFieldFilters="0" colHeaderCaption="">
  <location ref="O23:T36" firstHeaderRow="1" firstDataRow="2" firstDataCol="1"/>
  <pivotFields count="3">
    <pivotField axis="axisRow" showAll="0" sortType="ascending">
      <items count="15">
        <item x="0"/>
        <item x="10"/>
        <item x="6"/>
        <item h="1" m="1" x="13"/>
        <item x="4"/>
        <item x="1"/>
        <item x="9"/>
        <item x="3"/>
        <item h="1" m="1" x="12"/>
        <item x="8"/>
        <item x="7"/>
        <item x="2"/>
        <item x="5"/>
        <item h="1" x="11"/>
        <item t="default"/>
      </items>
    </pivotField>
    <pivotField axis="axisCol" showAll="0">
      <items count="15">
        <item h="1" m="1" x="10"/>
        <item h="1" x="0"/>
        <item h="1" x="2"/>
        <item h="1" x="4"/>
        <item h="1" x="6"/>
        <item h="1" x="8"/>
        <item h="1" m="1" x="12"/>
        <item h="1" m="1" x="13"/>
        <item h="1" x="9"/>
        <item h="1" m="1" x="11"/>
        <item x="1"/>
        <item x="3"/>
        <item x="5"/>
        <item x="7"/>
        <item t="default"/>
      </items>
    </pivotField>
    <pivotField dataField="1" showAll="0"/>
  </pivotFields>
  <rowFields count="1">
    <field x="0"/>
  </rowFields>
  <rowItems count="12">
    <i>
      <x/>
    </i>
    <i>
      <x v="1"/>
    </i>
    <i>
      <x v="2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5">
    <i>
      <x v="10"/>
    </i>
    <i>
      <x v="11"/>
    </i>
    <i>
      <x v="12"/>
    </i>
    <i>
      <x v="13"/>
    </i>
    <i t="grand">
      <x/>
    </i>
  </colItems>
  <dataFields count="1">
    <dataField name="Nombre de Valeur" fld="2" subtotal="count" baseField="0" baseItem="0"/>
  </dataFields>
  <formats count="19">
    <format dxfId="349">
      <pivotArea type="all" dataOnly="0" outline="0" fieldPosition="0"/>
    </format>
    <format dxfId="348">
      <pivotArea type="origin" dataOnly="0" labelOnly="1" outline="0" fieldPosition="0"/>
    </format>
    <format dxfId="347">
      <pivotArea field="0" type="button" dataOnly="0" labelOnly="1" outline="0" axis="axisRow" fieldPosition="0"/>
    </format>
    <format dxfId="346">
      <pivotArea dataOnly="0" labelOnly="1" fieldPosition="0">
        <references count="1">
          <reference field="0" count="0"/>
        </references>
      </pivotArea>
    </format>
    <format dxfId="345">
      <pivotArea field="0" type="button" dataOnly="0" labelOnly="1" outline="0" axis="axisRow" fieldPosition="0"/>
    </format>
    <format dxfId="344">
      <pivotArea dataOnly="0" labelOnly="1" fieldPosition="0">
        <references count="1">
          <reference field="1" count="0"/>
        </references>
      </pivotArea>
    </format>
    <format dxfId="343">
      <pivotArea dataOnly="0" labelOnly="1" grandCol="1" outline="0" fieldPosition="0"/>
    </format>
    <format dxfId="342">
      <pivotArea collapsedLevelsAreSubtotals="1" fieldPosition="0">
        <references count="1">
          <reference field="0" count="0"/>
        </references>
      </pivotArea>
    </format>
    <format dxfId="341">
      <pivotArea field="0" grandCol="1" collapsedLevelsAreSubtotals="1" axis="axisRow" fieldPosition="0">
        <references count="1">
          <reference field="0" count="0"/>
        </references>
      </pivotArea>
    </format>
    <format dxfId="340">
      <pivotArea type="topRight" dataOnly="0" labelOnly="1" outline="0" offset="D1" fieldPosition="0"/>
    </format>
    <format dxfId="339">
      <pivotArea dataOnly="0" labelOnly="1" grandCol="1" outline="0" fieldPosition="0"/>
    </format>
    <format dxfId="338">
      <pivotArea type="origin" dataOnly="0" labelOnly="1" outline="0" fieldPosition="0"/>
    </format>
    <format dxfId="337">
      <pivotArea field="1" type="button" dataOnly="0" labelOnly="1" outline="0" axis="axisCol" fieldPosition="0"/>
    </format>
    <format dxfId="336">
      <pivotArea type="topRight" dataOnly="0" labelOnly="1" outline="0" fieldPosition="0"/>
    </format>
    <format dxfId="335">
      <pivotArea grandCol="1" outline="0" collapsedLevelsAreSubtotals="1" fieldPosition="0"/>
    </format>
    <format dxfId="334">
      <pivotArea dataOnly="0" labelOnly="1" fieldPosition="0">
        <references count="1">
          <reference field="0" count="0"/>
        </references>
      </pivotArea>
    </format>
    <format dxfId="333">
      <pivotArea dataOnly="0" labelOnly="1" grandRow="1" outline="0" fieldPosition="0"/>
    </format>
    <format dxfId="332">
      <pivotArea dataOnly="0" fieldPosition="0">
        <references count="1">
          <reference field="0" count="1">
            <x v="5"/>
          </reference>
        </references>
      </pivotArea>
    </format>
    <format dxfId="331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drawing" Target="../drawings/drawing6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rinterSettings" Target="../printerSettings/printerSettings6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2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A17CD-BABF-4DEC-A646-632E408FEE10}">
  <dimension ref="A1:F21"/>
  <sheetViews>
    <sheetView showGridLines="0" zoomScaleNormal="100" workbookViewId="0">
      <selection activeCell="C25" sqref="C25"/>
    </sheetView>
  </sheetViews>
  <sheetFormatPr baseColWidth="10" defaultColWidth="10.6328125" defaultRowHeight="12.75" customHeight="1" x14ac:dyDescent="0.25"/>
  <cols>
    <col min="1" max="1" width="13" style="111" customWidth="1"/>
    <col min="2" max="2" width="10.6328125" style="111"/>
    <col min="3" max="3" width="9.1796875" style="111" customWidth="1"/>
    <col min="4" max="4" width="14.36328125" style="111" customWidth="1"/>
    <col min="5" max="5" width="16.81640625" style="111" customWidth="1"/>
    <col min="6" max="6" width="13.36328125" style="111" customWidth="1"/>
    <col min="7" max="16384" width="10.6328125" style="111"/>
  </cols>
  <sheetData>
    <row r="1" spans="1:6" ht="12.75" customHeight="1" x14ac:dyDescent="0.3">
      <c r="A1" s="112" t="s">
        <v>791</v>
      </c>
      <c r="B1" s="112" t="s">
        <v>792</v>
      </c>
      <c r="C1" s="112" t="s">
        <v>793</v>
      </c>
      <c r="D1" s="112" t="s">
        <v>794</v>
      </c>
      <c r="E1" s="112" t="s">
        <v>795</v>
      </c>
      <c r="F1" s="112" t="s">
        <v>796</v>
      </c>
    </row>
    <row r="2" spans="1:6" ht="15" customHeight="1" x14ac:dyDescent="0.3">
      <c r="A2" s="112" t="s">
        <v>797</v>
      </c>
      <c r="B2" s="113">
        <v>30</v>
      </c>
      <c r="C2" s="114">
        <v>8</v>
      </c>
      <c r="D2" s="114">
        <v>42</v>
      </c>
      <c r="E2" s="114">
        <v>28</v>
      </c>
      <c r="F2" s="115"/>
    </row>
    <row r="3" spans="1:6" ht="15" customHeight="1" x14ac:dyDescent="0.3">
      <c r="A3" s="112" t="s">
        <v>798</v>
      </c>
      <c r="B3" s="116">
        <v>87</v>
      </c>
      <c r="C3" s="117">
        <v>22</v>
      </c>
      <c r="D3" s="117">
        <v>114</v>
      </c>
      <c r="E3" s="117">
        <v>88</v>
      </c>
      <c r="F3" s="118">
        <v>4</v>
      </c>
    </row>
    <row r="4" spans="1:6" ht="15" customHeight="1" x14ac:dyDescent="0.3">
      <c r="A4" s="112" t="s">
        <v>799</v>
      </c>
      <c r="B4" s="116">
        <v>57</v>
      </c>
      <c r="C4" s="117">
        <v>15</v>
      </c>
      <c r="D4" s="117">
        <v>69</v>
      </c>
      <c r="E4" s="117">
        <v>54</v>
      </c>
      <c r="F4" s="118"/>
    </row>
    <row r="5" spans="1:6" ht="15" customHeight="1" x14ac:dyDescent="0.3">
      <c r="A5" s="112" t="s">
        <v>800</v>
      </c>
      <c r="B5" s="116">
        <v>37</v>
      </c>
      <c r="C5" s="117">
        <v>10</v>
      </c>
      <c r="D5" s="117">
        <v>51</v>
      </c>
      <c r="E5" s="117">
        <v>35</v>
      </c>
      <c r="F5" s="118">
        <v>3</v>
      </c>
    </row>
    <row r="6" spans="1:6" ht="15" customHeight="1" x14ac:dyDescent="0.3">
      <c r="A6" s="112" t="s">
        <v>801</v>
      </c>
      <c r="B6" s="116">
        <v>10</v>
      </c>
      <c r="C6" s="117">
        <v>3</v>
      </c>
      <c r="D6" s="117">
        <v>9</v>
      </c>
      <c r="E6" s="117">
        <v>6</v>
      </c>
      <c r="F6" s="118">
        <v>1</v>
      </c>
    </row>
    <row r="7" spans="1:6" ht="13.5" customHeight="1" x14ac:dyDescent="0.3">
      <c r="A7" s="112"/>
      <c r="B7" s="119">
        <f>SUM(B2:B6)</f>
        <v>221</v>
      </c>
      <c r="C7" s="120">
        <f>SUM(C2:C6)</f>
        <v>58</v>
      </c>
      <c r="D7" s="120">
        <f>SUM(D2:D6)</f>
        <v>285</v>
      </c>
      <c r="E7" s="120">
        <f>SUM(E2:E6)</f>
        <v>211</v>
      </c>
      <c r="F7" s="121">
        <f>SUM(F2:F6)</f>
        <v>8</v>
      </c>
    </row>
    <row r="8" spans="1:6" ht="12.75" customHeight="1" x14ac:dyDescent="0.3">
      <c r="A8" s="112"/>
    </row>
    <row r="9" spans="1:6" ht="12.75" customHeight="1" x14ac:dyDescent="0.3">
      <c r="A9" s="112" t="s">
        <v>802</v>
      </c>
      <c r="E9" s="111">
        <f>SUM(D7:E7)</f>
        <v>496</v>
      </c>
    </row>
    <row r="15" spans="1:6" ht="12.75" customHeight="1" x14ac:dyDescent="0.3">
      <c r="A15" s="122" t="s">
        <v>804</v>
      </c>
      <c r="B15" s="112" t="s">
        <v>803</v>
      </c>
      <c r="C15" s="112" t="s">
        <v>792</v>
      </c>
    </row>
    <row r="16" spans="1:6" ht="12.75" customHeight="1" x14ac:dyDescent="0.3">
      <c r="A16" s="112" t="s">
        <v>797</v>
      </c>
      <c r="B16" s="145">
        <v>9</v>
      </c>
      <c r="C16" s="113">
        <v>16</v>
      </c>
    </row>
    <row r="17" spans="1:3" ht="12.75" customHeight="1" x14ac:dyDescent="0.3">
      <c r="A17" s="112" t="s">
        <v>798</v>
      </c>
      <c r="B17" s="145">
        <v>34</v>
      </c>
      <c r="C17" s="116">
        <v>62</v>
      </c>
    </row>
    <row r="18" spans="1:3" ht="12.75" customHeight="1" x14ac:dyDescent="0.3">
      <c r="A18" s="112" t="s">
        <v>799</v>
      </c>
      <c r="B18" s="145">
        <v>24</v>
      </c>
      <c r="C18" s="116">
        <v>39</v>
      </c>
    </row>
    <row r="19" spans="1:3" ht="12.75" customHeight="1" x14ac:dyDescent="0.3">
      <c r="A19" s="112" t="s">
        <v>800</v>
      </c>
      <c r="B19" s="145">
        <v>19</v>
      </c>
      <c r="C19" s="116">
        <v>30</v>
      </c>
    </row>
    <row r="20" spans="1:3" ht="12.75" customHeight="1" x14ac:dyDescent="0.3">
      <c r="A20" s="112" t="s">
        <v>801</v>
      </c>
      <c r="B20" s="145">
        <v>3</v>
      </c>
      <c r="C20" s="116">
        <v>7</v>
      </c>
    </row>
    <row r="21" spans="1:3" ht="12.75" customHeight="1" x14ac:dyDescent="0.25">
      <c r="C21" s="119">
        <f>SUM(C16:C20)</f>
        <v>154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819"/>
  <sheetViews>
    <sheetView zoomScale="85" zoomScaleNormal="85" workbookViewId="0">
      <selection activeCell="C28" sqref="C28"/>
    </sheetView>
  </sheetViews>
  <sheetFormatPr baseColWidth="10" defaultRowHeight="12.5" x14ac:dyDescent="0.25"/>
  <cols>
    <col min="1" max="1" width="8.453125" style="1" bestFit="1" customWidth="1"/>
    <col min="2" max="2" width="25.453125" customWidth="1"/>
    <col min="3" max="3" width="24.81640625" bestFit="1" customWidth="1"/>
    <col min="4" max="4" width="6.453125" customWidth="1"/>
    <col min="5" max="5" width="12.6328125" style="1" bestFit="1" customWidth="1"/>
    <col min="6" max="6" width="10.36328125" style="1" bestFit="1" customWidth="1"/>
    <col min="7" max="7" width="6.1796875" customWidth="1"/>
    <col min="8" max="8" width="4.36328125" customWidth="1"/>
    <col min="9" max="9" width="7.1796875" customWidth="1"/>
    <col min="10" max="10" width="3.453125" customWidth="1"/>
    <col min="11" max="11" width="7.1796875" customWidth="1"/>
    <col min="12" max="12" width="3.453125" customWidth="1"/>
    <col min="13" max="13" width="7.1796875" customWidth="1"/>
    <col min="14" max="14" width="3.453125" customWidth="1"/>
    <col min="15" max="15" width="9.81640625" bestFit="1" customWidth="1"/>
    <col min="16" max="16" width="9.36328125" customWidth="1"/>
  </cols>
  <sheetData>
    <row r="1" spans="1:27" ht="18" x14ac:dyDescent="0.4">
      <c r="B1" s="8" t="s">
        <v>790</v>
      </c>
      <c r="C1" s="3"/>
      <c r="D1" s="3"/>
      <c r="E1" s="6"/>
      <c r="F1" s="6"/>
      <c r="G1" s="3"/>
      <c r="Z1" s="72"/>
    </row>
    <row r="2" spans="1:27" ht="25.5" customHeight="1" x14ac:dyDescent="0.25">
      <c r="Z2" s="72"/>
      <c r="AA2" s="72"/>
    </row>
    <row r="3" spans="1:27" ht="18.5" thickBot="1" x14ac:dyDescent="0.45">
      <c r="B3" s="4" t="s">
        <v>99</v>
      </c>
      <c r="C3" s="5"/>
      <c r="D3" s="5"/>
      <c r="E3" s="43"/>
      <c r="H3" s="12"/>
      <c r="I3" s="12"/>
      <c r="J3" s="12"/>
      <c r="K3" s="12"/>
      <c r="L3" s="12"/>
      <c r="M3" s="12"/>
      <c r="N3" s="12"/>
      <c r="O3" s="12"/>
      <c r="Z3" s="72"/>
      <c r="AA3" s="72"/>
    </row>
    <row r="4" spans="1:27" ht="13.5" thickBot="1" x14ac:dyDescent="0.35">
      <c r="C4" s="1" t="s">
        <v>28</v>
      </c>
      <c r="D4" s="1"/>
      <c r="H4" s="629" t="s">
        <v>24</v>
      </c>
      <c r="I4" s="630"/>
      <c r="J4" s="629" t="s">
        <v>25</v>
      </c>
      <c r="K4" s="630"/>
      <c r="L4" s="629" t="s">
        <v>26</v>
      </c>
      <c r="M4" s="630"/>
      <c r="N4" s="629" t="s">
        <v>27</v>
      </c>
      <c r="O4" s="630"/>
      <c r="Z4" s="72"/>
      <c r="AA4" s="72"/>
    </row>
    <row r="5" spans="1:27" ht="13.5" thickBot="1" x14ac:dyDescent="0.35">
      <c r="C5" s="35" t="s">
        <v>29</v>
      </c>
      <c r="D5" s="35"/>
      <c r="E5" s="36" t="s">
        <v>80</v>
      </c>
      <c r="H5" s="631">
        <v>45991</v>
      </c>
      <c r="I5" s="632"/>
      <c r="J5" s="633">
        <v>46040</v>
      </c>
      <c r="K5" s="633"/>
      <c r="L5" s="633">
        <v>46103</v>
      </c>
      <c r="M5" s="633"/>
      <c r="N5" s="633">
        <v>46180</v>
      </c>
      <c r="O5" s="633"/>
      <c r="Z5" s="72"/>
      <c r="AA5" s="72"/>
    </row>
    <row r="6" spans="1:27" ht="13" thickBot="1" x14ac:dyDescent="0.3">
      <c r="H6" s="144"/>
      <c r="I6" s="10"/>
      <c r="J6" s="144"/>
      <c r="K6" s="10"/>
      <c r="L6" s="144"/>
      <c r="M6" s="10"/>
      <c r="N6" s="144"/>
      <c r="O6" s="10"/>
      <c r="Z6" s="72"/>
      <c r="AA6" s="72"/>
    </row>
    <row r="7" spans="1:27" ht="15" thickBot="1" x14ac:dyDescent="0.4">
      <c r="A7" s="428" t="s">
        <v>387</v>
      </c>
      <c r="B7" s="429" t="s">
        <v>0</v>
      </c>
      <c r="C7" s="429" t="s">
        <v>1</v>
      </c>
      <c r="D7" s="429" t="s">
        <v>109</v>
      </c>
      <c r="E7" s="430" t="s">
        <v>8</v>
      </c>
      <c r="F7" s="430" t="s">
        <v>7</v>
      </c>
      <c r="G7" s="431" t="s">
        <v>41</v>
      </c>
      <c r="H7" s="432" t="s">
        <v>105</v>
      </c>
      <c r="I7" s="433" t="s">
        <v>32</v>
      </c>
      <c r="J7" s="432" t="s">
        <v>106</v>
      </c>
      <c r="K7" s="433" t="s">
        <v>33</v>
      </c>
      <c r="L7" s="432" t="s">
        <v>107</v>
      </c>
      <c r="M7" s="433" t="s">
        <v>34</v>
      </c>
      <c r="N7" s="432" t="s">
        <v>108</v>
      </c>
      <c r="O7" s="433" t="s">
        <v>35</v>
      </c>
      <c r="P7" s="434" t="s">
        <v>6</v>
      </c>
      <c r="Z7" s="72"/>
      <c r="AA7" s="72"/>
    </row>
    <row r="8" spans="1:27" ht="15" customHeight="1" x14ac:dyDescent="0.35">
      <c r="A8" s="435">
        <v>1042</v>
      </c>
      <c r="B8" s="436" t="s">
        <v>374</v>
      </c>
      <c r="C8" s="436" t="s">
        <v>64</v>
      </c>
      <c r="D8" s="437" t="s">
        <v>111</v>
      </c>
      <c r="E8" s="438">
        <v>43037</v>
      </c>
      <c r="F8" s="439" t="s">
        <v>294</v>
      </c>
      <c r="G8" s="440">
        <v>500</v>
      </c>
      <c r="H8" s="219" t="s">
        <v>273</v>
      </c>
      <c r="I8" s="266">
        <v>11</v>
      </c>
      <c r="J8" s="441" t="s">
        <v>273</v>
      </c>
      <c r="K8" s="266">
        <v>7</v>
      </c>
      <c r="L8" s="219" t="s">
        <v>273</v>
      </c>
      <c r="M8" s="266"/>
      <c r="N8" s="219"/>
      <c r="O8" s="266"/>
      <c r="P8" s="442">
        <f t="shared" ref="P8:P39" si="0">SUM(I8:O8)</f>
        <v>18</v>
      </c>
      <c r="Z8" s="72"/>
      <c r="AA8" s="72"/>
    </row>
    <row r="9" spans="1:27" ht="15" customHeight="1" x14ac:dyDescent="0.35">
      <c r="A9" s="443">
        <v>1057</v>
      </c>
      <c r="B9" s="444" t="s">
        <v>324</v>
      </c>
      <c r="C9" s="445" t="s">
        <v>83</v>
      </c>
      <c r="D9" s="446" t="s">
        <v>111</v>
      </c>
      <c r="E9" s="377">
        <v>42825</v>
      </c>
      <c r="F9" s="180" t="s">
        <v>79</v>
      </c>
      <c r="G9" s="183">
        <v>503</v>
      </c>
      <c r="H9" s="447" t="s">
        <v>273</v>
      </c>
      <c r="I9" s="440">
        <v>9</v>
      </c>
      <c r="J9" s="448" t="s">
        <v>273</v>
      </c>
      <c r="K9" s="440">
        <v>9</v>
      </c>
      <c r="L9" s="160" t="s">
        <v>273</v>
      </c>
      <c r="M9" s="161"/>
      <c r="N9" s="160"/>
      <c r="O9" s="161"/>
      <c r="P9" s="449">
        <f t="shared" si="0"/>
        <v>18</v>
      </c>
      <c r="Z9" s="72"/>
      <c r="AA9" s="72"/>
    </row>
    <row r="10" spans="1:27" ht="15" customHeight="1" x14ac:dyDescent="0.35">
      <c r="A10" s="443">
        <v>1068</v>
      </c>
      <c r="B10" s="450" t="s">
        <v>279</v>
      </c>
      <c r="C10" s="450" t="s">
        <v>813</v>
      </c>
      <c r="D10" s="446" t="s">
        <v>111</v>
      </c>
      <c r="E10" s="383">
        <v>43264</v>
      </c>
      <c r="F10" s="181" t="s">
        <v>10</v>
      </c>
      <c r="G10" s="451">
        <v>508</v>
      </c>
      <c r="H10" s="452" t="s">
        <v>273</v>
      </c>
      <c r="I10" s="183">
        <v>8</v>
      </c>
      <c r="J10" s="453" t="s">
        <v>273</v>
      </c>
      <c r="K10" s="183">
        <v>6</v>
      </c>
      <c r="L10" s="160" t="s">
        <v>273</v>
      </c>
      <c r="M10" s="161"/>
      <c r="N10" s="160"/>
      <c r="O10" s="161"/>
      <c r="P10" s="449">
        <f t="shared" si="0"/>
        <v>14</v>
      </c>
      <c r="Z10" s="72"/>
      <c r="AA10" s="72"/>
    </row>
    <row r="11" spans="1:27" ht="15" customHeight="1" x14ac:dyDescent="0.35">
      <c r="A11" s="443">
        <v>1086</v>
      </c>
      <c r="B11" s="454" t="s">
        <v>373</v>
      </c>
      <c r="C11" s="454" t="s">
        <v>62</v>
      </c>
      <c r="D11" s="446" t="s">
        <v>111</v>
      </c>
      <c r="E11" s="193">
        <v>42820</v>
      </c>
      <c r="F11" s="181" t="s">
        <v>9</v>
      </c>
      <c r="G11" s="451">
        <v>501</v>
      </c>
      <c r="H11" s="455" t="s">
        <v>273</v>
      </c>
      <c r="I11" s="456">
        <v>8</v>
      </c>
      <c r="J11" s="457" t="s">
        <v>273</v>
      </c>
      <c r="K11" s="458">
        <v>5</v>
      </c>
      <c r="L11" s="160" t="s">
        <v>273</v>
      </c>
      <c r="M11" s="161"/>
      <c r="N11" s="160"/>
      <c r="O11" s="161"/>
      <c r="P11" s="449">
        <f t="shared" si="0"/>
        <v>13</v>
      </c>
      <c r="Z11" s="72"/>
      <c r="AA11" s="72"/>
    </row>
    <row r="12" spans="1:27" ht="15" customHeight="1" x14ac:dyDescent="0.35">
      <c r="A12" s="459">
        <v>1089</v>
      </c>
      <c r="B12" s="460" t="s">
        <v>287</v>
      </c>
      <c r="C12" s="461" t="s">
        <v>48</v>
      </c>
      <c r="D12" s="446" t="s">
        <v>111</v>
      </c>
      <c r="E12" s="462">
        <v>42968</v>
      </c>
      <c r="F12" s="181" t="s">
        <v>10</v>
      </c>
      <c r="G12" s="463">
        <v>500</v>
      </c>
      <c r="H12" s="455" t="s">
        <v>273</v>
      </c>
      <c r="I12" s="456">
        <v>6</v>
      </c>
      <c r="J12" s="464" t="s">
        <v>273</v>
      </c>
      <c r="K12" s="456">
        <v>6</v>
      </c>
      <c r="L12" s="160" t="s">
        <v>273</v>
      </c>
      <c r="M12" s="161"/>
      <c r="N12" s="160"/>
      <c r="O12" s="161"/>
      <c r="P12" s="449">
        <f t="shared" si="0"/>
        <v>12</v>
      </c>
    </row>
    <row r="13" spans="1:27" ht="15" customHeight="1" x14ac:dyDescent="0.35">
      <c r="A13" s="443">
        <v>1078</v>
      </c>
      <c r="B13" s="454" t="s">
        <v>322</v>
      </c>
      <c r="C13" s="454" t="s">
        <v>68</v>
      </c>
      <c r="D13" s="446" t="s">
        <v>111</v>
      </c>
      <c r="E13" s="193">
        <v>42927</v>
      </c>
      <c r="F13" s="181" t="s">
        <v>9</v>
      </c>
      <c r="G13" s="451">
        <v>501</v>
      </c>
      <c r="H13" s="235" t="s">
        <v>273</v>
      </c>
      <c r="I13" s="183">
        <v>7</v>
      </c>
      <c r="J13" s="465" t="s">
        <v>273</v>
      </c>
      <c r="K13" s="198">
        <v>5</v>
      </c>
      <c r="L13" s="160" t="s">
        <v>273</v>
      </c>
      <c r="M13" s="161"/>
      <c r="N13" s="160"/>
      <c r="O13" s="161"/>
      <c r="P13" s="449">
        <f t="shared" si="0"/>
        <v>12</v>
      </c>
    </row>
    <row r="14" spans="1:27" ht="15" customHeight="1" x14ac:dyDescent="0.35">
      <c r="A14" s="443">
        <v>1069</v>
      </c>
      <c r="B14" s="450" t="s">
        <v>271</v>
      </c>
      <c r="C14" s="450" t="s">
        <v>272</v>
      </c>
      <c r="D14" s="446" t="s">
        <v>111</v>
      </c>
      <c r="E14" s="383">
        <v>42911</v>
      </c>
      <c r="F14" s="181" t="s">
        <v>10</v>
      </c>
      <c r="G14" s="451">
        <v>500</v>
      </c>
      <c r="H14" s="465" t="s">
        <v>273</v>
      </c>
      <c r="I14" s="198">
        <v>6</v>
      </c>
      <c r="J14" s="466" t="s">
        <v>273</v>
      </c>
      <c r="K14" s="198">
        <v>5</v>
      </c>
      <c r="L14" s="160" t="s">
        <v>273</v>
      </c>
      <c r="M14" s="161"/>
      <c r="N14" s="160"/>
      <c r="O14" s="161"/>
      <c r="P14" s="449">
        <f t="shared" si="0"/>
        <v>11</v>
      </c>
    </row>
    <row r="15" spans="1:27" ht="15" customHeight="1" x14ac:dyDescent="0.35">
      <c r="A15" s="443">
        <v>1060</v>
      </c>
      <c r="B15" s="461" t="s">
        <v>359</v>
      </c>
      <c r="C15" s="461" t="s">
        <v>360</v>
      </c>
      <c r="D15" s="446" t="s">
        <v>111</v>
      </c>
      <c r="E15" s="377">
        <v>42802</v>
      </c>
      <c r="F15" s="180" t="s">
        <v>65</v>
      </c>
      <c r="G15" s="198">
        <v>500</v>
      </c>
      <c r="H15" s="467" t="s">
        <v>273</v>
      </c>
      <c r="I15" s="468">
        <v>6</v>
      </c>
      <c r="J15" s="467" t="s">
        <v>273</v>
      </c>
      <c r="K15" s="468">
        <v>5</v>
      </c>
      <c r="L15" s="160" t="s">
        <v>273</v>
      </c>
      <c r="M15" s="161"/>
      <c r="N15" s="160"/>
      <c r="O15" s="161"/>
      <c r="P15" s="449">
        <f t="shared" si="0"/>
        <v>11</v>
      </c>
    </row>
    <row r="16" spans="1:27" ht="15" customHeight="1" x14ac:dyDescent="0.35">
      <c r="A16" s="443">
        <v>1088</v>
      </c>
      <c r="B16" s="454" t="s">
        <v>378</v>
      </c>
      <c r="C16" s="454" t="s">
        <v>814</v>
      </c>
      <c r="D16" s="446" t="s">
        <v>111</v>
      </c>
      <c r="E16" s="193">
        <v>43180</v>
      </c>
      <c r="F16" s="181" t="s">
        <v>9</v>
      </c>
      <c r="G16" s="451">
        <v>500</v>
      </c>
      <c r="H16" s="235" t="s">
        <v>273</v>
      </c>
      <c r="I16" s="183">
        <v>4</v>
      </c>
      <c r="J16" s="465" t="s">
        <v>273</v>
      </c>
      <c r="K16" s="198">
        <v>5</v>
      </c>
      <c r="L16" s="160" t="s">
        <v>273</v>
      </c>
      <c r="M16" s="161"/>
      <c r="N16" s="160"/>
      <c r="O16" s="161"/>
      <c r="P16" s="449">
        <f t="shared" si="0"/>
        <v>9</v>
      </c>
    </row>
    <row r="17" spans="1:16" ht="15" customHeight="1" x14ac:dyDescent="0.35">
      <c r="A17" s="443">
        <v>1030</v>
      </c>
      <c r="B17" s="461" t="s">
        <v>321</v>
      </c>
      <c r="C17" s="461" t="s">
        <v>815</v>
      </c>
      <c r="D17" s="446" t="s">
        <v>111</v>
      </c>
      <c r="E17" s="377">
        <v>43154</v>
      </c>
      <c r="F17" s="180" t="s">
        <v>65</v>
      </c>
      <c r="G17" s="198">
        <v>500</v>
      </c>
      <c r="H17" s="235" t="s">
        <v>273</v>
      </c>
      <c r="I17" s="183">
        <v>6</v>
      </c>
      <c r="J17" s="465" t="s">
        <v>273</v>
      </c>
      <c r="K17" s="198">
        <v>3</v>
      </c>
      <c r="L17" s="160" t="s">
        <v>273</v>
      </c>
      <c r="M17" s="161"/>
      <c r="N17" s="160"/>
      <c r="O17" s="161"/>
      <c r="P17" s="449">
        <f t="shared" si="0"/>
        <v>9</v>
      </c>
    </row>
    <row r="18" spans="1:16" ht="15" customHeight="1" x14ac:dyDescent="0.35">
      <c r="A18" s="443">
        <v>1059</v>
      </c>
      <c r="B18" s="461" t="s">
        <v>379</v>
      </c>
      <c r="C18" s="461" t="s">
        <v>246</v>
      </c>
      <c r="D18" s="446" t="s">
        <v>111</v>
      </c>
      <c r="E18" s="399">
        <v>42816</v>
      </c>
      <c r="F18" s="180" t="s">
        <v>12</v>
      </c>
      <c r="G18" s="198">
        <v>500</v>
      </c>
      <c r="H18" s="467" t="s">
        <v>273</v>
      </c>
      <c r="I18" s="468">
        <v>7</v>
      </c>
      <c r="J18" s="469" t="s">
        <v>273</v>
      </c>
      <c r="K18" s="468">
        <v>2</v>
      </c>
      <c r="L18" s="160"/>
      <c r="M18" s="161"/>
      <c r="N18" s="160"/>
      <c r="O18" s="161"/>
      <c r="P18" s="449">
        <f t="shared" si="0"/>
        <v>9</v>
      </c>
    </row>
    <row r="19" spans="1:16" ht="15" customHeight="1" x14ac:dyDescent="0.35">
      <c r="A19" s="443">
        <v>1087</v>
      </c>
      <c r="B19" s="454" t="s">
        <v>376</v>
      </c>
      <c r="C19" s="454" t="s">
        <v>377</v>
      </c>
      <c r="D19" s="446" t="s">
        <v>111</v>
      </c>
      <c r="E19" s="193">
        <v>43406</v>
      </c>
      <c r="F19" s="181" t="s">
        <v>9</v>
      </c>
      <c r="G19" s="451">
        <v>500</v>
      </c>
      <c r="H19" s="235" t="s">
        <v>273</v>
      </c>
      <c r="I19" s="183">
        <v>6</v>
      </c>
      <c r="J19" s="465" t="s">
        <v>273</v>
      </c>
      <c r="K19" s="198">
        <v>1</v>
      </c>
      <c r="L19" s="160" t="s">
        <v>273</v>
      </c>
      <c r="M19" s="161"/>
      <c r="N19" s="160"/>
      <c r="O19" s="161"/>
      <c r="P19" s="449">
        <f t="shared" si="0"/>
        <v>7</v>
      </c>
    </row>
    <row r="20" spans="1:16" ht="15" customHeight="1" x14ac:dyDescent="0.35">
      <c r="A20" s="443">
        <v>1029</v>
      </c>
      <c r="B20" s="470" t="s">
        <v>340</v>
      </c>
      <c r="C20" s="470" t="s">
        <v>341</v>
      </c>
      <c r="D20" s="446" t="s">
        <v>110</v>
      </c>
      <c r="E20" s="377">
        <v>43181</v>
      </c>
      <c r="F20" s="180" t="s">
        <v>294</v>
      </c>
      <c r="G20" s="198">
        <v>500</v>
      </c>
      <c r="H20" s="235" t="s">
        <v>273</v>
      </c>
      <c r="I20" s="183">
        <v>7</v>
      </c>
      <c r="J20" s="235"/>
      <c r="K20" s="183"/>
      <c r="L20" s="160"/>
      <c r="M20" s="161"/>
      <c r="N20" s="160"/>
      <c r="O20" s="161"/>
      <c r="P20" s="449">
        <f t="shared" si="0"/>
        <v>7</v>
      </c>
    </row>
    <row r="21" spans="1:16" ht="15" customHeight="1" x14ac:dyDescent="0.35">
      <c r="A21" s="443">
        <v>1031</v>
      </c>
      <c r="B21" s="470" t="s">
        <v>357</v>
      </c>
      <c r="C21" s="470" t="s">
        <v>148</v>
      </c>
      <c r="D21" s="446" t="s">
        <v>111</v>
      </c>
      <c r="E21" s="377">
        <v>43151</v>
      </c>
      <c r="F21" s="180" t="s">
        <v>294</v>
      </c>
      <c r="G21" s="198">
        <v>500</v>
      </c>
      <c r="H21" s="235" t="s">
        <v>273</v>
      </c>
      <c r="I21" s="183">
        <v>7</v>
      </c>
      <c r="J21" s="235"/>
      <c r="K21" s="183"/>
      <c r="L21" s="160"/>
      <c r="M21" s="161"/>
      <c r="N21" s="160"/>
      <c r="O21" s="161"/>
      <c r="P21" s="449">
        <f t="shared" si="0"/>
        <v>7</v>
      </c>
    </row>
    <row r="22" spans="1:16" ht="15" customHeight="1" x14ac:dyDescent="0.35">
      <c r="A22" s="443">
        <v>1073</v>
      </c>
      <c r="B22" s="454" t="s">
        <v>280</v>
      </c>
      <c r="C22" s="454" t="s">
        <v>48</v>
      </c>
      <c r="D22" s="446" t="s">
        <v>111</v>
      </c>
      <c r="E22" s="193">
        <v>43245</v>
      </c>
      <c r="F22" s="181" t="s">
        <v>9</v>
      </c>
      <c r="G22" s="451">
        <v>500</v>
      </c>
      <c r="H22" s="467" t="s">
        <v>273</v>
      </c>
      <c r="I22" s="468">
        <v>6</v>
      </c>
      <c r="J22" s="471"/>
      <c r="K22" s="472"/>
      <c r="L22" s="160" t="s">
        <v>273</v>
      </c>
      <c r="M22" s="161"/>
      <c r="N22" s="160"/>
      <c r="O22" s="161"/>
      <c r="P22" s="449">
        <f t="shared" si="0"/>
        <v>6</v>
      </c>
    </row>
    <row r="23" spans="1:16" ht="15" customHeight="1" x14ac:dyDescent="0.35">
      <c r="A23" s="443">
        <v>1079</v>
      </c>
      <c r="B23" s="454" t="s">
        <v>323</v>
      </c>
      <c r="C23" s="454" t="s">
        <v>152</v>
      </c>
      <c r="D23" s="446" t="s">
        <v>111</v>
      </c>
      <c r="E23" s="193">
        <v>43047</v>
      </c>
      <c r="F23" s="181" t="s">
        <v>9</v>
      </c>
      <c r="G23" s="451">
        <v>501</v>
      </c>
      <c r="H23" s="235" t="s">
        <v>273</v>
      </c>
      <c r="I23" s="183">
        <v>6</v>
      </c>
      <c r="J23" s="465"/>
      <c r="K23" s="198"/>
      <c r="L23" s="160" t="s">
        <v>273</v>
      </c>
      <c r="M23" s="161"/>
      <c r="N23" s="160"/>
      <c r="O23" s="161"/>
      <c r="P23" s="449">
        <f t="shared" si="0"/>
        <v>6</v>
      </c>
    </row>
    <row r="24" spans="1:16" ht="15" customHeight="1" x14ac:dyDescent="0.35">
      <c r="A24" s="443">
        <v>1062</v>
      </c>
      <c r="B24" s="461" t="s">
        <v>305</v>
      </c>
      <c r="C24" s="461" t="s">
        <v>124</v>
      </c>
      <c r="D24" s="446" t="s">
        <v>111</v>
      </c>
      <c r="E24" s="399">
        <v>42785</v>
      </c>
      <c r="F24" s="180" t="s">
        <v>12</v>
      </c>
      <c r="G24" s="198">
        <v>500</v>
      </c>
      <c r="H24" s="235" t="s">
        <v>273</v>
      </c>
      <c r="I24" s="183">
        <v>6</v>
      </c>
      <c r="J24" s="235"/>
      <c r="K24" s="183"/>
      <c r="L24" s="160"/>
      <c r="M24" s="161"/>
      <c r="N24" s="160"/>
      <c r="O24" s="161"/>
      <c r="P24" s="449">
        <f t="shared" si="0"/>
        <v>6</v>
      </c>
    </row>
    <row r="25" spans="1:16" ht="15" customHeight="1" x14ac:dyDescent="0.35">
      <c r="A25" s="443">
        <v>1036</v>
      </c>
      <c r="B25" s="470" t="s">
        <v>313</v>
      </c>
      <c r="C25" s="470" t="s">
        <v>162</v>
      </c>
      <c r="D25" s="446" t="s">
        <v>111</v>
      </c>
      <c r="E25" s="377">
        <v>43092</v>
      </c>
      <c r="F25" s="180" t="s">
        <v>66</v>
      </c>
      <c r="G25" s="473">
        <v>500</v>
      </c>
      <c r="H25" s="235" t="s">
        <v>273</v>
      </c>
      <c r="I25" s="183">
        <v>3</v>
      </c>
      <c r="J25" s="453" t="s">
        <v>273</v>
      </c>
      <c r="K25" s="183">
        <v>1</v>
      </c>
      <c r="L25" s="160" t="s">
        <v>273</v>
      </c>
      <c r="M25" s="161"/>
      <c r="N25" s="160"/>
      <c r="O25" s="161"/>
      <c r="P25" s="449">
        <f t="shared" si="0"/>
        <v>4</v>
      </c>
    </row>
    <row r="26" spans="1:16" ht="15" customHeight="1" x14ac:dyDescent="0.35">
      <c r="A26" s="443">
        <v>1018</v>
      </c>
      <c r="B26" s="461" t="s">
        <v>306</v>
      </c>
      <c r="C26" s="461" t="s">
        <v>307</v>
      </c>
      <c r="D26" s="446" t="s">
        <v>110</v>
      </c>
      <c r="E26" s="377">
        <v>43293</v>
      </c>
      <c r="F26" s="180" t="s">
        <v>65</v>
      </c>
      <c r="G26" s="198">
        <v>500</v>
      </c>
      <c r="H26" s="219" t="s">
        <v>273</v>
      </c>
      <c r="I26" s="266">
        <v>3</v>
      </c>
      <c r="J26" s="447"/>
      <c r="K26" s="440"/>
      <c r="L26" s="160" t="s">
        <v>273</v>
      </c>
      <c r="M26" s="161"/>
      <c r="N26" s="160"/>
      <c r="O26" s="161"/>
      <c r="P26" s="449">
        <f t="shared" si="0"/>
        <v>3</v>
      </c>
    </row>
    <row r="27" spans="1:16" ht="15" customHeight="1" x14ac:dyDescent="0.35">
      <c r="A27" s="443">
        <v>1039</v>
      </c>
      <c r="B27" s="461" t="s">
        <v>375</v>
      </c>
      <c r="C27" s="461" t="s">
        <v>181</v>
      </c>
      <c r="D27" s="446" t="s">
        <v>111</v>
      </c>
      <c r="E27" s="399">
        <v>43081</v>
      </c>
      <c r="F27" s="180" t="s">
        <v>12</v>
      </c>
      <c r="G27" s="198">
        <v>500</v>
      </c>
      <c r="H27" s="474" t="s">
        <v>273</v>
      </c>
      <c r="I27" s="468">
        <v>1</v>
      </c>
      <c r="J27" s="469" t="s">
        <v>273</v>
      </c>
      <c r="K27" s="468">
        <v>2</v>
      </c>
      <c r="L27" s="160" t="s">
        <v>273</v>
      </c>
      <c r="M27" s="161"/>
      <c r="N27" s="160"/>
      <c r="O27" s="161"/>
      <c r="P27" s="449">
        <f t="shared" si="0"/>
        <v>3</v>
      </c>
    </row>
    <row r="28" spans="1:16" ht="15" customHeight="1" x14ac:dyDescent="0.35">
      <c r="A28" s="443">
        <v>1028</v>
      </c>
      <c r="B28" s="460" t="s">
        <v>281</v>
      </c>
      <c r="C28" s="460" t="s">
        <v>735</v>
      </c>
      <c r="D28" s="446" t="s">
        <v>111</v>
      </c>
      <c r="E28" s="377">
        <v>43182</v>
      </c>
      <c r="F28" s="180" t="s">
        <v>13</v>
      </c>
      <c r="G28" s="198">
        <v>500</v>
      </c>
      <c r="H28" s="235" t="s">
        <v>273</v>
      </c>
      <c r="I28" s="183">
        <v>2</v>
      </c>
      <c r="J28" s="465"/>
      <c r="K28" s="198"/>
      <c r="L28" s="160"/>
      <c r="M28" s="161"/>
      <c r="N28" s="160"/>
      <c r="O28" s="161"/>
      <c r="P28" s="449">
        <f t="shared" si="0"/>
        <v>2</v>
      </c>
    </row>
    <row r="29" spans="1:16" ht="15" customHeight="1" x14ac:dyDescent="0.35">
      <c r="A29" s="443">
        <v>1074</v>
      </c>
      <c r="B29" s="460" t="s">
        <v>295</v>
      </c>
      <c r="C29" s="461" t="s">
        <v>296</v>
      </c>
      <c r="D29" s="446" t="s">
        <v>111</v>
      </c>
      <c r="E29" s="193">
        <v>43176</v>
      </c>
      <c r="F29" s="181" t="s">
        <v>9</v>
      </c>
      <c r="G29" s="451">
        <v>500</v>
      </c>
      <c r="H29" s="235" t="s">
        <v>273</v>
      </c>
      <c r="I29" s="248">
        <v>2</v>
      </c>
      <c r="J29" s="465"/>
      <c r="K29" s="475"/>
      <c r="L29" s="160"/>
      <c r="M29" s="161"/>
      <c r="N29" s="160"/>
      <c r="O29" s="161"/>
      <c r="P29" s="449">
        <f t="shared" si="0"/>
        <v>2</v>
      </c>
    </row>
    <row r="30" spans="1:16" ht="15" customHeight="1" x14ac:dyDescent="0.35">
      <c r="A30" s="443">
        <v>1035</v>
      </c>
      <c r="B30" s="461" t="s">
        <v>282</v>
      </c>
      <c r="C30" s="461" t="s">
        <v>283</v>
      </c>
      <c r="D30" s="446" t="s">
        <v>111</v>
      </c>
      <c r="E30" s="399">
        <v>43110</v>
      </c>
      <c r="F30" s="180" t="s">
        <v>12</v>
      </c>
      <c r="G30" s="198">
        <v>500</v>
      </c>
      <c r="H30" s="455" t="s">
        <v>273</v>
      </c>
      <c r="I30" s="456">
        <v>1</v>
      </c>
      <c r="J30" s="464" t="s">
        <v>273</v>
      </c>
      <c r="K30" s="456">
        <v>1</v>
      </c>
      <c r="L30" s="160"/>
      <c r="M30" s="161"/>
      <c r="N30" s="160"/>
      <c r="O30" s="161"/>
      <c r="P30" s="449">
        <f t="shared" si="0"/>
        <v>2</v>
      </c>
    </row>
    <row r="31" spans="1:16" ht="15" customHeight="1" x14ac:dyDescent="0.35">
      <c r="A31" s="443">
        <v>1038</v>
      </c>
      <c r="B31" s="470" t="s">
        <v>334</v>
      </c>
      <c r="C31" s="470" t="s">
        <v>335</v>
      </c>
      <c r="D31" s="446" t="s">
        <v>110</v>
      </c>
      <c r="E31" s="377">
        <v>43086</v>
      </c>
      <c r="F31" s="180" t="s">
        <v>66</v>
      </c>
      <c r="G31" s="473">
        <v>500</v>
      </c>
      <c r="H31" s="452" t="s">
        <v>273</v>
      </c>
      <c r="I31" s="183">
        <v>2</v>
      </c>
      <c r="J31" s="235"/>
      <c r="K31" s="183"/>
      <c r="L31" s="160"/>
      <c r="M31" s="161"/>
      <c r="N31" s="160"/>
      <c r="O31" s="161"/>
      <c r="P31" s="449">
        <f t="shared" si="0"/>
        <v>2</v>
      </c>
    </row>
    <row r="32" spans="1:16" ht="15" customHeight="1" x14ac:dyDescent="0.35">
      <c r="A32" s="443">
        <v>1063</v>
      </c>
      <c r="B32" s="461" t="s">
        <v>277</v>
      </c>
      <c r="C32" s="461" t="s">
        <v>210</v>
      </c>
      <c r="D32" s="446" t="s">
        <v>111</v>
      </c>
      <c r="E32" s="399">
        <v>42765</v>
      </c>
      <c r="F32" s="180" t="s">
        <v>12</v>
      </c>
      <c r="G32" s="198">
        <v>500</v>
      </c>
      <c r="H32" s="235" t="s">
        <v>273</v>
      </c>
      <c r="I32" s="183">
        <v>2</v>
      </c>
      <c r="J32" s="235"/>
      <c r="K32" s="183"/>
      <c r="L32" s="160" t="s">
        <v>273</v>
      </c>
      <c r="M32" s="161"/>
      <c r="N32" s="160"/>
      <c r="O32" s="161"/>
      <c r="P32" s="449">
        <f t="shared" si="0"/>
        <v>2</v>
      </c>
    </row>
    <row r="33" spans="1:16" ht="15" customHeight="1" x14ac:dyDescent="0.35">
      <c r="A33" s="443">
        <v>1004</v>
      </c>
      <c r="B33" s="460" t="s">
        <v>285</v>
      </c>
      <c r="C33" s="460" t="s">
        <v>182</v>
      </c>
      <c r="D33" s="446" t="s">
        <v>111</v>
      </c>
      <c r="E33" s="377">
        <v>43818</v>
      </c>
      <c r="F33" s="180" t="s">
        <v>13</v>
      </c>
      <c r="G33" s="198">
        <v>500</v>
      </c>
      <c r="H33" s="235" t="s">
        <v>273</v>
      </c>
      <c r="I33" s="183">
        <v>1</v>
      </c>
      <c r="J33" s="235"/>
      <c r="K33" s="183"/>
      <c r="L33" s="160"/>
      <c r="M33" s="161"/>
      <c r="N33" s="160"/>
      <c r="O33" s="161"/>
      <c r="P33" s="449">
        <f t="shared" si="0"/>
        <v>1</v>
      </c>
    </row>
    <row r="34" spans="1:16" ht="15" customHeight="1" x14ac:dyDescent="0.35">
      <c r="A34" s="443">
        <v>1019</v>
      </c>
      <c r="B34" s="461" t="s">
        <v>306</v>
      </c>
      <c r="C34" s="461" t="s">
        <v>308</v>
      </c>
      <c r="D34" s="446" t="s">
        <v>111</v>
      </c>
      <c r="E34" s="377">
        <v>43293</v>
      </c>
      <c r="F34" s="180" t="s">
        <v>65</v>
      </c>
      <c r="G34" s="198">
        <v>500</v>
      </c>
      <c r="H34" s="235" t="s">
        <v>273</v>
      </c>
      <c r="I34" s="183">
        <v>1</v>
      </c>
      <c r="J34" s="235"/>
      <c r="K34" s="183"/>
      <c r="L34" s="160"/>
      <c r="M34" s="161"/>
      <c r="N34" s="160"/>
      <c r="O34" s="161"/>
      <c r="P34" s="449">
        <f t="shared" si="0"/>
        <v>1</v>
      </c>
    </row>
    <row r="35" spans="1:16" ht="15" customHeight="1" x14ac:dyDescent="0.35">
      <c r="A35" s="443">
        <v>1045</v>
      </c>
      <c r="B35" s="461" t="s">
        <v>361</v>
      </c>
      <c r="C35" s="461" t="s">
        <v>362</v>
      </c>
      <c r="D35" s="446" t="s">
        <v>111</v>
      </c>
      <c r="E35" s="377">
        <v>43031</v>
      </c>
      <c r="F35" s="180" t="s">
        <v>37</v>
      </c>
      <c r="G35" s="198">
        <v>500</v>
      </c>
      <c r="H35" s="235" t="s">
        <v>273</v>
      </c>
      <c r="I35" s="183">
        <v>1</v>
      </c>
      <c r="J35" s="235"/>
      <c r="K35" s="183"/>
      <c r="L35" s="160"/>
      <c r="M35" s="161"/>
      <c r="N35" s="160"/>
      <c r="O35" s="161"/>
      <c r="P35" s="449">
        <f t="shared" si="0"/>
        <v>1</v>
      </c>
    </row>
    <row r="36" spans="1:16" ht="15" customHeight="1" x14ac:dyDescent="0.35">
      <c r="A36" s="443">
        <v>1083</v>
      </c>
      <c r="B36" s="454" t="s">
        <v>352</v>
      </c>
      <c r="C36" s="454" t="s">
        <v>62</v>
      </c>
      <c r="D36" s="446" t="s">
        <v>111</v>
      </c>
      <c r="E36" s="193">
        <v>42961</v>
      </c>
      <c r="F36" s="181" t="s">
        <v>9</v>
      </c>
      <c r="G36" s="451">
        <v>500</v>
      </c>
      <c r="H36" s="455" t="s">
        <v>273</v>
      </c>
      <c r="I36" s="456" t="s">
        <v>273</v>
      </c>
      <c r="J36" s="457" t="s">
        <v>273</v>
      </c>
      <c r="K36" s="458">
        <v>1</v>
      </c>
      <c r="L36" s="160" t="s">
        <v>273</v>
      </c>
      <c r="M36" s="161"/>
      <c r="N36" s="160"/>
      <c r="O36" s="161"/>
      <c r="P36" s="449">
        <f t="shared" si="0"/>
        <v>1</v>
      </c>
    </row>
    <row r="37" spans="1:16" ht="15" customHeight="1" x14ac:dyDescent="0.35">
      <c r="A37" s="443">
        <v>1072</v>
      </c>
      <c r="B37" s="454" t="s">
        <v>278</v>
      </c>
      <c r="C37" s="454" t="s">
        <v>816</v>
      </c>
      <c r="D37" s="446" t="s">
        <v>111</v>
      </c>
      <c r="E37" s="193">
        <v>42775</v>
      </c>
      <c r="F37" s="181" t="s">
        <v>9</v>
      </c>
      <c r="G37" s="451">
        <v>500</v>
      </c>
      <c r="H37" s="235" t="s">
        <v>273</v>
      </c>
      <c r="I37" s="183">
        <v>1</v>
      </c>
      <c r="J37" s="465"/>
      <c r="K37" s="198"/>
      <c r="L37" s="160"/>
      <c r="M37" s="161"/>
      <c r="N37" s="160"/>
      <c r="O37" s="161"/>
      <c r="P37" s="449">
        <f t="shared" si="0"/>
        <v>1</v>
      </c>
    </row>
    <row r="38" spans="1:16" ht="15" customHeight="1" x14ac:dyDescent="0.35">
      <c r="A38" s="443">
        <v>1000</v>
      </c>
      <c r="B38" s="460" t="s">
        <v>288</v>
      </c>
      <c r="C38" s="460" t="s">
        <v>817</v>
      </c>
      <c r="D38" s="446" t="s">
        <v>110</v>
      </c>
      <c r="E38" s="188">
        <v>44506</v>
      </c>
      <c r="F38" s="180" t="s">
        <v>13</v>
      </c>
      <c r="G38" s="476" t="s">
        <v>126</v>
      </c>
      <c r="H38" s="235"/>
      <c r="I38" s="183"/>
      <c r="J38" s="465"/>
      <c r="K38" s="198"/>
      <c r="L38" s="160"/>
      <c r="M38" s="161"/>
      <c r="N38" s="160"/>
      <c r="O38" s="161"/>
      <c r="P38" s="449">
        <f t="shared" si="0"/>
        <v>0</v>
      </c>
    </row>
    <row r="39" spans="1:16" ht="15" customHeight="1" x14ac:dyDescent="0.35">
      <c r="A39" s="443">
        <v>1001</v>
      </c>
      <c r="B39" s="460" t="s">
        <v>368</v>
      </c>
      <c r="C39" s="460" t="s">
        <v>153</v>
      </c>
      <c r="D39" s="446" t="s">
        <v>111</v>
      </c>
      <c r="E39" s="188">
        <v>44497</v>
      </c>
      <c r="F39" s="180" t="s">
        <v>13</v>
      </c>
      <c r="G39" s="476" t="s">
        <v>126</v>
      </c>
      <c r="H39" s="235"/>
      <c r="I39" s="183"/>
      <c r="J39" s="235"/>
      <c r="K39" s="183"/>
      <c r="L39" s="160"/>
      <c r="M39" s="161"/>
      <c r="N39" s="160"/>
      <c r="O39" s="161"/>
      <c r="P39" s="449">
        <f t="shared" si="0"/>
        <v>0</v>
      </c>
    </row>
    <row r="40" spans="1:16" ht="15" customHeight="1" x14ac:dyDescent="0.35">
      <c r="A40" s="443">
        <v>1071</v>
      </c>
      <c r="B40" s="454" t="s">
        <v>274</v>
      </c>
      <c r="C40" s="454" t="s">
        <v>276</v>
      </c>
      <c r="D40" s="446" t="s">
        <v>111</v>
      </c>
      <c r="E40" s="193">
        <v>44075</v>
      </c>
      <c r="F40" s="181" t="s">
        <v>9</v>
      </c>
      <c r="G40" s="451">
        <v>500</v>
      </c>
      <c r="H40" s="235"/>
      <c r="I40" s="183"/>
      <c r="J40" s="465"/>
      <c r="K40" s="198"/>
      <c r="L40" s="160"/>
      <c r="M40" s="161"/>
      <c r="N40" s="160"/>
      <c r="O40" s="161"/>
      <c r="P40" s="449">
        <f t="shared" ref="P40:P71" si="1">SUM(I40:O40)</f>
        <v>0</v>
      </c>
    </row>
    <row r="41" spans="1:16" ht="15" customHeight="1" x14ac:dyDescent="0.35">
      <c r="A41" s="443">
        <v>1076</v>
      </c>
      <c r="B41" s="454" t="s">
        <v>316</v>
      </c>
      <c r="C41" s="454" t="s">
        <v>153</v>
      </c>
      <c r="D41" s="446" t="s">
        <v>111</v>
      </c>
      <c r="E41" s="193">
        <v>44000</v>
      </c>
      <c r="F41" s="181" t="s">
        <v>9</v>
      </c>
      <c r="G41" s="451">
        <v>500</v>
      </c>
      <c r="H41" s="235"/>
      <c r="I41" s="183"/>
      <c r="J41" s="465"/>
      <c r="K41" s="198"/>
      <c r="L41" s="160"/>
      <c r="M41" s="161"/>
      <c r="N41" s="160"/>
      <c r="O41" s="161"/>
      <c r="P41" s="449">
        <f t="shared" si="1"/>
        <v>0</v>
      </c>
    </row>
    <row r="42" spans="1:16" ht="15" customHeight="1" x14ac:dyDescent="0.35">
      <c r="A42" s="443">
        <v>1002</v>
      </c>
      <c r="B42" s="460" t="s">
        <v>384</v>
      </c>
      <c r="C42" s="460" t="s">
        <v>385</v>
      </c>
      <c r="D42" s="446" t="s">
        <v>110</v>
      </c>
      <c r="E42" s="188">
        <v>43983</v>
      </c>
      <c r="F42" s="180" t="s">
        <v>13</v>
      </c>
      <c r="G42" s="476" t="s">
        <v>126</v>
      </c>
      <c r="H42" s="235"/>
      <c r="I42" s="183"/>
      <c r="J42" s="235"/>
      <c r="K42" s="183"/>
      <c r="L42" s="160"/>
      <c r="M42" s="161"/>
      <c r="N42" s="160"/>
      <c r="O42" s="161"/>
      <c r="P42" s="449">
        <f t="shared" si="1"/>
        <v>0</v>
      </c>
    </row>
    <row r="43" spans="1:16" ht="15" customHeight="1" x14ac:dyDescent="0.35">
      <c r="A43" s="443">
        <v>1003</v>
      </c>
      <c r="B43" s="460" t="s">
        <v>332</v>
      </c>
      <c r="C43" s="460" t="s">
        <v>333</v>
      </c>
      <c r="D43" s="446" t="s">
        <v>110</v>
      </c>
      <c r="E43" s="188">
        <v>43962</v>
      </c>
      <c r="F43" s="180" t="s">
        <v>13</v>
      </c>
      <c r="G43" s="476" t="s">
        <v>126</v>
      </c>
      <c r="H43" s="452"/>
      <c r="I43" s="183"/>
      <c r="J43" s="455"/>
      <c r="K43" s="456"/>
      <c r="L43" s="160"/>
      <c r="M43" s="161"/>
      <c r="N43" s="160"/>
      <c r="O43" s="161"/>
      <c r="P43" s="449">
        <f t="shared" si="1"/>
        <v>0</v>
      </c>
    </row>
    <row r="44" spans="1:16" ht="15" customHeight="1" x14ac:dyDescent="0.35">
      <c r="A44" s="443">
        <v>1082</v>
      </c>
      <c r="B44" s="454" t="s">
        <v>348</v>
      </c>
      <c r="C44" s="454" t="s">
        <v>113</v>
      </c>
      <c r="D44" s="446" t="s">
        <v>111</v>
      </c>
      <c r="E44" s="193">
        <v>43882</v>
      </c>
      <c r="F44" s="181" t="s">
        <v>9</v>
      </c>
      <c r="G44" s="451">
        <v>500</v>
      </c>
      <c r="H44" s="455"/>
      <c r="I44" s="456"/>
      <c r="J44" s="465"/>
      <c r="K44" s="198"/>
      <c r="L44" s="160"/>
      <c r="M44" s="161"/>
      <c r="N44" s="160"/>
      <c r="O44" s="161"/>
      <c r="P44" s="449">
        <f t="shared" si="1"/>
        <v>0</v>
      </c>
    </row>
    <row r="45" spans="1:16" ht="15" customHeight="1" x14ac:dyDescent="0.35">
      <c r="A45" s="443">
        <v>1005</v>
      </c>
      <c r="B45" s="470" t="s">
        <v>818</v>
      </c>
      <c r="C45" s="470" t="s">
        <v>355</v>
      </c>
      <c r="D45" s="446" t="s">
        <v>110</v>
      </c>
      <c r="E45" s="188">
        <v>43818</v>
      </c>
      <c r="F45" s="180" t="s">
        <v>294</v>
      </c>
      <c r="G45" s="198" t="s">
        <v>126</v>
      </c>
      <c r="H45" s="235"/>
      <c r="I45" s="183"/>
      <c r="J45" s="235"/>
      <c r="K45" s="183"/>
      <c r="L45" s="160"/>
      <c r="M45" s="161"/>
      <c r="N45" s="160"/>
      <c r="O45" s="161"/>
      <c r="P45" s="449">
        <f t="shared" si="1"/>
        <v>0</v>
      </c>
    </row>
    <row r="46" spans="1:16" ht="15" customHeight="1" x14ac:dyDescent="0.35">
      <c r="A46" s="443">
        <v>1006</v>
      </c>
      <c r="B46" s="460" t="s">
        <v>325</v>
      </c>
      <c r="C46" s="460" t="s">
        <v>326</v>
      </c>
      <c r="D46" s="446" t="s">
        <v>110</v>
      </c>
      <c r="E46" s="188">
        <v>43694</v>
      </c>
      <c r="F46" s="180" t="s">
        <v>13</v>
      </c>
      <c r="G46" s="476" t="s">
        <v>126</v>
      </c>
      <c r="H46" s="235"/>
      <c r="I46" s="183"/>
      <c r="J46" s="235"/>
      <c r="K46" s="183"/>
      <c r="L46" s="160"/>
      <c r="M46" s="161"/>
      <c r="N46" s="160"/>
      <c r="O46" s="161"/>
      <c r="P46" s="449">
        <f t="shared" si="1"/>
        <v>0</v>
      </c>
    </row>
    <row r="47" spans="1:16" ht="15" customHeight="1" x14ac:dyDescent="0.35">
      <c r="A47" s="443">
        <v>1007</v>
      </c>
      <c r="B47" s="460" t="s">
        <v>327</v>
      </c>
      <c r="C47" s="460" t="s">
        <v>187</v>
      </c>
      <c r="D47" s="446" t="s">
        <v>111</v>
      </c>
      <c r="E47" s="188">
        <v>43686</v>
      </c>
      <c r="F47" s="180" t="s">
        <v>13</v>
      </c>
      <c r="G47" s="476" t="s">
        <v>126</v>
      </c>
      <c r="H47" s="467"/>
      <c r="I47" s="468"/>
      <c r="J47" s="467"/>
      <c r="K47" s="468"/>
      <c r="L47" s="160"/>
      <c r="M47" s="161"/>
      <c r="N47" s="160"/>
      <c r="O47" s="161"/>
      <c r="P47" s="449">
        <f t="shared" si="1"/>
        <v>0</v>
      </c>
    </row>
    <row r="48" spans="1:16" ht="15" customHeight="1" x14ac:dyDescent="0.35">
      <c r="A48" s="443">
        <v>1008</v>
      </c>
      <c r="B48" s="460" t="s">
        <v>363</v>
      </c>
      <c r="C48" s="460" t="s">
        <v>339</v>
      </c>
      <c r="D48" s="446" t="s">
        <v>110</v>
      </c>
      <c r="E48" s="188">
        <v>43645</v>
      </c>
      <c r="F48" s="180" t="s">
        <v>13</v>
      </c>
      <c r="G48" s="476" t="s">
        <v>126</v>
      </c>
      <c r="H48" s="455"/>
      <c r="I48" s="456"/>
      <c r="J48" s="455"/>
      <c r="K48" s="456"/>
      <c r="L48" s="160"/>
      <c r="M48" s="161"/>
      <c r="N48" s="160"/>
      <c r="O48" s="161"/>
      <c r="P48" s="449">
        <f t="shared" si="1"/>
        <v>0</v>
      </c>
    </row>
    <row r="49" spans="1:27" ht="15" customHeight="1" x14ac:dyDescent="0.35">
      <c r="A49" s="443">
        <v>1009</v>
      </c>
      <c r="B49" s="460" t="s">
        <v>288</v>
      </c>
      <c r="C49" s="460" t="s">
        <v>289</v>
      </c>
      <c r="D49" s="446" t="s">
        <v>111</v>
      </c>
      <c r="E49" s="188">
        <v>43527</v>
      </c>
      <c r="F49" s="180" t="s">
        <v>13</v>
      </c>
      <c r="G49" s="476" t="s">
        <v>126</v>
      </c>
      <c r="H49" s="465"/>
      <c r="I49" s="198"/>
      <c r="J49" s="465"/>
      <c r="K49" s="198"/>
      <c r="L49" s="160"/>
      <c r="M49" s="161"/>
      <c r="N49" s="160"/>
      <c r="O49" s="161"/>
      <c r="P49" s="449">
        <f t="shared" si="1"/>
        <v>0</v>
      </c>
    </row>
    <row r="50" spans="1:27" ht="15" customHeight="1" x14ac:dyDescent="0.35">
      <c r="A50" s="443">
        <v>1010</v>
      </c>
      <c r="B50" s="460" t="s">
        <v>328</v>
      </c>
      <c r="C50" s="460" t="s">
        <v>89</v>
      </c>
      <c r="D50" s="446" t="s">
        <v>111</v>
      </c>
      <c r="E50" s="188">
        <v>43506</v>
      </c>
      <c r="F50" s="180" t="s">
        <v>13</v>
      </c>
      <c r="G50" s="476" t="s">
        <v>126</v>
      </c>
      <c r="H50" s="235"/>
      <c r="I50" s="183"/>
      <c r="J50" s="465"/>
      <c r="K50" s="198"/>
      <c r="L50" s="160"/>
      <c r="M50" s="161"/>
      <c r="N50" s="160"/>
      <c r="O50" s="161"/>
      <c r="P50" s="449">
        <f t="shared" si="1"/>
        <v>0</v>
      </c>
    </row>
    <row r="51" spans="1:27" ht="15" customHeight="1" x14ac:dyDescent="0.35">
      <c r="A51" s="443">
        <v>1011</v>
      </c>
      <c r="B51" s="445" t="s">
        <v>343</v>
      </c>
      <c r="C51" s="445" t="s">
        <v>819</v>
      </c>
      <c r="D51" s="446" t="s">
        <v>111</v>
      </c>
      <c r="E51" s="188">
        <v>43438</v>
      </c>
      <c r="F51" s="180" t="s">
        <v>79</v>
      </c>
      <c r="G51" s="183">
        <v>500</v>
      </c>
      <c r="H51" s="235"/>
      <c r="I51" s="183"/>
      <c r="J51" s="465"/>
      <c r="K51" s="198"/>
      <c r="L51" s="160"/>
      <c r="M51" s="161"/>
      <c r="N51" s="160"/>
      <c r="O51" s="161"/>
      <c r="P51" s="449">
        <f t="shared" si="1"/>
        <v>0</v>
      </c>
    </row>
    <row r="52" spans="1:27" ht="15" customHeight="1" x14ac:dyDescent="0.35">
      <c r="A52" s="443">
        <v>1012</v>
      </c>
      <c r="B52" s="461" t="s">
        <v>356</v>
      </c>
      <c r="C52" s="461" t="s">
        <v>820</v>
      </c>
      <c r="D52" s="446" t="s">
        <v>111</v>
      </c>
      <c r="E52" s="188">
        <v>43425</v>
      </c>
      <c r="F52" s="180" t="s">
        <v>65</v>
      </c>
      <c r="G52" s="198" t="s">
        <v>126</v>
      </c>
      <c r="H52" s="235"/>
      <c r="I52" s="183"/>
      <c r="J52" s="465"/>
      <c r="K52" s="198"/>
      <c r="L52" s="160"/>
      <c r="M52" s="161"/>
      <c r="N52" s="160"/>
      <c r="O52" s="161"/>
      <c r="P52" s="449">
        <f t="shared" si="1"/>
        <v>0</v>
      </c>
    </row>
    <row r="53" spans="1:27" ht="15" customHeight="1" x14ac:dyDescent="0.35">
      <c r="A53" s="443">
        <v>1013</v>
      </c>
      <c r="B53" s="444" t="s">
        <v>290</v>
      </c>
      <c r="C53" s="445" t="s">
        <v>44</v>
      </c>
      <c r="D53" s="446" t="s">
        <v>111</v>
      </c>
      <c r="E53" s="188">
        <v>43410</v>
      </c>
      <c r="F53" s="180" t="s">
        <v>79</v>
      </c>
      <c r="G53" s="183">
        <v>500</v>
      </c>
      <c r="H53" s="235"/>
      <c r="I53" s="183"/>
      <c r="J53" s="235"/>
      <c r="K53" s="183"/>
      <c r="L53" s="160"/>
      <c r="M53" s="161"/>
      <c r="N53" s="160"/>
      <c r="O53" s="161"/>
      <c r="P53" s="449">
        <f t="shared" si="1"/>
        <v>0</v>
      </c>
    </row>
    <row r="54" spans="1:27" ht="15" customHeight="1" x14ac:dyDescent="0.35">
      <c r="A54" s="443">
        <v>1014</v>
      </c>
      <c r="B54" s="461" t="s">
        <v>353</v>
      </c>
      <c r="C54" s="461" t="s">
        <v>354</v>
      </c>
      <c r="D54" s="446" t="s">
        <v>110</v>
      </c>
      <c r="E54" s="153">
        <v>43409</v>
      </c>
      <c r="F54" s="180" t="s">
        <v>12</v>
      </c>
      <c r="G54" s="198">
        <v>500</v>
      </c>
      <c r="H54" s="474"/>
      <c r="I54" s="468"/>
      <c r="J54" s="467"/>
      <c r="K54" s="468"/>
      <c r="L54" s="160"/>
      <c r="M54" s="161"/>
      <c r="N54" s="160"/>
      <c r="O54" s="161"/>
      <c r="P54" s="449">
        <f t="shared" si="1"/>
        <v>0</v>
      </c>
    </row>
    <row r="55" spans="1:27" ht="15" customHeight="1" x14ac:dyDescent="0.35">
      <c r="A55" s="443">
        <v>1015</v>
      </c>
      <c r="B55" s="470" t="s">
        <v>314</v>
      </c>
      <c r="C55" s="477" t="s">
        <v>821</v>
      </c>
      <c r="D55" s="446" t="s">
        <v>111</v>
      </c>
      <c r="E55" s="188">
        <v>43390</v>
      </c>
      <c r="F55" s="180" t="s">
        <v>294</v>
      </c>
      <c r="G55" s="198" t="s">
        <v>126</v>
      </c>
      <c r="H55" s="235"/>
      <c r="I55" s="183"/>
      <c r="J55" s="235"/>
      <c r="K55" s="183"/>
      <c r="L55" s="160"/>
      <c r="M55" s="161"/>
      <c r="N55" s="160"/>
      <c r="O55" s="161"/>
      <c r="P55" s="449">
        <f t="shared" si="1"/>
        <v>0</v>
      </c>
    </row>
    <row r="56" spans="1:27" ht="15" customHeight="1" x14ac:dyDescent="0.35">
      <c r="A56" s="443">
        <v>1016</v>
      </c>
      <c r="B56" s="460" t="s">
        <v>303</v>
      </c>
      <c r="C56" s="460" t="s">
        <v>304</v>
      </c>
      <c r="D56" s="446" t="s">
        <v>111</v>
      </c>
      <c r="E56" s="188">
        <v>43386</v>
      </c>
      <c r="F56" s="180" t="s">
        <v>13</v>
      </c>
      <c r="G56" s="476" t="s">
        <v>126</v>
      </c>
      <c r="H56" s="467"/>
      <c r="I56" s="468"/>
      <c r="J56" s="235"/>
      <c r="K56" s="183"/>
      <c r="L56" s="160"/>
      <c r="M56" s="161"/>
      <c r="N56" s="160"/>
      <c r="O56" s="161"/>
      <c r="P56" s="449">
        <f t="shared" si="1"/>
        <v>0</v>
      </c>
    </row>
    <row r="57" spans="1:27" ht="15" customHeight="1" x14ac:dyDescent="0.35">
      <c r="A57" s="443">
        <v>1084</v>
      </c>
      <c r="B57" s="454" t="s">
        <v>367</v>
      </c>
      <c r="C57" s="454" t="s">
        <v>85</v>
      </c>
      <c r="D57" s="446" t="s">
        <v>111</v>
      </c>
      <c r="E57" s="193">
        <v>43371</v>
      </c>
      <c r="F57" s="181" t="s">
        <v>9</v>
      </c>
      <c r="G57" s="451">
        <v>500</v>
      </c>
      <c r="H57" s="235"/>
      <c r="I57" s="183"/>
      <c r="J57" s="235"/>
      <c r="K57" s="183"/>
      <c r="L57" s="160"/>
      <c r="M57" s="161"/>
      <c r="N57" s="160"/>
      <c r="O57" s="161"/>
      <c r="P57" s="449">
        <f t="shared" si="1"/>
        <v>0</v>
      </c>
      <c r="Z57" s="72"/>
      <c r="AA57" s="72"/>
    </row>
    <row r="58" spans="1:27" ht="15" customHeight="1" x14ac:dyDescent="0.35">
      <c r="A58" s="443">
        <v>1067</v>
      </c>
      <c r="B58" s="454" t="s">
        <v>364</v>
      </c>
      <c r="C58" s="454" t="s">
        <v>365</v>
      </c>
      <c r="D58" s="478" t="s">
        <v>110</v>
      </c>
      <c r="E58" s="349">
        <v>43332</v>
      </c>
      <c r="F58" s="181" t="s">
        <v>77</v>
      </c>
      <c r="G58" s="451">
        <v>500</v>
      </c>
      <c r="H58" s="235"/>
      <c r="I58" s="183"/>
      <c r="J58" s="235"/>
      <c r="K58" s="183"/>
      <c r="L58" s="160"/>
      <c r="M58" s="161"/>
      <c r="N58" s="160"/>
      <c r="O58" s="161"/>
      <c r="P58" s="449">
        <f t="shared" si="1"/>
        <v>0</v>
      </c>
    </row>
    <row r="59" spans="1:27" ht="15" customHeight="1" x14ac:dyDescent="0.35">
      <c r="A59" s="443">
        <v>1017</v>
      </c>
      <c r="B59" s="470" t="s">
        <v>342</v>
      </c>
      <c r="C59" s="470" t="s">
        <v>822</v>
      </c>
      <c r="D59" s="446" t="s">
        <v>111</v>
      </c>
      <c r="E59" s="188">
        <v>43297</v>
      </c>
      <c r="F59" s="180" t="s">
        <v>294</v>
      </c>
      <c r="G59" s="198" t="s">
        <v>126</v>
      </c>
      <c r="H59" s="235"/>
      <c r="I59" s="183"/>
      <c r="J59" s="455"/>
      <c r="K59" s="456"/>
      <c r="L59" s="160"/>
      <c r="M59" s="161"/>
      <c r="N59" s="160"/>
      <c r="O59" s="161"/>
      <c r="P59" s="449">
        <f t="shared" si="1"/>
        <v>0</v>
      </c>
    </row>
    <row r="60" spans="1:27" ht="15" customHeight="1" x14ac:dyDescent="0.35">
      <c r="A60" s="443">
        <v>1020</v>
      </c>
      <c r="B60" s="461" t="s">
        <v>380</v>
      </c>
      <c r="C60" s="461" t="s">
        <v>55</v>
      </c>
      <c r="D60" s="446" t="s">
        <v>111</v>
      </c>
      <c r="E60" s="188">
        <v>43290</v>
      </c>
      <c r="F60" s="180" t="s">
        <v>65</v>
      </c>
      <c r="G60" s="198" t="s">
        <v>126</v>
      </c>
      <c r="H60" s="235"/>
      <c r="I60" s="183"/>
      <c r="J60" s="465"/>
      <c r="K60" s="198"/>
      <c r="L60" s="160"/>
      <c r="M60" s="161"/>
      <c r="N60" s="160"/>
      <c r="O60" s="161"/>
      <c r="P60" s="449">
        <f t="shared" si="1"/>
        <v>0</v>
      </c>
    </row>
    <row r="61" spans="1:27" ht="15" customHeight="1" x14ac:dyDescent="0.35">
      <c r="A61" s="443">
        <v>1085</v>
      </c>
      <c r="B61" s="454" t="s">
        <v>369</v>
      </c>
      <c r="C61" s="454" t="s">
        <v>370</v>
      </c>
      <c r="D61" s="446" t="s">
        <v>111</v>
      </c>
      <c r="E61" s="193">
        <v>43268</v>
      </c>
      <c r="F61" s="181" t="s">
        <v>9</v>
      </c>
      <c r="G61" s="451">
        <v>500</v>
      </c>
      <c r="H61" s="455"/>
      <c r="I61" s="456"/>
      <c r="J61" s="455"/>
      <c r="K61" s="456"/>
      <c r="L61" s="160"/>
      <c r="M61" s="161"/>
      <c r="N61" s="160"/>
      <c r="O61" s="161"/>
      <c r="P61" s="449">
        <f t="shared" si="1"/>
        <v>0</v>
      </c>
    </row>
    <row r="62" spans="1:27" ht="15" customHeight="1" x14ac:dyDescent="0.35">
      <c r="A62" s="443">
        <v>1021</v>
      </c>
      <c r="B62" s="445" t="s">
        <v>351</v>
      </c>
      <c r="C62" s="445" t="s">
        <v>92</v>
      </c>
      <c r="D62" s="446" t="s">
        <v>111</v>
      </c>
      <c r="E62" s="195">
        <v>43236</v>
      </c>
      <c r="F62" s="180" t="s">
        <v>79</v>
      </c>
      <c r="G62" s="183">
        <v>500</v>
      </c>
      <c r="H62" s="235"/>
      <c r="I62" s="183"/>
      <c r="J62" s="235"/>
      <c r="K62" s="183"/>
      <c r="L62" s="160"/>
      <c r="M62" s="161"/>
      <c r="N62" s="160"/>
      <c r="O62" s="161"/>
      <c r="P62" s="449">
        <f t="shared" si="1"/>
        <v>0</v>
      </c>
    </row>
    <row r="63" spans="1:27" ht="15" customHeight="1" x14ac:dyDescent="0.35">
      <c r="A63" s="443">
        <v>1022</v>
      </c>
      <c r="B63" s="470" t="s">
        <v>823</v>
      </c>
      <c r="C63" s="477" t="s">
        <v>82</v>
      </c>
      <c r="D63" s="446" t="s">
        <v>111</v>
      </c>
      <c r="E63" s="188">
        <v>43233</v>
      </c>
      <c r="F63" s="180" t="s">
        <v>294</v>
      </c>
      <c r="G63" s="198" t="s">
        <v>126</v>
      </c>
      <c r="H63" s="235"/>
      <c r="I63" s="183"/>
      <c r="J63" s="235"/>
      <c r="K63" s="183"/>
      <c r="L63" s="160"/>
      <c r="M63" s="161"/>
      <c r="N63" s="160"/>
      <c r="O63" s="161"/>
      <c r="P63" s="449">
        <f t="shared" si="1"/>
        <v>0</v>
      </c>
    </row>
    <row r="64" spans="1:27" ht="15" customHeight="1" x14ac:dyDescent="0.35">
      <c r="A64" s="443">
        <v>1023</v>
      </c>
      <c r="B64" s="460" t="s">
        <v>284</v>
      </c>
      <c r="C64" s="460" t="s">
        <v>88</v>
      </c>
      <c r="D64" s="446" t="s">
        <v>111</v>
      </c>
      <c r="E64" s="188">
        <v>43232</v>
      </c>
      <c r="F64" s="180" t="s">
        <v>13</v>
      </c>
      <c r="G64" s="476" t="s">
        <v>126</v>
      </c>
      <c r="H64" s="235"/>
      <c r="I64" s="183"/>
      <c r="J64" s="235"/>
      <c r="K64" s="183"/>
      <c r="L64" s="160"/>
      <c r="M64" s="161"/>
      <c r="N64" s="160"/>
      <c r="O64" s="161"/>
      <c r="P64" s="449">
        <f t="shared" si="1"/>
        <v>0</v>
      </c>
    </row>
    <row r="65" spans="1:16" ht="15" customHeight="1" x14ac:dyDescent="0.35">
      <c r="A65" s="443">
        <v>1024</v>
      </c>
      <c r="B65" s="479" t="s">
        <v>383</v>
      </c>
      <c r="C65" s="480" t="s">
        <v>824</v>
      </c>
      <c r="D65" s="446" t="s">
        <v>111</v>
      </c>
      <c r="E65" s="188">
        <v>43231</v>
      </c>
      <c r="F65" s="180" t="s">
        <v>79</v>
      </c>
      <c r="G65" s="183">
        <v>500</v>
      </c>
      <c r="H65" s="235"/>
      <c r="I65" s="183"/>
      <c r="J65" s="465"/>
      <c r="K65" s="198"/>
      <c r="L65" s="160" t="s">
        <v>273</v>
      </c>
      <c r="M65" s="161"/>
      <c r="N65" s="160"/>
      <c r="O65" s="161"/>
      <c r="P65" s="449">
        <f t="shared" si="1"/>
        <v>0</v>
      </c>
    </row>
    <row r="66" spans="1:16" ht="15" customHeight="1" x14ac:dyDescent="0.35">
      <c r="A66" s="443">
        <v>1025</v>
      </c>
      <c r="B66" s="460" t="s">
        <v>384</v>
      </c>
      <c r="C66" s="460" t="s">
        <v>386</v>
      </c>
      <c r="D66" s="446" t="s">
        <v>110</v>
      </c>
      <c r="E66" s="188">
        <v>43226</v>
      </c>
      <c r="F66" s="180" t="s">
        <v>13</v>
      </c>
      <c r="G66" s="476" t="s">
        <v>126</v>
      </c>
      <c r="H66" s="452"/>
      <c r="I66" s="183"/>
      <c r="J66" s="235"/>
      <c r="K66" s="183"/>
      <c r="L66" s="160"/>
      <c r="M66" s="161"/>
      <c r="N66" s="160"/>
      <c r="O66" s="161"/>
      <c r="P66" s="449">
        <f t="shared" si="1"/>
        <v>0</v>
      </c>
    </row>
    <row r="67" spans="1:16" ht="15" customHeight="1" x14ac:dyDescent="0.35">
      <c r="A67" s="443">
        <v>1026</v>
      </c>
      <c r="B67" s="460" t="s">
        <v>371</v>
      </c>
      <c r="C67" s="460" t="s">
        <v>372</v>
      </c>
      <c r="D67" s="446" t="s">
        <v>111</v>
      </c>
      <c r="E67" s="188">
        <v>43218</v>
      </c>
      <c r="F67" s="180" t="s">
        <v>13</v>
      </c>
      <c r="G67" s="476" t="s">
        <v>126</v>
      </c>
      <c r="H67" s="235"/>
      <c r="I67" s="183"/>
      <c r="J67" s="235"/>
      <c r="K67" s="183"/>
      <c r="L67" s="160"/>
      <c r="M67" s="161"/>
      <c r="N67" s="160"/>
      <c r="O67" s="161"/>
      <c r="P67" s="449">
        <f t="shared" si="1"/>
        <v>0</v>
      </c>
    </row>
    <row r="68" spans="1:16" ht="15" customHeight="1" x14ac:dyDescent="0.35">
      <c r="A68" s="443">
        <v>1066</v>
      </c>
      <c r="B68" s="454" t="s">
        <v>344</v>
      </c>
      <c r="C68" s="454" t="s">
        <v>345</v>
      </c>
      <c r="D68" s="481" t="s">
        <v>111</v>
      </c>
      <c r="E68" s="237">
        <v>43218</v>
      </c>
      <c r="F68" s="180" t="s">
        <v>77</v>
      </c>
      <c r="G68" s="183">
        <v>500</v>
      </c>
      <c r="H68" s="455"/>
      <c r="I68" s="456"/>
      <c r="J68" s="455"/>
      <c r="K68" s="456"/>
      <c r="L68" s="160"/>
      <c r="M68" s="161"/>
      <c r="N68" s="160"/>
      <c r="O68" s="161"/>
      <c r="P68" s="449">
        <f t="shared" si="1"/>
        <v>0</v>
      </c>
    </row>
    <row r="69" spans="1:16" ht="15" customHeight="1" x14ac:dyDescent="0.35">
      <c r="A69" s="443">
        <v>1027</v>
      </c>
      <c r="B69" s="470" t="s">
        <v>644</v>
      </c>
      <c r="C69" s="477" t="s">
        <v>56</v>
      </c>
      <c r="D69" s="446" t="s">
        <v>111</v>
      </c>
      <c r="E69" s="188">
        <v>43192</v>
      </c>
      <c r="F69" s="180" t="s">
        <v>294</v>
      </c>
      <c r="G69" s="198" t="s">
        <v>126</v>
      </c>
      <c r="H69" s="235"/>
      <c r="I69" s="183"/>
      <c r="J69" s="219"/>
      <c r="K69" s="266"/>
      <c r="L69" s="160"/>
      <c r="M69" s="161"/>
      <c r="N69" s="160"/>
      <c r="O69" s="161"/>
      <c r="P69" s="449">
        <f t="shared" si="1"/>
        <v>0</v>
      </c>
    </row>
    <row r="70" spans="1:16" ht="15" customHeight="1" x14ac:dyDescent="0.35">
      <c r="A70" s="443">
        <v>1070</v>
      </c>
      <c r="B70" s="454" t="s">
        <v>274</v>
      </c>
      <c r="C70" s="454" t="s">
        <v>275</v>
      </c>
      <c r="D70" s="481" t="s">
        <v>110</v>
      </c>
      <c r="E70" s="193">
        <v>43191</v>
      </c>
      <c r="F70" s="181" t="s">
        <v>9</v>
      </c>
      <c r="G70" s="451">
        <v>500</v>
      </c>
      <c r="H70" s="235"/>
      <c r="I70" s="183"/>
      <c r="J70" s="465"/>
      <c r="K70" s="198"/>
      <c r="L70" s="160"/>
      <c r="M70" s="161"/>
      <c r="N70" s="160"/>
      <c r="O70" s="161"/>
      <c r="P70" s="449">
        <f t="shared" si="1"/>
        <v>0</v>
      </c>
    </row>
    <row r="71" spans="1:16" ht="15" customHeight="1" x14ac:dyDescent="0.35">
      <c r="A71" s="443">
        <v>1032</v>
      </c>
      <c r="B71" s="470" t="s">
        <v>388</v>
      </c>
      <c r="C71" s="470" t="s">
        <v>330</v>
      </c>
      <c r="D71" s="446" t="s">
        <v>110</v>
      </c>
      <c r="E71" s="188">
        <v>43121</v>
      </c>
      <c r="F71" s="180" t="s">
        <v>294</v>
      </c>
      <c r="G71" s="198" t="s">
        <v>126</v>
      </c>
      <c r="H71" s="219"/>
      <c r="I71" s="266"/>
      <c r="J71" s="219"/>
      <c r="K71" s="266"/>
      <c r="L71" s="160"/>
      <c r="M71" s="161"/>
      <c r="N71" s="160"/>
      <c r="O71" s="161"/>
      <c r="P71" s="449">
        <f t="shared" si="1"/>
        <v>0</v>
      </c>
    </row>
    <row r="72" spans="1:16" ht="15" customHeight="1" x14ac:dyDescent="0.35">
      <c r="A72" s="443">
        <v>1033</v>
      </c>
      <c r="B72" s="461" t="s">
        <v>381</v>
      </c>
      <c r="C72" s="461" t="s">
        <v>382</v>
      </c>
      <c r="D72" s="446" t="s">
        <v>110</v>
      </c>
      <c r="E72" s="153">
        <v>43120</v>
      </c>
      <c r="F72" s="180" t="s">
        <v>12</v>
      </c>
      <c r="G72" s="198">
        <v>500</v>
      </c>
      <c r="H72" s="455"/>
      <c r="I72" s="456"/>
      <c r="J72" s="455"/>
      <c r="K72" s="456"/>
      <c r="L72" s="160"/>
      <c r="M72" s="161"/>
      <c r="N72" s="160"/>
      <c r="O72" s="161"/>
      <c r="P72" s="449">
        <f t="shared" ref="P72:P106" si="2">SUM(I72:O72)</f>
        <v>0</v>
      </c>
    </row>
    <row r="73" spans="1:16" ht="14.5" x14ac:dyDescent="0.35">
      <c r="A73" s="443">
        <v>1034</v>
      </c>
      <c r="B73" s="460" t="s">
        <v>311</v>
      </c>
      <c r="C73" s="460" t="s">
        <v>82</v>
      </c>
      <c r="D73" s="446" t="s">
        <v>111</v>
      </c>
      <c r="E73" s="188">
        <v>43113</v>
      </c>
      <c r="F73" s="180" t="s">
        <v>13</v>
      </c>
      <c r="G73" s="476" t="s">
        <v>126</v>
      </c>
      <c r="H73" s="235"/>
      <c r="I73" s="183"/>
      <c r="J73" s="235"/>
      <c r="K73" s="183"/>
      <c r="L73" s="160"/>
      <c r="M73" s="161"/>
      <c r="N73" s="160"/>
      <c r="O73" s="161"/>
      <c r="P73" s="449">
        <f t="shared" si="2"/>
        <v>0</v>
      </c>
    </row>
    <row r="74" spans="1:16" ht="15" customHeight="1" x14ac:dyDescent="0.35">
      <c r="A74" s="443">
        <v>1080</v>
      </c>
      <c r="B74" s="454" t="s">
        <v>337</v>
      </c>
      <c r="C74" s="454" t="s">
        <v>73</v>
      </c>
      <c r="D74" s="446" t="s">
        <v>111</v>
      </c>
      <c r="E74" s="193">
        <v>43110</v>
      </c>
      <c r="F74" s="181" t="s">
        <v>9</v>
      </c>
      <c r="G74" s="482">
        <v>500</v>
      </c>
      <c r="H74" s="219"/>
      <c r="I74" s="266"/>
      <c r="J74" s="447"/>
      <c r="K74" s="440"/>
      <c r="L74" s="160"/>
      <c r="M74" s="161"/>
      <c r="N74" s="160"/>
      <c r="O74" s="161"/>
      <c r="P74" s="449">
        <f t="shared" si="2"/>
        <v>0</v>
      </c>
    </row>
    <row r="75" spans="1:16" ht="14.5" x14ac:dyDescent="0.35">
      <c r="A75" s="443">
        <v>1037</v>
      </c>
      <c r="B75" s="461" t="s">
        <v>358</v>
      </c>
      <c r="C75" s="461" t="s">
        <v>50</v>
      </c>
      <c r="D75" s="446" t="s">
        <v>111</v>
      </c>
      <c r="E75" s="153">
        <v>43090</v>
      </c>
      <c r="F75" s="180" t="s">
        <v>12</v>
      </c>
      <c r="G75" s="198">
        <v>500</v>
      </c>
      <c r="H75" s="452"/>
      <c r="I75" s="183"/>
      <c r="J75" s="235"/>
      <c r="K75" s="183"/>
      <c r="L75" s="160"/>
      <c r="M75" s="161"/>
      <c r="N75" s="160"/>
      <c r="O75" s="161"/>
      <c r="P75" s="449">
        <f t="shared" si="2"/>
        <v>0</v>
      </c>
    </row>
    <row r="76" spans="1:16" ht="14.5" x14ac:dyDescent="0.35">
      <c r="A76" s="443">
        <v>1081</v>
      </c>
      <c r="B76" s="454" t="s">
        <v>338</v>
      </c>
      <c r="C76" s="454" t="s">
        <v>339</v>
      </c>
      <c r="D76" s="481" t="s">
        <v>110</v>
      </c>
      <c r="E76" s="193">
        <v>43081</v>
      </c>
      <c r="F76" s="181" t="s">
        <v>9</v>
      </c>
      <c r="G76" s="451">
        <v>500</v>
      </c>
      <c r="H76" s="235"/>
      <c r="I76" s="183"/>
      <c r="J76" s="465"/>
      <c r="K76" s="198"/>
      <c r="L76" s="160"/>
      <c r="M76" s="161"/>
      <c r="N76" s="160"/>
      <c r="O76" s="161"/>
      <c r="P76" s="449">
        <f t="shared" si="2"/>
        <v>0</v>
      </c>
    </row>
    <row r="77" spans="1:16" ht="14.5" x14ac:dyDescent="0.35">
      <c r="A77" s="443">
        <v>1040</v>
      </c>
      <c r="B77" s="460" t="s">
        <v>293</v>
      </c>
      <c r="C77" s="460" t="s">
        <v>70</v>
      </c>
      <c r="D77" s="446" t="s">
        <v>111</v>
      </c>
      <c r="E77" s="188">
        <v>43055</v>
      </c>
      <c r="F77" s="180" t="s">
        <v>13</v>
      </c>
      <c r="G77" s="476" t="s">
        <v>126</v>
      </c>
      <c r="H77" s="235"/>
      <c r="I77" s="183"/>
      <c r="J77" s="235"/>
      <c r="K77" s="183"/>
      <c r="L77" s="160"/>
      <c r="M77" s="161"/>
      <c r="N77" s="160"/>
      <c r="O77" s="161"/>
      <c r="P77" s="449">
        <f t="shared" si="2"/>
        <v>0</v>
      </c>
    </row>
    <row r="78" spans="1:16" ht="14.5" x14ac:dyDescent="0.35">
      <c r="A78" s="443">
        <v>1041</v>
      </c>
      <c r="B78" s="460" t="s">
        <v>350</v>
      </c>
      <c r="C78" s="460" t="s">
        <v>93</v>
      </c>
      <c r="D78" s="446" t="s">
        <v>111</v>
      </c>
      <c r="E78" s="188">
        <v>43046</v>
      </c>
      <c r="F78" s="180" t="s">
        <v>13</v>
      </c>
      <c r="G78" s="476" t="s">
        <v>126</v>
      </c>
      <c r="H78" s="235"/>
      <c r="I78" s="183"/>
      <c r="J78" s="235"/>
      <c r="K78" s="183"/>
      <c r="L78" s="160"/>
      <c r="M78" s="161"/>
      <c r="N78" s="160"/>
      <c r="O78" s="161"/>
      <c r="P78" s="449">
        <f t="shared" si="2"/>
        <v>0</v>
      </c>
    </row>
    <row r="79" spans="1:16" ht="14.5" x14ac:dyDescent="0.35">
      <c r="A79" s="443">
        <v>1043</v>
      </c>
      <c r="B79" s="461" t="s">
        <v>317</v>
      </c>
      <c r="C79" s="461" t="s">
        <v>318</v>
      </c>
      <c r="D79" s="446" t="s">
        <v>111</v>
      </c>
      <c r="E79" s="188">
        <v>43035</v>
      </c>
      <c r="F79" s="180" t="s">
        <v>65</v>
      </c>
      <c r="G79" s="198" t="s">
        <v>126</v>
      </c>
      <c r="H79" s="235"/>
      <c r="I79" s="468"/>
      <c r="J79" s="467"/>
      <c r="K79" s="468"/>
      <c r="L79" s="160"/>
      <c r="M79" s="161"/>
      <c r="N79" s="160"/>
      <c r="O79" s="161"/>
      <c r="P79" s="449">
        <f t="shared" si="2"/>
        <v>0</v>
      </c>
    </row>
    <row r="80" spans="1:16" ht="14.5" x14ac:dyDescent="0.35">
      <c r="A80" s="443">
        <v>1044</v>
      </c>
      <c r="B80" s="470" t="s">
        <v>331</v>
      </c>
      <c r="C80" s="470" t="s">
        <v>181</v>
      </c>
      <c r="D80" s="446" t="s">
        <v>111</v>
      </c>
      <c r="E80" s="188">
        <v>43033</v>
      </c>
      <c r="F80" s="180" t="s">
        <v>294</v>
      </c>
      <c r="G80" s="198" t="s">
        <v>126</v>
      </c>
      <c r="H80" s="235"/>
      <c r="I80" s="456"/>
      <c r="J80" s="455"/>
      <c r="K80" s="456"/>
      <c r="L80" s="160"/>
      <c r="M80" s="161"/>
      <c r="N80" s="160"/>
      <c r="O80" s="161"/>
      <c r="P80" s="449">
        <f t="shared" si="2"/>
        <v>0</v>
      </c>
    </row>
    <row r="81" spans="1:16" ht="14.5" x14ac:dyDescent="0.35">
      <c r="A81" s="443">
        <v>1077</v>
      </c>
      <c r="B81" s="454" t="s">
        <v>319</v>
      </c>
      <c r="C81" s="454" t="s">
        <v>320</v>
      </c>
      <c r="D81" s="446" t="s">
        <v>111</v>
      </c>
      <c r="E81" s="193">
        <v>42997</v>
      </c>
      <c r="F81" s="181" t="s">
        <v>9</v>
      </c>
      <c r="G81" s="451">
        <v>500</v>
      </c>
      <c r="H81" s="235"/>
      <c r="I81" s="183"/>
      <c r="J81" s="465"/>
      <c r="K81" s="198"/>
      <c r="L81" s="160"/>
      <c r="M81" s="161"/>
      <c r="N81" s="160"/>
      <c r="O81" s="161"/>
      <c r="P81" s="449">
        <f t="shared" si="2"/>
        <v>0</v>
      </c>
    </row>
    <row r="82" spans="1:16" ht="14.5" x14ac:dyDescent="0.35">
      <c r="A82" s="443">
        <v>1046</v>
      </c>
      <c r="B82" s="460" t="s">
        <v>291</v>
      </c>
      <c r="C82" s="460" t="s">
        <v>292</v>
      </c>
      <c r="D82" s="446" t="s">
        <v>111</v>
      </c>
      <c r="E82" s="188">
        <v>42983</v>
      </c>
      <c r="F82" s="180" t="s">
        <v>13</v>
      </c>
      <c r="G82" s="476" t="s">
        <v>126</v>
      </c>
      <c r="H82" s="235"/>
      <c r="I82" s="468"/>
      <c r="J82" s="471"/>
      <c r="K82" s="304"/>
      <c r="L82" s="160"/>
      <c r="M82" s="161"/>
      <c r="N82" s="160"/>
      <c r="O82" s="161"/>
      <c r="P82" s="449">
        <f t="shared" si="2"/>
        <v>0</v>
      </c>
    </row>
    <row r="83" spans="1:16" ht="14.5" x14ac:dyDescent="0.35">
      <c r="A83" s="443">
        <v>1047</v>
      </c>
      <c r="B83" s="470" t="s">
        <v>347</v>
      </c>
      <c r="C83" s="470" t="s">
        <v>62</v>
      </c>
      <c r="D83" s="446" t="s">
        <v>111</v>
      </c>
      <c r="E83" s="188">
        <v>42974</v>
      </c>
      <c r="F83" s="180" t="s">
        <v>294</v>
      </c>
      <c r="G83" s="198" t="s">
        <v>126</v>
      </c>
      <c r="H83" s="235"/>
      <c r="I83" s="183"/>
      <c r="J83" s="235"/>
      <c r="K83" s="183"/>
      <c r="L83" s="160"/>
      <c r="M83" s="161"/>
      <c r="N83" s="160"/>
      <c r="O83" s="161"/>
      <c r="P83" s="449">
        <f t="shared" si="2"/>
        <v>0</v>
      </c>
    </row>
    <row r="84" spans="1:16" ht="14.5" x14ac:dyDescent="0.35">
      <c r="A84" s="443">
        <v>1048</v>
      </c>
      <c r="B84" s="470" t="s">
        <v>302</v>
      </c>
      <c r="C84" s="477" t="s">
        <v>825</v>
      </c>
      <c r="D84" s="446" t="s">
        <v>111</v>
      </c>
      <c r="E84" s="188">
        <v>42928</v>
      </c>
      <c r="F84" s="180" t="s">
        <v>294</v>
      </c>
      <c r="G84" s="198" t="s">
        <v>126</v>
      </c>
      <c r="H84" s="235"/>
      <c r="I84" s="183"/>
      <c r="J84" s="235"/>
      <c r="K84" s="183"/>
      <c r="L84" s="160"/>
      <c r="M84" s="161"/>
      <c r="N84" s="160"/>
      <c r="O84" s="161"/>
      <c r="P84" s="449">
        <f t="shared" si="2"/>
        <v>0</v>
      </c>
    </row>
    <row r="85" spans="1:16" ht="13.25" customHeight="1" x14ac:dyDescent="0.35">
      <c r="A85" s="443">
        <v>1049</v>
      </c>
      <c r="B85" s="470" t="s">
        <v>389</v>
      </c>
      <c r="C85" s="470" t="s">
        <v>826</v>
      </c>
      <c r="D85" s="446" t="s">
        <v>111</v>
      </c>
      <c r="E85" s="188">
        <v>42892</v>
      </c>
      <c r="F85" s="180" t="s">
        <v>294</v>
      </c>
      <c r="G85" s="198" t="s">
        <v>126</v>
      </c>
      <c r="H85" s="219"/>
      <c r="I85" s="266"/>
      <c r="J85" s="219"/>
      <c r="K85" s="266"/>
      <c r="L85" s="160"/>
      <c r="M85" s="161"/>
      <c r="N85" s="160"/>
      <c r="O85" s="161"/>
      <c r="P85" s="449">
        <f t="shared" si="2"/>
        <v>0</v>
      </c>
    </row>
    <row r="86" spans="1:16" ht="14.5" x14ac:dyDescent="0.35">
      <c r="A86" s="443">
        <v>1050</v>
      </c>
      <c r="B86" s="461" t="s">
        <v>286</v>
      </c>
      <c r="C86" s="461" t="s">
        <v>125</v>
      </c>
      <c r="D86" s="446" t="s">
        <v>111</v>
      </c>
      <c r="E86" s="188">
        <v>42883</v>
      </c>
      <c r="F86" s="180" t="s">
        <v>65</v>
      </c>
      <c r="G86" s="198" t="s">
        <v>126</v>
      </c>
      <c r="H86" s="219"/>
      <c r="I86" s="266"/>
      <c r="J86" s="447"/>
      <c r="K86" s="440"/>
      <c r="L86" s="160"/>
      <c r="M86" s="161"/>
      <c r="N86" s="160"/>
      <c r="O86" s="161"/>
      <c r="P86" s="449">
        <f t="shared" si="2"/>
        <v>0</v>
      </c>
    </row>
    <row r="87" spans="1:16" ht="14.5" x14ac:dyDescent="0.35">
      <c r="A87" s="443">
        <v>1052</v>
      </c>
      <c r="B87" s="470" t="s">
        <v>827</v>
      </c>
      <c r="C87" s="470" t="s">
        <v>366</v>
      </c>
      <c r="D87" s="446" t="s">
        <v>110</v>
      </c>
      <c r="E87" s="188">
        <v>42878</v>
      </c>
      <c r="F87" s="180" t="s">
        <v>294</v>
      </c>
      <c r="G87" s="198" t="s">
        <v>126</v>
      </c>
      <c r="H87" s="219"/>
      <c r="I87" s="183"/>
      <c r="J87" s="455"/>
      <c r="K87" s="456"/>
      <c r="L87" s="160"/>
      <c r="M87" s="161"/>
      <c r="N87" s="160"/>
      <c r="O87" s="161"/>
      <c r="P87" s="449">
        <f t="shared" si="2"/>
        <v>0</v>
      </c>
    </row>
    <row r="88" spans="1:16" ht="14.5" x14ac:dyDescent="0.35">
      <c r="A88" s="443">
        <v>1051</v>
      </c>
      <c r="B88" s="470" t="s">
        <v>138</v>
      </c>
      <c r="C88" s="470" t="s">
        <v>349</v>
      </c>
      <c r="D88" s="446" t="s">
        <v>111</v>
      </c>
      <c r="E88" s="188">
        <v>42878</v>
      </c>
      <c r="F88" s="180" t="s">
        <v>294</v>
      </c>
      <c r="G88" s="198" t="s">
        <v>126</v>
      </c>
      <c r="H88" s="467"/>
      <c r="I88" s="468"/>
      <c r="J88" s="455"/>
      <c r="K88" s="456"/>
      <c r="L88" s="160"/>
      <c r="M88" s="161"/>
      <c r="N88" s="160"/>
      <c r="O88" s="161"/>
      <c r="P88" s="449">
        <f t="shared" si="2"/>
        <v>0</v>
      </c>
    </row>
    <row r="89" spans="1:16" ht="14.5" x14ac:dyDescent="0.35">
      <c r="A89" s="443">
        <v>1053</v>
      </c>
      <c r="B89" s="470" t="s">
        <v>828</v>
      </c>
      <c r="C89" s="477" t="s">
        <v>299</v>
      </c>
      <c r="D89" s="446" t="s">
        <v>111</v>
      </c>
      <c r="E89" s="188">
        <v>42876</v>
      </c>
      <c r="F89" s="180" t="s">
        <v>294</v>
      </c>
      <c r="G89" s="198" t="s">
        <v>126</v>
      </c>
      <c r="H89" s="235"/>
      <c r="I89" s="183"/>
      <c r="J89" s="235"/>
      <c r="K89" s="183"/>
      <c r="L89" s="160"/>
      <c r="M89" s="161"/>
      <c r="N89" s="160"/>
      <c r="O89" s="161"/>
      <c r="P89" s="449">
        <f t="shared" si="2"/>
        <v>0</v>
      </c>
    </row>
    <row r="90" spans="1:16" ht="14.5" x14ac:dyDescent="0.35">
      <c r="A90" s="443">
        <v>1075</v>
      </c>
      <c r="B90" s="454" t="s">
        <v>309</v>
      </c>
      <c r="C90" s="454" t="s">
        <v>310</v>
      </c>
      <c r="D90" s="481" t="s">
        <v>110</v>
      </c>
      <c r="E90" s="193">
        <v>42845</v>
      </c>
      <c r="F90" s="181" t="s">
        <v>9</v>
      </c>
      <c r="G90" s="451">
        <v>500</v>
      </c>
      <c r="H90" s="455"/>
      <c r="I90" s="456"/>
      <c r="J90" s="465"/>
      <c r="K90" s="198"/>
      <c r="L90" s="160"/>
      <c r="M90" s="161"/>
      <c r="N90" s="160"/>
      <c r="O90" s="161"/>
      <c r="P90" s="449">
        <f t="shared" si="2"/>
        <v>0</v>
      </c>
    </row>
    <row r="91" spans="1:16" ht="14.5" x14ac:dyDescent="0.35">
      <c r="A91" s="443">
        <v>1054</v>
      </c>
      <c r="B91" s="461" t="s">
        <v>300</v>
      </c>
      <c r="C91" s="461" t="s">
        <v>301</v>
      </c>
      <c r="D91" s="446" t="s">
        <v>111</v>
      </c>
      <c r="E91" s="188">
        <v>42829</v>
      </c>
      <c r="F91" s="180" t="s">
        <v>37</v>
      </c>
      <c r="G91" s="198">
        <v>500</v>
      </c>
      <c r="H91" s="483"/>
      <c r="I91" s="456"/>
      <c r="J91" s="455"/>
      <c r="K91" s="456"/>
      <c r="L91" s="160"/>
      <c r="M91" s="161"/>
      <c r="N91" s="160"/>
      <c r="O91" s="161"/>
      <c r="P91" s="449">
        <f t="shared" si="2"/>
        <v>0</v>
      </c>
    </row>
    <row r="92" spans="1:16" ht="14.5" x14ac:dyDescent="0.35">
      <c r="A92" s="443">
        <v>1056</v>
      </c>
      <c r="B92" s="460" t="s">
        <v>346</v>
      </c>
      <c r="C92" s="460" t="s">
        <v>157</v>
      </c>
      <c r="D92" s="446" t="s">
        <v>111</v>
      </c>
      <c r="E92" s="188">
        <v>42826</v>
      </c>
      <c r="F92" s="180" t="s">
        <v>13</v>
      </c>
      <c r="G92" s="476" t="s">
        <v>126</v>
      </c>
      <c r="H92" s="452"/>
      <c r="I92" s="183"/>
      <c r="J92" s="235"/>
      <c r="K92" s="183"/>
      <c r="L92" s="160"/>
      <c r="M92" s="161"/>
      <c r="N92" s="160"/>
      <c r="O92" s="161"/>
      <c r="P92" s="449">
        <f t="shared" si="2"/>
        <v>0</v>
      </c>
    </row>
    <row r="93" spans="1:16" ht="14.5" x14ac:dyDescent="0.35">
      <c r="A93" s="443">
        <v>1055</v>
      </c>
      <c r="B93" s="460" t="s">
        <v>329</v>
      </c>
      <c r="C93" s="460" t="s">
        <v>203</v>
      </c>
      <c r="D93" s="446" t="s">
        <v>111</v>
      </c>
      <c r="E93" s="188">
        <v>42826</v>
      </c>
      <c r="F93" s="180" t="s">
        <v>13</v>
      </c>
      <c r="G93" s="476" t="s">
        <v>126</v>
      </c>
      <c r="H93" s="235"/>
      <c r="I93" s="183"/>
      <c r="J93" s="235"/>
      <c r="K93" s="183"/>
      <c r="L93" s="160"/>
      <c r="M93" s="161"/>
      <c r="N93" s="160"/>
      <c r="O93" s="161"/>
      <c r="P93" s="449">
        <f t="shared" si="2"/>
        <v>0</v>
      </c>
    </row>
    <row r="94" spans="1:16" ht="14.5" x14ac:dyDescent="0.35">
      <c r="A94" s="443">
        <v>1058</v>
      </c>
      <c r="B94" s="445" t="s">
        <v>336</v>
      </c>
      <c r="C94" s="445" t="s">
        <v>847</v>
      </c>
      <c r="D94" s="446" t="s">
        <v>110</v>
      </c>
      <c r="E94" s="188">
        <v>42820</v>
      </c>
      <c r="F94" s="180" t="s">
        <v>79</v>
      </c>
      <c r="G94" s="183">
        <v>500</v>
      </c>
      <c r="H94" s="455"/>
      <c r="I94" s="456"/>
      <c r="J94" s="457"/>
      <c r="K94" s="458"/>
      <c r="L94" s="160"/>
      <c r="M94" s="161"/>
      <c r="N94" s="160"/>
      <c r="O94" s="161"/>
      <c r="P94" s="449">
        <f t="shared" si="2"/>
        <v>0</v>
      </c>
    </row>
    <row r="95" spans="1:16" ht="14.5" x14ac:dyDescent="0.35">
      <c r="A95" s="443">
        <v>1061</v>
      </c>
      <c r="B95" s="460" t="s">
        <v>315</v>
      </c>
      <c r="C95" s="460" t="s">
        <v>829</v>
      </c>
      <c r="D95" s="446" t="s">
        <v>111</v>
      </c>
      <c r="E95" s="188">
        <v>42788</v>
      </c>
      <c r="F95" s="180" t="s">
        <v>13</v>
      </c>
      <c r="G95" s="476" t="s">
        <v>126</v>
      </c>
      <c r="H95" s="465"/>
      <c r="I95" s="198"/>
      <c r="J95" s="465"/>
      <c r="K95" s="198"/>
      <c r="L95" s="160"/>
      <c r="M95" s="161"/>
      <c r="N95" s="160"/>
      <c r="O95" s="161"/>
      <c r="P95" s="449">
        <f t="shared" si="2"/>
        <v>0</v>
      </c>
    </row>
    <row r="96" spans="1:16" ht="14.5" x14ac:dyDescent="0.35">
      <c r="A96" s="443">
        <v>1064</v>
      </c>
      <c r="B96" s="460" t="s">
        <v>297</v>
      </c>
      <c r="C96" s="460" t="s">
        <v>298</v>
      </c>
      <c r="D96" s="446" t="s">
        <v>111</v>
      </c>
      <c r="E96" s="188">
        <v>42760</v>
      </c>
      <c r="F96" s="180" t="s">
        <v>13</v>
      </c>
      <c r="G96" s="476" t="s">
        <v>126</v>
      </c>
      <c r="H96" s="467"/>
      <c r="I96" s="468"/>
      <c r="J96" s="467"/>
      <c r="K96" s="468"/>
      <c r="L96" s="160"/>
      <c r="M96" s="161"/>
      <c r="N96" s="160"/>
      <c r="O96" s="161"/>
      <c r="P96" s="449">
        <f t="shared" si="2"/>
        <v>0</v>
      </c>
    </row>
    <row r="97" spans="1:16" ht="14.5" x14ac:dyDescent="0.35">
      <c r="A97" s="443">
        <v>1065</v>
      </c>
      <c r="B97" s="460" t="s">
        <v>312</v>
      </c>
      <c r="C97" s="484" t="s">
        <v>252</v>
      </c>
      <c r="D97" s="446" t="s">
        <v>111</v>
      </c>
      <c r="E97" s="188">
        <v>42752</v>
      </c>
      <c r="F97" s="180" t="s">
        <v>13</v>
      </c>
      <c r="G97" s="476" t="s">
        <v>126</v>
      </c>
      <c r="H97" s="455"/>
      <c r="I97" s="456"/>
      <c r="J97" s="457"/>
      <c r="K97" s="458"/>
      <c r="L97" s="160"/>
      <c r="M97" s="161"/>
      <c r="N97" s="160"/>
      <c r="O97" s="161"/>
      <c r="P97" s="449">
        <f t="shared" si="2"/>
        <v>0</v>
      </c>
    </row>
    <row r="98" spans="1:16" ht="15" customHeight="1" x14ac:dyDescent="0.35">
      <c r="A98" s="619">
        <v>1092</v>
      </c>
      <c r="B98" s="460" t="s">
        <v>856</v>
      </c>
      <c r="C98" s="460" t="s">
        <v>857</v>
      </c>
      <c r="D98" s="446" t="s">
        <v>111</v>
      </c>
      <c r="E98" s="188">
        <v>42736</v>
      </c>
      <c r="F98" s="180" t="s">
        <v>79</v>
      </c>
      <c r="G98" s="620" t="s">
        <v>126</v>
      </c>
      <c r="H98" s="235"/>
      <c r="I98" s="183"/>
      <c r="J98" s="465"/>
      <c r="K98" s="198"/>
      <c r="L98" s="621" t="s">
        <v>273</v>
      </c>
      <c r="M98" s="183"/>
      <c r="N98" s="235"/>
      <c r="O98" s="183"/>
      <c r="P98" s="449">
        <v>0</v>
      </c>
    </row>
    <row r="99" spans="1:16" ht="14.5" x14ac:dyDescent="0.35">
      <c r="A99" s="622">
        <v>1090</v>
      </c>
      <c r="B99" s="623" t="s">
        <v>858</v>
      </c>
      <c r="C99" s="396" t="s">
        <v>94</v>
      </c>
      <c r="D99" s="418" t="s">
        <v>111</v>
      </c>
      <c r="E99" s="188">
        <v>42736</v>
      </c>
      <c r="F99" s="180" t="s">
        <v>10</v>
      </c>
      <c r="G99" s="624">
        <v>506</v>
      </c>
      <c r="H99" s="235"/>
      <c r="I99" s="468"/>
      <c r="J99" s="467"/>
      <c r="K99" s="468"/>
      <c r="L99" s="621" t="s">
        <v>273</v>
      </c>
      <c r="M99" s="183"/>
      <c r="N99" s="235"/>
      <c r="O99" s="183"/>
      <c r="P99" s="449">
        <v>0</v>
      </c>
    </row>
    <row r="100" spans="1:16" ht="14.5" x14ac:dyDescent="0.35">
      <c r="A100" s="622">
        <v>1091</v>
      </c>
      <c r="B100" s="394" t="s">
        <v>859</v>
      </c>
      <c r="C100" s="394" t="s">
        <v>45</v>
      </c>
      <c r="D100" s="418" t="s">
        <v>111</v>
      </c>
      <c r="E100" s="188">
        <v>42736</v>
      </c>
      <c r="F100" s="180" t="s">
        <v>11</v>
      </c>
      <c r="G100" s="624"/>
      <c r="H100" s="455"/>
      <c r="I100" s="456"/>
      <c r="J100" s="455"/>
      <c r="K100" s="456"/>
      <c r="L100" s="621" t="s">
        <v>273</v>
      </c>
      <c r="M100" s="183"/>
      <c r="N100" s="235"/>
      <c r="O100" s="183"/>
      <c r="P100" s="449">
        <v>0</v>
      </c>
    </row>
    <row r="101" spans="1:16" ht="14.5" x14ac:dyDescent="0.35">
      <c r="A101" s="230">
        <v>1093</v>
      </c>
      <c r="B101" s="190" t="s">
        <v>866</v>
      </c>
      <c r="C101" s="422" t="s">
        <v>867</v>
      </c>
      <c r="D101" s="420" t="s">
        <v>111</v>
      </c>
      <c r="E101" s="485">
        <v>43069</v>
      </c>
      <c r="F101" s="180" t="s">
        <v>9</v>
      </c>
      <c r="G101" s="183">
        <v>500</v>
      </c>
      <c r="H101" s="160"/>
      <c r="I101" s="161"/>
      <c r="J101" s="160"/>
      <c r="K101" s="161"/>
      <c r="L101" s="160" t="s">
        <v>264</v>
      </c>
      <c r="M101" s="161"/>
      <c r="N101" s="160"/>
      <c r="O101" s="161"/>
      <c r="P101" s="449">
        <f t="shared" si="2"/>
        <v>0</v>
      </c>
    </row>
    <row r="102" spans="1:16" ht="14.5" x14ac:dyDescent="0.35">
      <c r="A102" s="230"/>
      <c r="B102" s="190"/>
      <c r="C102" s="422"/>
      <c r="D102" s="420"/>
      <c r="E102" s="485"/>
      <c r="F102" s="180"/>
      <c r="G102" s="183"/>
      <c r="H102" s="160"/>
      <c r="I102" s="161"/>
      <c r="J102" s="160"/>
      <c r="K102" s="161"/>
      <c r="L102" s="160"/>
      <c r="M102" s="161"/>
      <c r="N102" s="160"/>
      <c r="O102" s="161"/>
      <c r="P102" s="449">
        <f t="shared" si="2"/>
        <v>0</v>
      </c>
    </row>
    <row r="103" spans="1:16" ht="15" customHeight="1" x14ac:dyDescent="0.35">
      <c r="A103" s="230"/>
      <c r="B103" s="190"/>
      <c r="C103" s="422"/>
      <c r="D103" s="420"/>
      <c r="E103" s="485"/>
      <c r="F103" s="180"/>
      <c r="G103" s="183"/>
      <c r="H103" s="160"/>
      <c r="I103" s="161"/>
      <c r="J103" s="160"/>
      <c r="K103" s="161"/>
      <c r="L103" s="160"/>
      <c r="M103" s="161"/>
      <c r="N103" s="160"/>
      <c r="O103" s="161"/>
      <c r="P103" s="449">
        <f t="shared" si="2"/>
        <v>0</v>
      </c>
    </row>
    <row r="104" spans="1:16" ht="15" customHeight="1" x14ac:dyDescent="0.35">
      <c r="A104" s="230"/>
      <c r="B104" s="190"/>
      <c r="C104" s="422"/>
      <c r="D104" s="420"/>
      <c r="E104" s="485"/>
      <c r="F104" s="180"/>
      <c r="G104" s="183"/>
      <c r="H104" s="160"/>
      <c r="I104" s="161"/>
      <c r="J104" s="160"/>
      <c r="K104" s="161"/>
      <c r="L104" s="160"/>
      <c r="M104" s="161"/>
      <c r="N104" s="160"/>
      <c r="O104" s="161"/>
      <c r="P104" s="449">
        <f t="shared" si="2"/>
        <v>0</v>
      </c>
    </row>
    <row r="105" spans="1:16" ht="15" customHeight="1" x14ac:dyDescent="0.35">
      <c r="A105" s="230"/>
      <c r="B105" s="190"/>
      <c r="C105" s="422"/>
      <c r="D105" s="420"/>
      <c r="E105" s="485"/>
      <c r="F105" s="180"/>
      <c r="G105" s="183"/>
      <c r="H105" s="160"/>
      <c r="I105" s="161"/>
      <c r="J105" s="160"/>
      <c r="K105" s="161"/>
      <c r="L105" s="160"/>
      <c r="M105" s="161"/>
      <c r="N105" s="160"/>
      <c r="O105" s="161"/>
      <c r="P105" s="449">
        <f t="shared" si="2"/>
        <v>0</v>
      </c>
    </row>
    <row r="106" spans="1:16" ht="15" customHeight="1" x14ac:dyDescent="0.35">
      <c r="A106" s="230"/>
      <c r="B106" s="190"/>
      <c r="C106" s="422"/>
      <c r="D106" s="420"/>
      <c r="E106" s="485"/>
      <c r="F106" s="180"/>
      <c r="G106" s="183"/>
      <c r="H106" s="160"/>
      <c r="I106" s="161"/>
      <c r="J106" s="160"/>
      <c r="K106" s="161"/>
      <c r="L106" s="160"/>
      <c r="M106" s="161"/>
      <c r="N106" s="160"/>
      <c r="O106" s="161"/>
      <c r="P106" s="449">
        <f t="shared" si="2"/>
        <v>0</v>
      </c>
    </row>
    <row r="107" spans="1:16" ht="15" customHeight="1" x14ac:dyDescent="0.35">
      <c r="A107" s="230"/>
      <c r="B107" s="190"/>
      <c r="C107" s="414"/>
      <c r="D107" s="190"/>
      <c r="E107" s="486"/>
      <c r="F107" s="180"/>
      <c r="G107" s="487"/>
      <c r="H107" s="160"/>
      <c r="I107" s="161"/>
      <c r="J107" s="160"/>
      <c r="K107" s="161"/>
      <c r="L107" s="160"/>
      <c r="M107" s="161"/>
      <c r="N107" s="160"/>
      <c r="O107" s="161"/>
      <c r="P107" s="449">
        <f t="shared" ref="P107:P112" si="3">SUM(I107:O107)</f>
        <v>0</v>
      </c>
    </row>
    <row r="108" spans="1:16" ht="15" customHeight="1" x14ac:dyDescent="0.35">
      <c r="A108" s="230"/>
      <c r="B108" s="190"/>
      <c r="C108" s="414"/>
      <c r="D108" s="190"/>
      <c r="E108" s="486"/>
      <c r="F108" s="180"/>
      <c r="G108" s="266"/>
      <c r="H108" s="160"/>
      <c r="I108" s="161"/>
      <c r="J108" s="160"/>
      <c r="K108" s="161"/>
      <c r="L108" s="160"/>
      <c r="M108" s="161"/>
      <c r="N108" s="160"/>
      <c r="O108" s="161"/>
      <c r="P108" s="449">
        <f t="shared" si="3"/>
        <v>0</v>
      </c>
    </row>
    <row r="109" spans="1:16" ht="15" customHeight="1" x14ac:dyDescent="0.35">
      <c r="A109" s="230"/>
      <c r="B109" s="190"/>
      <c r="C109" s="414"/>
      <c r="D109" s="190"/>
      <c r="E109" s="488"/>
      <c r="F109" s="180"/>
      <c r="G109" s="183"/>
      <c r="H109" s="160"/>
      <c r="I109" s="161"/>
      <c r="J109" s="160"/>
      <c r="K109" s="161"/>
      <c r="L109" s="160"/>
      <c r="M109" s="161"/>
      <c r="N109" s="160"/>
      <c r="O109" s="161"/>
      <c r="P109" s="449">
        <f t="shared" si="3"/>
        <v>0</v>
      </c>
    </row>
    <row r="110" spans="1:16" ht="15" customHeight="1" x14ac:dyDescent="0.35">
      <c r="A110" s="230"/>
      <c r="B110" s="190"/>
      <c r="C110" s="414"/>
      <c r="D110" s="190"/>
      <c r="E110" s="195"/>
      <c r="F110" s="180"/>
      <c r="G110" s="489"/>
      <c r="H110" s="160"/>
      <c r="I110" s="161"/>
      <c r="J110" s="160"/>
      <c r="K110" s="161"/>
      <c r="L110" s="160"/>
      <c r="M110" s="161"/>
      <c r="N110" s="160"/>
      <c r="O110" s="161"/>
      <c r="P110" s="449">
        <f t="shared" si="3"/>
        <v>0</v>
      </c>
    </row>
    <row r="111" spans="1:16" ht="15" customHeight="1" x14ac:dyDescent="0.35">
      <c r="A111" s="230"/>
      <c r="B111" s="190"/>
      <c r="C111" s="422"/>
      <c r="D111" s="420"/>
      <c r="E111" s="485"/>
      <c r="F111" s="180"/>
      <c r="G111" s="183"/>
      <c r="H111" s="160"/>
      <c r="I111" s="161"/>
      <c r="J111" s="160"/>
      <c r="K111" s="161"/>
      <c r="L111" s="160"/>
      <c r="M111" s="161"/>
      <c r="N111" s="160"/>
      <c r="O111" s="161"/>
      <c r="P111" s="449">
        <f t="shared" si="3"/>
        <v>0</v>
      </c>
    </row>
    <row r="112" spans="1:16" ht="15" customHeight="1" x14ac:dyDescent="0.35">
      <c r="A112" s="230"/>
      <c r="B112" s="190"/>
      <c r="C112" s="414"/>
      <c r="D112" s="190"/>
      <c r="E112" s="195"/>
      <c r="F112" s="180"/>
      <c r="G112" s="183"/>
      <c r="H112" s="160"/>
      <c r="I112" s="161"/>
      <c r="J112" s="160"/>
      <c r="K112" s="161"/>
      <c r="L112" s="160"/>
      <c r="M112" s="161"/>
      <c r="N112" s="160"/>
      <c r="O112" s="161"/>
      <c r="P112" s="449">
        <f t="shared" si="3"/>
        <v>0</v>
      </c>
    </row>
    <row r="113" spans="1:16" ht="15" customHeight="1" x14ac:dyDescent="0.35">
      <c r="A113" s="230"/>
      <c r="B113" s="190"/>
      <c r="C113" s="414"/>
      <c r="D113" s="190"/>
      <c r="E113" s="195"/>
      <c r="F113" s="180"/>
      <c r="G113" s="489"/>
      <c r="H113" s="160"/>
      <c r="I113" s="161"/>
      <c r="J113" s="160"/>
      <c r="K113" s="161"/>
      <c r="L113" s="160"/>
      <c r="M113" s="161"/>
      <c r="N113" s="160"/>
      <c r="O113" s="161"/>
      <c r="P113" s="449">
        <f t="shared" ref="P113:P116" si="4">SUM(I113:O113)</f>
        <v>0</v>
      </c>
    </row>
    <row r="114" spans="1:16" ht="15" customHeight="1" x14ac:dyDescent="0.35">
      <c r="A114" s="230"/>
      <c r="B114" s="190"/>
      <c r="C114" s="414"/>
      <c r="D114" s="190"/>
      <c r="E114" s="195"/>
      <c r="F114" s="180"/>
      <c r="G114" s="183"/>
      <c r="H114" s="160"/>
      <c r="I114" s="161"/>
      <c r="J114" s="160"/>
      <c r="K114" s="161"/>
      <c r="L114" s="160"/>
      <c r="M114" s="161"/>
      <c r="N114" s="160"/>
      <c r="O114" s="161"/>
      <c r="P114" s="449">
        <f t="shared" si="4"/>
        <v>0</v>
      </c>
    </row>
    <row r="115" spans="1:16" ht="15" customHeight="1" x14ac:dyDescent="0.35">
      <c r="A115" s="230"/>
      <c r="B115" s="190"/>
      <c r="C115" s="414"/>
      <c r="D115" s="190"/>
      <c r="E115" s="195"/>
      <c r="F115" s="180"/>
      <c r="G115" s="183"/>
      <c r="H115" s="160"/>
      <c r="I115" s="161"/>
      <c r="J115" s="160"/>
      <c r="K115" s="161"/>
      <c r="L115" s="160"/>
      <c r="M115" s="161"/>
      <c r="N115" s="160"/>
      <c r="O115" s="161"/>
      <c r="P115" s="449">
        <f t="shared" si="4"/>
        <v>0</v>
      </c>
    </row>
    <row r="116" spans="1:16" ht="15" customHeight="1" thickBot="1" x14ac:dyDescent="0.4">
      <c r="A116" s="224"/>
      <c r="B116" s="490"/>
      <c r="C116" s="491"/>
      <c r="D116" s="490"/>
      <c r="E116" s="492"/>
      <c r="F116" s="180"/>
      <c r="G116" s="493"/>
      <c r="H116" s="455"/>
      <c r="I116" s="456"/>
      <c r="J116" s="455"/>
      <c r="K116" s="456"/>
      <c r="L116" s="455"/>
      <c r="M116" s="456"/>
      <c r="N116" s="455"/>
      <c r="O116" s="456"/>
      <c r="P116" s="276">
        <f t="shared" si="4"/>
        <v>0</v>
      </c>
    </row>
    <row r="117" spans="1:16" ht="18" customHeight="1" thickTop="1" x14ac:dyDescent="0.35">
      <c r="A117" s="146"/>
      <c r="B117" s="147"/>
      <c r="C117" s="147"/>
      <c r="D117" s="147"/>
      <c r="E117" s="148"/>
      <c r="F117" s="146"/>
      <c r="G117" s="149" t="s">
        <v>30</v>
      </c>
      <c r="H117" s="146">
        <f>COUNTA(H8:H116)</f>
        <v>30</v>
      </c>
      <c r="I117" s="146"/>
      <c r="J117" s="146">
        <f>COUNTA(J8:J116)</f>
        <v>16</v>
      </c>
      <c r="K117" s="146" t="s">
        <v>31</v>
      </c>
      <c r="L117" s="146">
        <f>COUNTA(L8:L116)</f>
        <v>23</v>
      </c>
      <c r="M117" s="146"/>
      <c r="N117" s="146">
        <f>COUNTA(N8:N116)</f>
        <v>0</v>
      </c>
      <c r="O117" s="146"/>
      <c r="P117" s="150">
        <f>COUNTIF(P8:P116,"&gt;0")</f>
        <v>30</v>
      </c>
    </row>
    <row r="118" spans="1:16" x14ac:dyDescent="0.25">
      <c r="B118" s="39"/>
      <c r="C118" s="39"/>
      <c r="D118" s="39"/>
      <c r="E118" s="40"/>
      <c r="F118" s="40"/>
    </row>
    <row r="119" spans="1:16" x14ac:dyDescent="0.25">
      <c r="B119" s="39"/>
      <c r="C119" s="39"/>
      <c r="D119" s="39"/>
      <c r="E119" s="40"/>
      <c r="F119" s="40"/>
    </row>
    <row r="120" spans="1:16" x14ac:dyDescent="0.25">
      <c r="B120" s="39"/>
      <c r="C120" s="39"/>
      <c r="D120" s="39"/>
      <c r="E120" s="40"/>
      <c r="F120" s="40"/>
    </row>
    <row r="121" spans="1:16" x14ac:dyDescent="0.25">
      <c r="B121" s="39"/>
      <c r="C121" s="39"/>
      <c r="D121" s="39"/>
      <c r="E121" s="40"/>
      <c r="F121" s="40"/>
    </row>
    <row r="122" spans="1:16" x14ac:dyDescent="0.25">
      <c r="B122" s="39"/>
      <c r="C122" s="39"/>
      <c r="D122" s="39"/>
      <c r="E122" s="40"/>
      <c r="F122" s="40"/>
    </row>
    <row r="123" spans="1:16" x14ac:dyDescent="0.25">
      <c r="B123" s="39"/>
      <c r="C123" s="39"/>
      <c r="D123" s="39"/>
      <c r="E123" s="40"/>
      <c r="F123" s="40"/>
    </row>
    <row r="124" spans="1:16" x14ac:dyDescent="0.25">
      <c r="B124" s="39"/>
      <c r="C124" s="39"/>
      <c r="D124" s="39"/>
      <c r="E124" s="40"/>
      <c r="F124" s="40"/>
    </row>
    <row r="125" spans="1:16" x14ac:dyDescent="0.25">
      <c r="B125" s="39"/>
      <c r="C125" s="39"/>
      <c r="D125" s="39"/>
      <c r="E125" s="40"/>
      <c r="F125" s="40"/>
    </row>
    <row r="126" spans="1:16" x14ac:dyDescent="0.25">
      <c r="B126" s="39"/>
      <c r="C126" s="39"/>
      <c r="D126" s="39"/>
      <c r="E126" s="40"/>
      <c r="F126" s="40"/>
    </row>
    <row r="127" spans="1:16" x14ac:dyDescent="0.25">
      <c r="B127" s="39"/>
      <c r="C127" s="39"/>
      <c r="D127" s="39"/>
      <c r="E127" s="40"/>
      <c r="F127" s="40"/>
    </row>
    <row r="128" spans="1:16" x14ac:dyDescent="0.25">
      <c r="B128" s="39"/>
      <c r="C128" s="39"/>
      <c r="D128" s="39"/>
      <c r="E128" s="40"/>
      <c r="F128" s="40"/>
    </row>
    <row r="129" spans="2:6" x14ac:dyDescent="0.25">
      <c r="B129" s="39"/>
      <c r="C129" s="39"/>
      <c r="D129" s="39"/>
      <c r="E129" s="40"/>
      <c r="F129" s="40"/>
    </row>
    <row r="130" spans="2:6" x14ac:dyDescent="0.25">
      <c r="B130" s="39"/>
      <c r="C130" s="39"/>
      <c r="D130" s="39"/>
      <c r="E130" s="40"/>
      <c r="F130" s="40"/>
    </row>
    <row r="131" spans="2:6" x14ac:dyDescent="0.25">
      <c r="B131" s="39"/>
      <c r="C131" s="39"/>
      <c r="D131" s="39"/>
      <c r="E131" s="40"/>
      <c r="F131" s="40"/>
    </row>
    <row r="132" spans="2:6" x14ac:dyDescent="0.25">
      <c r="B132" s="39"/>
      <c r="C132" s="39"/>
      <c r="D132" s="39"/>
      <c r="E132" s="40"/>
      <c r="F132" s="40"/>
    </row>
    <row r="133" spans="2:6" x14ac:dyDescent="0.25">
      <c r="B133" s="39"/>
      <c r="C133" s="39"/>
      <c r="D133" s="39"/>
      <c r="E133" s="40"/>
      <c r="F133" s="40"/>
    </row>
    <row r="134" spans="2:6" x14ac:dyDescent="0.25">
      <c r="B134" s="39"/>
      <c r="C134" s="39"/>
      <c r="D134" s="39"/>
      <c r="E134" s="40"/>
      <c r="F134" s="40"/>
    </row>
    <row r="135" spans="2:6" x14ac:dyDescent="0.25">
      <c r="B135" s="39"/>
      <c r="C135" s="39"/>
      <c r="D135" s="39"/>
      <c r="E135" s="40"/>
      <c r="F135" s="40"/>
    </row>
    <row r="136" spans="2:6" x14ac:dyDescent="0.25">
      <c r="B136" s="39"/>
      <c r="C136" s="39"/>
      <c r="D136" s="39"/>
      <c r="E136" s="40"/>
      <c r="F136" s="40"/>
    </row>
    <row r="137" spans="2:6" x14ac:dyDescent="0.25">
      <c r="B137" s="39"/>
      <c r="C137" s="39"/>
      <c r="D137" s="39"/>
      <c r="E137" s="40"/>
      <c r="F137" s="40"/>
    </row>
    <row r="138" spans="2:6" x14ac:dyDescent="0.25">
      <c r="B138" s="39"/>
      <c r="C138" s="39"/>
      <c r="D138" s="39"/>
      <c r="E138" s="40"/>
      <c r="F138" s="40"/>
    </row>
    <row r="139" spans="2:6" x14ac:dyDescent="0.25">
      <c r="B139" s="39"/>
      <c r="C139" s="39"/>
      <c r="D139" s="39"/>
      <c r="E139" s="40"/>
      <c r="F139" s="40"/>
    </row>
    <row r="140" spans="2:6" x14ac:dyDescent="0.25">
      <c r="B140" s="39"/>
      <c r="C140" s="39"/>
      <c r="D140" s="39"/>
      <c r="E140" s="40"/>
      <c r="F140" s="40"/>
    </row>
    <row r="141" spans="2:6" x14ac:dyDescent="0.25">
      <c r="B141" s="39"/>
      <c r="C141" s="39"/>
      <c r="D141" s="39"/>
      <c r="E141" s="40"/>
      <c r="F141" s="40"/>
    </row>
    <row r="142" spans="2:6" x14ac:dyDescent="0.25">
      <c r="B142" s="39"/>
      <c r="C142" s="39"/>
      <c r="D142" s="39"/>
      <c r="E142" s="40"/>
      <c r="F142" s="40"/>
    </row>
    <row r="143" spans="2:6" x14ac:dyDescent="0.25">
      <c r="B143" s="39"/>
      <c r="C143" s="39"/>
      <c r="D143" s="39"/>
      <c r="E143" s="40"/>
      <c r="F143" s="40"/>
    </row>
    <row r="144" spans="2:6" x14ac:dyDescent="0.25">
      <c r="B144" s="39"/>
      <c r="C144" s="39"/>
      <c r="D144" s="39"/>
      <c r="E144" s="40"/>
      <c r="F144" s="40"/>
    </row>
    <row r="145" spans="2:6" x14ac:dyDescent="0.25">
      <c r="B145" s="39"/>
      <c r="C145" s="39"/>
      <c r="D145" s="39"/>
      <c r="E145" s="40"/>
      <c r="F145" s="40"/>
    </row>
    <row r="146" spans="2:6" x14ac:dyDescent="0.25">
      <c r="B146" s="39"/>
      <c r="C146" s="39"/>
      <c r="D146" s="39"/>
      <c r="E146" s="40"/>
      <c r="F146" s="40"/>
    </row>
    <row r="147" spans="2:6" x14ac:dyDescent="0.25">
      <c r="B147" s="39"/>
      <c r="C147" s="39"/>
      <c r="D147" s="39"/>
      <c r="E147" s="40"/>
      <c r="F147" s="40"/>
    </row>
    <row r="148" spans="2:6" x14ac:dyDescent="0.25">
      <c r="B148" s="39"/>
      <c r="C148" s="39"/>
      <c r="D148" s="39"/>
      <c r="E148" s="40"/>
      <c r="F148" s="40"/>
    </row>
    <row r="149" spans="2:6" x14ac:dyDescent="0.25">
      <c r="B149" s="39"/>
      <c r="C149" s="39"/>
      <c r="D149" s="39"/>
      <c r="E149" s="40"/>
      <c r="F149" s="40"/>
    </row>
    <row r="150" spans="2:6" x14ac:dyDescent="0.25">
      <c r="B150" s="39"/>
      <c r="C150" s="39"/>
      <c r="D150" s="39"/>
      <c r="E150" s="40"/>
      <c r="F150" s="40"/>
    </row>
    <row r="151" spans="2:6" x14ac:dyDescent="0.25">
      <c r="B151" s="39"/>
      <c r="C151" s="39"/>
      <c r="D151" s="39"/>
      <c r="E151" s="40"/>
      <c r="F151" s="40"/>
    </row>
    <row r="152" spans="2:6" x14ac:dyDescent="0.25">
      <c r="B152" s="39"/>
      <c r="C152" s="39"/>
      <c r="D152" s="39"/>
      <c r="E152" s="40"/>
      <c r="F152" s="40"/>
    </row>
    <row r="153" spans="2:6" x14ac:dyDescent="0.25">
      <c r="B153" s="39"/>
      <c r="C153" s="39"/>
      <c r="D153" s="39"/>
      <c r="E153" s="40"/>
      <c r="F153" s="40"/>
    </row>
    <row r="154" spans="2:6" x14ac:dyDescent="0.25">
      <c r="B154" s="39"/>
      <c r="C154" s="39"/>
      <c r="D154" s="39"/>
      <c r="E154" s="40"/>
      <c r="F154" s="40"/>
    </row>
    <row r="155" spans="2:6" x14ac:dyDescent="0.25">
      <c r="B155" s="39"/>
      <c r="C155" s="39"/>
      <c r="D155" s="39"/>
      <c r="E155" s="40"/>
      <c r="F155" s="40"/>
    </row>
    <row r="156" spans="2:6" x14ac:dyDescent="0.25">
      <c r="B156" s="39"/>
      <c r="C156" s="39"/>
      <c r="D156" s="39"/>
      <c r="E156" s="40"/>
      <c r="F156" s="40"/>
    </row>
    <row r="157" spans="2:6" x14ac:dyDescent="0.25">
      <c r="B157" s="39"/>
      <c r="C157" s="39"/>
      <c r="D157" s="39"/>
      <c r="E157" s="40"/>
      <c r="F157" s="40"/>
    </row>
    <row r="158" spans="2:6" x14ac:dyDescent="0.25">
      <c r="B158" s="39"/>
      <c r="C158" s="39"/>
      <c r="D158" s="39"/>
      <c r="E158" s="40"/>
      <c r="F158" s="40"/>
    </row>
    <row r="159" spans="2:6" x14ac:dyDescent="0.25">
      <c r="B159" s="39"/>
      <c r="C159" s="39"/>
      <c r="D159" s="39"/>
      <c r="E159" s="40"/>
      <c r="F159" s="40"/>
    </row>
    <row r="160" spans="2:6" x14ac:dyDescent="0.25">
      <c r="B160" s="39"/>
      <c r="C160" s="39"/>
      <c r="D160" s="39"/>
      <c r="E160" s="40"/>
      <c r="F160" s="40"/>
    </row>
    <row r="161" spans="2:6" x14ac:dyDescent="0.25">
      <c r="B161" s="39"/>
      <c r="C161" s="39"/>
      <c r="D161" s="39"/>
      <c r="E161" s="40"/>
      <c r="F161" s="40"/>
    </row>
    <row r="162" spans="2:6" x14ac:dyDescent="0.25">
      <c r="B162" s="39"/>
      <c r="C162" s="39"/>
      <c r="D162" s="39"/>
      <c r="E162" s="40"/>
      <c r="F162" s="40"/>
    </row>
    <row r="163" spans="2:6" x14ac:dyDescent="0.25">
      <c r="B163" s="39"/>
      <c r="C163" s="39"/>
      <c r="D163" s="39"/>
      <c r="E163" s="40"/>
      <c r="F163" s="40"/>
    </row>
    <row r="164" spans="2:6" x14ac:dyDescent="0.25">
      <c r="B164" s="39"/>
      <c r="C164" s="39"/>
      <c r="D164" s="39"/>
      <c r="E164" s="40"/>
      <c r="F164" s="40"/>
    </row>
    <row r="165" spans="2:6" x14ac:dyDescent="0.25">
      <c r="B165" s="39"/>
      <c r="C165" s="39"/>
      <c r="D165" s="39"/>
      <c r="E165" s="40"/>
      <c r="F165" s="40"/>
    </row>
    <row r="166" spans="2:6" x14ac:dyDescent="0.25">
      <c r="B166" s="39"/>
      <c r="C166" s="39"/>
      <c r="D166" s="39"/>
      <c r="E166" s="40"/>
      <c r="F166" s="40"/>
    </row>
    <row r="167" spans="2:6" x14ac:dyDescent="0.25">
      <c r="B167" s="39"/>
      <c r="C167" s="39"/>
      <c r="D167" s="39"/>
      <c r="E167" s="40"/>
      <c r="F167" s="40"/>
    </row>
    <row r="168" spans="2:6" x14ac:dyDescent="0.25">
      <c r="B168" s="39"/>
      <c r="C168" s="39"/>
      <c r="D168" s="39"/>
      <c r="E168" s="40"/>
      <c r="F168" s="40"/>
    </row>
    <row r="169" spans="2:6" x14ac:dyDescent="0.25">
      <c r="B169" s="39"/>
      <c r="C169" s="39"/>
      <c r="D169" s="39"/>
      <c r="E169" s="40"/>
      <c r="F169" s="40"/>
    </row>
    <row r="170" spans="2:6" x14ac:dyDescent="0.25">
      <c r="B170" s="39"/>
      <c r="C170" s="39"/>
      <c r="D170" s="39"/>
      <c r="E170" s="40"/>
      <c r="F170" s="40"/>
    </row>
    <row r="171" spans="2:6" x14ac:dyDescent="0.25">
      <c r="B171" s="39"/>
      <c r="C171" s="39"/>
      <c r="D171" s="39"/>
      <c r="E171" s="40"/>
      <c r="F171" s="40"/>
    </row>
    <row r="172" spans="2:6" x14ac:dyDescent="0.25">
      <c r="B172" s="39"/>
      <c r="C172" s="39"/>
      <c r="D172" s="39"/>
      <c r="E172" s="40"/>
      <c r="F172" s="40"/>
    </row>
    <row r="173" spans="2:6" x14ac:dyDescent="0.25">
      <c r="B173" s="39"/>
      <c r="C173" s="39"/>
      <c r="D173" s="39"/>
      <c r="E173" s="40"/>
      <c r="F173" s="40"/>
    </row>
    <row r="174" spans="2:6" x14ac:dyDescent="0.25">
      <c r="B174" s="39"/>
      <c r="C174" s="39"/>
      <c r="D174" s="39"/>
      <c r="E174" s="40"/>
      <c r="F174" s="40"/>
    </row>
    <row r="175" spans="2:6" x14ac:dyDescent="0.25">
      <c r="B175" s="39"/>
      <c r="C175" s="39"/>
      <c r="D175" s="39"/>
      <c r="E175" s="40"/>
      <c r="F175" s="40"/>
    </row>
    <row r="176" spans="2:6" x14ac:dyDescent="0.25">
      <c r="B176" s="39"/>
      <c r="C176" s="39"/>
      <c r="D176" s="39"/>
      <c r="E176" s="40"/>
      <c r="F176" s="40"/>
    </row>
    <row r="177" spans="2:6" x14ac:dyDescent="0.25">
      <c r="B177" s="39"/>
      <c r="C177" s="39"/>
      <c r="D177" s="39"/>
      <c r="E177" s="40"/>
      <c r="F177" s="40"/>
    </row>
    <row r="178" spans="2:6" x14ac:dyDescent="0.25">
      <c r="B178" s="39"/>
      <c r="C178" s="39"/>
      <c r="D178" s="39"/>
      <c r="E178" s="40"/>
      <c r="F178" s="40"/>
    </row>
    <row r="179" spans="2:6" x14ac:dyDescent="0.25">
      <c r="B179" s="39"/>
      <c r="C179" s="39"/>
      <c r="D179" s="39"/>
      <c r="E179" s="40"/>
      <c r="F179" s="40"/>
    </row>
    <row r="180" spans="2:6" x14ac:dyDescent="0.25">
      <c r="B180" s="39"/>
      <c r="C180" s="39"/>
      <c r="D180" s="39"/>
      <c r="E180" s="40"/>
      <c r="F180" s="40"/>
    </row>
    <row r="181" spans="2:6" x14ac:dyDescent="0.25">
      <c r="B181" s="39"/>
      <c r="C181" s="39"/>
      <c r="D181" s="39"/>
      <c r="E181" s="40"/>
      <c r="F181" s="40"/>
    </row>
    <row r="182" spans="2:6" x14ac:dyDescent="0.25">
      <c r="B182" s="39"/>
      <c r="C182" s="39"/>
      <c r="D182" s="39"/>
      <c r="E182" s="40"/>
      <c r="F182" s="40"/>
    </row>
    <row r="183" spans="2:6" x14ac:dyDescent="0.25">
      <c r="B183" s="39"/>
      <c r="C183" s="39"/>
      <c r="D183" s="39"/>
      <c r="E183" s="40"/>
      <c r="F183" s="40"/>
    </row>
    <row r="184" spans="2:6" x14ac:dyDescent="0.25">
      <c r="B184" s="39"/>
      <c r="C184" s="39"/>
      <c r="D184" s="39"/>
      <c r="E184" s="40"/>
      <c r="F184" s="40"/>
    </row>
    <row r="185" spans="2:6" x14ac:dyDescent="0.25">
      <c r="B185" s="39"/>
      <c r="C185" s="39"/>
      <c r="D185" s="39"/>
      <c r="E185" s="40"/>
      <c r="F185" s="40"/>
    </row>
    <row r="186" spans="2:6" x14ac:dyDescent="0.25">
      <c r="B186" s="39"/>
      <c r="C186" s="39"/>
      <c r="D186" s="39"/>
      <c r="E186" s="40"/>
      <c r="F186" s="40"/>
    </row>
    <row r="187" spans="2:6" x14ac:dyDescent="0.25">
      <c r="B187" s="39"/>
      <c r="C187" s="39"/>
      <c r="D187" s="39"/>
      <c r="E187" s="40"/>
      <c r="F187" s="40"/>
    </row>
    <row r="188" spans="2:6" x14ac:dyDescent="0.25">
      <c r="B188" s="39"/>
      <c r="C188" s="39"/>
      <c r="D188" s="39"/>
      <c r="E188" s="40"/>
      <c r="F188" s="40"/>
    </row>
    <row r="189" spans="2:6" x14ac:dyDescent="0.25">
      <c r="B189" s="39"/>
      <c r="C189" s="39"/>
      <c r="D189" s="39"/>
      <c r="E189" s="40"/>
      <c r="F189" s="40"/>
    </row>
    <row r="190" spans="2:6" x14ac:dyDescent="0.25">
      <c r="B190" s="39"/>
      <c r="C190" s="39"/>
      <c r="D190" s="39"/>
      <c r="E190" s="40"/>
      <c r="F190" s="40"/>
    </row>
    <row r="191" spans="2:6" x14ac:dyDescent="0.25">
      <c r="B191" s="39"/>
      <c r="C191" s="39"/>
      <c r="D191" s="39"/>
      <c r="E191" s="40"/>
      <c r="F191" s="40"/>
    </row>
    <row r="192" spans="2:6" x14ac:dyDescent="0.25">
      <c r="B192" s="39"/>
      <c r="C192" s="39"/>
      <c r="D192" s="39"/>
      <c r="E192" s="40"/>
      <c r="F192" s="40"/>
    </row>
    <row r="193" spans="2:6" x14ac:dyDescent="0.25">
      <c r="B193" s="39"/>
      <c r="C193" s="39"/>
      <c r="D193" s="39"/>
      <c r="E193" s="40"/>
      <c r="F193" s="40"/>
    </row>
    <row r="194" spans="2:6" x14ac:dyDescent="0.25">
      <c r="B194" s="39"/>
      <c r="C194" s="39"/>
      <c r="D194" s="39"/>
      <c r="E194" s="40"/>
      <c r="F194" s="40"/>
    </row>
    <row r="195" spans="2:6" x14ac:dyDescent="0.25">
      <c r="B195" s="39"/>
      <c r="C195" s="39"/>
      <c r="D195" s="39"/>
      <c r="E195" s="40"/>
      <c r="F195" s="40"/>
    </row>
    <row r="196" spans="2:6" x14ac:dyDescent="0.25">
      <c r="B196" s="39"/>
      <c r="C196" s="39"/>
      <c r="D196" s="39"/>
      <c r="E196" s="40"/>
      <c r="F196" s="40"/>
    </row>
    <row r="197" spans="2:6" x14ac:dyDescent="0.25">
      <c r="B197" s="39"/>
      <c r="C197" s="39"/>
      <c r="D197" s="39"/>
      <c r="E197" s="40"/>
      <c r="F197" s="40"/>
    </row>
    <row r="198" spans="2:6" x14ac:dyDescent="0.25">
      <c r="B198" s="39"/>
      <c r="C198" s="39"/>
      <c r="D198" s="39"/>
      <c r="E198" s="40"/>
      <c r="F198" s="40"/>
    </row>
    <row r="199" spans="2:6" x14ac:dyDescent="0.25">
      <c r="B199" s="39"/>
      <c r="C199" s="39"/>
      <c r="D199" s="39"/>
      <c r="E199" s="40"/>
      <c r="F199" s="40"/>
    </row>
    <row r="200" spans="2:6" x14ac:dyDescent="0.25">
      <c r="B200" s="39"/>
      <c r="C200" s="39"/>
      <c r="D200" s="39"/>
      <c r="E200" s="40"/>
      <c r="F200" s="40"/>
    </row>
    <row r="201" spans="2:6" x14ac:dyDescent="0.25">
      <c r="B201" s="39"/>
      <c r="C201" s="39"/>
      <c r="D201" s="39"/>
      <c r="E201" s="40"/>
      <c r="F201" s="40"/>
    </row>
    <row r="202" spans="2:6" x14ac:dyDescent="0.25">
      <c r="B202" s="39"/>
      <c r="C202" s="39"/>
      <c r="D202" s="39"/>
      <c r="E202" s="40"/>
      <c r="F202" s="40"/>
    </row>
    <row r="203" spans="2:6" x14ac:dyDescent="0.25">
      <c r="B203" s="39"/>
      <c r="C203" s="39"/>
      <c r="D203" s="39"/>
      <c r="E203" s="40"/>
      <c r="F203" s="40"/>
    </row>
    <row r="204" spans="2:6" x14ac:dyDescent="0.25">
      <c r="B204" s="39"/>
      <c r="C204" s="39"/>
      <c r="D204" s="39"/>
      <c r="E204" s="40"/>
      <c r="F204" s="40"/>
    </row>
    <row r="205" spans="2:6" x14ac:dyDescent="0.25">
      <c r="B205" s="39"/>
      <c r="C205" s="39"/>
      <c r="D205" s="39"/>
      <c r="E205" s="40"/>
      <c r="F205" s="40"/>
    </row>
    <row r="206" spans="2:6" x14ac:dyDescent="0.25">
      <c r="B206" s="39"/>
      <c r="C206" s="39"/>
      <c r="D206" s="39"/>
      <c r="E206" s="40"/>
      <c r="F206" s="40"/>
    </row>
    <row r="207" spans="2:6" x14ac:dyDescent="0.25">
      <c r="B207" s="39"/>
      <c r="C207" s="39"/>
      <c r="D207" s="39"/>
      <c r="E207" s="40"/>
      <c r="F207" s="40"/>
    </row>
    <row r="208" spans="2:6" x14ac:dyDescent="0.25">
      <c r="B208" s="39"/>
      <c r="C208" s="39"/>
      <c r="D208" s="39"/>
      <c r="E208" s="40"/>
      <c r="F208" s="40"/>
    </row>
    <row r="209" spans="2:6" x14ac:dyDescent="0.25">
      <c r="B209" s="39"/>
      <c r="C209" s="39"/>
      <c r="D209" s="39"/>
      <c r="E209" s="40"/>
      <c r="F209" s="40"/>
    </row>
    <row r="210" spans="2:6" x14ac:dyDescent="0.25">
      <c r="B210" s="39"/>
      <c r="C210" s="39"/>
      <c r="D210" s="39"/>
      <c r="E210" s="40"/>
      <c r="F210" s="40"/>
    </row>
    <row r="211" spans="2:6" x14ac:dyDescent="0.25">
      <c r="B211" s="39"/>
      <c r="C211" s="39"/>
      <c r="D211" s="39"/>
      <c r="E211" s="40"/>
      <c r="F211" s="40"/>
    </row>
    <row r="212" spans="2:6" x14ac:dyDescent="0.25">
      <c r="B212" s="39"/>
      <c r="C212" s="39"/>
      <c r="D212" s="39"/>
      <c r="E212" s="40"/>
      <c r="F212" s="40"/>
    </row>
    <row r="213" spans="2:6" x14ac:dyDescent="0.25">
      <c r="B213" s="39"/>
      <c r="C213" s="39"/>
      <c r="D213" s="39"/>
      <c r="E213" s="40"/>
      <c r="F213" s="40"/>
    </row>
    <row r="214" spans="2:6" x14ac:dyDescent="0.25">
      <c r="B214" s="39"/>
      <c r="C214" s="39"/>
      <c r="D214" s="39"/>
      <c r="E214" s="40"/>
      <c r="F214" s="40"/>
    </row>
    <row r="215" spans="2:6" x14ac:dyDescent="0.25">
      <c r="B215" s="39"/>
      <c r="C215" s="39"/>
      <c r="D215" s="39"/>
      <c r="E215" s="40"/>
      <c r="F215" s="40"/>
    </row>
    <row r="216" spans="2:6" x14ac:dyDescent="0.25">
      <c r="B216" s="39"/>
      <c r="C216" s="39"/>
      <c r="D216" s="39"/>
      <c r="E216" s="40"/>
      <c r="F216" s="40"/>
    </row>
    <row r="217" spans="2:6" x14ac:dyDescent="0.25">
      <c r="B217" s="39"/>
      <c r="C217" s="39"/>
      <c r="D217" s="39"/>
      <c r="E217" s="40"/>
      <c r="F217" s="40"/>
    </row>
    <row r="218" spans="2:6" x14ac:dyDescent="0.25">
      <c r="B218" s="39"/>
      <c r="C218" s="39"/>
      <c r="D218" s="39"/>
      <c r="E218" s="40"/>
      <c r="F218" s="40"/>
    </row>
    <row r="219" spans="2:6" x14ac:dyDescent="0.25">
      <c r="B219" s="39"/>
      <c r="C219" s="39"/>
      <c r="D219" s="39"/>
      <c r="E219" s="40"/>
      <c r="F219" s="40"/>
    </row>
    <row r="220" spans="2:6" x14ac:dyDescent="0.25">
      <c r="B220" s="39"/>
      <c r="C220" s="39"/>
      <c r="D220" s="39"/>
      <c r="E220" s="40"/>
      <c r="F220" s="40"/>
    </row>
    <row r="221" spans="2:6" x14ac:dyDescent="0.25">
      <c r="B221" s="39"/>
      <c r="C221" s="39"/>
      <c r="D221" s="39"/>
      <c r="E221" s="40"/>
      <c r="F221" s="40"/>
    </row>
    <row r="222" spans="2:6" x14ac:dyDescent="0.25">
      <c r="B222" s="39"/>
      <c r="C222" s="39"/>
      <c r="D222" s="39"/>
      <c r="E222" s="40"/>
      <c r="F222" s="40"/>
    </row>
    <row r="223" spans="2:6" x14ac:dyDescent="0.25">
      <c r="B223" s="39"/>
      <c r="C223" s="39"/>
      <c r="D223" s="39"/>
      <c r="E223" s="40"/>
      <c r="F223" s="40"/>
    </row>
    <row r="224" spans="2:6" x14ac:dyDescent="0.25">
      <c r="B224" s="39"/>
      <c r="C224" s="39"/>
      <c r="D224" s="39"/>
      <c r="E224" s="40"/>
      <c r="F224" s="40"/>
    </row>
    <row r="225" spans="2:6" x14ac:dyDescent="0.25">
      <c r="B225" s="39"/>
      <c r="C225" s="39"/>
      <c r="D225" s="39"/>
      <c r="E225" s="40"/>
      <c r="F225" s="40"/>
    </row>
    <row r="226" spans="2:6" x14ac:dyDescent="0.25">
      <c r="B226" s="39"/>
      <c r="C226" s="39"/>
      <c r="D226" s="39"/>
      <c r="E226" s="40"/>
      <c r="F226" s="40"/>
    </row>
    <row r="227" spans="2:6" x14ac:dyDescent="0.25">
      <c r="B227" s="39"/>
      <c r="C227" s="39"/>
      <c r="D227" s="39"/>
      <c r="E227" s="40"/>
      <c r="F227" s="40"/>
    </row>
    <row r="228" spans="2:6" x14ac:dyDescent="0.25">
      <c r="B228" s="39"/>
      <c r="C228" s="39"/>
      <c r="D228" s="39"/>
      <c r="E228" s="40"/>
      <c r="F228" s="40"/>
    </row>
    <row r="229" spans="2:6" x14ac:dyDescent="0.25">
      <c r="B229" s="39"/>
      <c r="C229" s="39"/>
      <c r="D229" s="39"/>
      <c r="E229" s="40"/>
      <c r="F229" s="40"/>
    </row>
    <row r="230" spans="2:6" x14ac:dyDescent="0.25">
      <c r="B230" s="39"/>
      <c r="C230" s="39"/>
      <c r="D230" s="39"/>
      <c r="E230" s="40"/>
      <c r="F230" s="40"/>
    </row>
    <row r="231" spans="2:6" x14ac:dyDescent="0.25">
      <c r="B231" s="39"/>
      <c r="C231" s="39"/>
      <c r="D231" s="39"/>
      <c r="E231" s="40"/>
      <c r="F231" s="40"/>
    </row>
    <row r="232" spans="2:6" x14ac:dyDescent="0.25">
      <c r="B232" s="39"/>
      <c r="C232" s="39"/>
      <c r="D232" s="39"/>
      <c r="E232" s="40"/>
      <c r="F232" s="40"/>
    </row>
    <row r="233" spans="2:6" x14ac:dyDescent="0.25">
      <c r="B233" s="39"/>
      <c r="C233" s="39"/>
      <c r="D233" s="39"/>
      <c r="E233" s="40"/>
      <c r="F233" s="40"/>
    </row>
    <row r="234" spans="2:6" x14ac:dyDescent="0.25">
      <c r="B234" s="39"/>
      <c r="C234" s="39"/>
      <c r="D234" s="39"/>
      <c r="E234" s="40"/>
      <c r="F234" s="40"/>
    </row>
    <row r="235" spans="2:6" x14ac:dyDescent="0.25">
      <c r="B235" s="39"/>
      <c r="C235" s="39"/>
      <c r="D235" s="39"/>
      <c r="E235" s="40"/>
      <c r="F235" s="40"/>
    </row>
    <row r="236" spans="2:6" x14ac:dyDescent="0.25">
      <c r="B236" s="39"/>
      <c r="C236" s="39"/>
      <c r="D236" s="39"/>
      <c r="E236" s="40"/>
      <c r="F236" s="40"/>
    </row>
    <row r="237" spans="2:6" x14ac:dyDescent="0.25">
      <c r="B237" s="39"/>
      <c r="C237" s="39"/>
      <c r="D237" s="39"/>
      <c r="E237" s="40"/>
      <c r="F237" s="40"/>
    </row>
    <row r="238" spans="2:6" x14ac:dyDescent="0.25">
      <c r="B238" s="39"/>
      <c r="C238" s="39"/>
      <c r="D238" s="39"/>
      <c r="E238" s="40"/>
      <c r="F238" s="40"/>
    </row>
    <row r="239" spans="2:6" x14ac:dyDescent="0.25">
      <c r="B239" s="39"/>
      <c r="C239" s="39"/>
      <c r="D239" s="39"/>
      <c r="E239" s="40"/>
      <c r="F239" s="40"/>
    </row>
    <row r="240" spans="2:6" x14ac:dyDescent="0.25">
      <c r="B240" s="39"/>
      <c r="C240" s="39"/>
      <c r="D240" s="39"/>
      <c r="E240" s="40"/>
      <c r="F240" s="40"/>
    </row>
    <row r="241" spans="2:6" x14ac:dyDescent="0.25">
      <c r="B241" s="39"/>
      <c r="C241" s="39"/>
      <c r="D241" s="39"/>
      <c r="E241" s="40"/>
      <c r="F241" s="40"/>
    </row>
    <row r="242" spans="2:6" x14ac:dyDescent="0.25">
      <c r="B242" s="39"/>
      <c r="C242" s="39"/>
      <c r="D242" s="39"/>
      <c r="E242" s="40"/>
      <c r="F242" s="40"/>
    </row>
    <row r="243" spans="2:6" x14ac:dyDescent="0.25">
      <c r="B243" s="39"/>
      <c r="C243" s="39"/>
      <c r="D243" s="39"/>
      <c r="E243" s="40"/>
      <c r="F243" s="40"/>
    </row>
    <row r="244" spans="2:6" x14ac:dyDescent="0.25">
      <c r="B244" s="39"/>
      <c r="C244" s="39"/>
      <c r="D244" s="39"/>
      <c r="E244" s="40"/>
      <c r="F244" s="40"/>
    </row>
    <row r="245" spans="2:6" x14ac:dyDescent="0.25">
      <c r="B245" s="39"/>
      <c r="C245" s="39"/>
      <c r="D245" s="39"/>
      <c r="E245" s="40"/>
      <c r="F245" s="40"/>
    </row>
    <row r="246" spans="2:6" x14ac:dyDescent="0.25">
      <c r="B246" s="39"/>
      <c r="C246" s="39"/>
      <c r="D246" s="39"/>
      <c r="E246" s="40"/>
      <c r="F246" s="40"/>
    </row>
    <row r="247" spans="2:6" x14ac:dyDescent="0.25">
      <c r="B247" s="39"/>
      <c r="C247" s="39"/>
      <c r="D247" s="39"/>
      <c r="E247" s="40"/>
      <c r="F247" s="40"/>
    </row>
    <row r="248" spans="2:6" x14ac:dyDescent="0.25">
      <c r="B248" s="39"/>
      <c r="C248" s="39"/>
      <c r="D248" s="39"/>
      <c r="E248" s="40"/>
      <c r="F248" s="40"/>
    </row>
    <row r="249" spans="2:6" x14ac:dyDescent="0.25">
      <c r="B249" s="39"/>
      <c r="C249" s="39"/>
      <c r="D249" s="39"/>
      <c r="E249" s="40"/>
      <c r="F249" s="40"/>
    </row>
    <row r="250" spans="2:6" x14ac:dyDescent="0.25">
      <c r="B250" s="39"/>
      <c r="C250" s="39"/>
      <c r="D250" s="39"/>
      <c r="E250" s="40"/>
      <c r="F250" s="40"/>
    </row>
    <row r="251" spans="2:6" x14ac:dyDescent="0.25">
      <c r="B251" s="39"/>
      <c r="C251" s="39"/>
      <c r="D251" s="39"/>
      <c r="E251" s="40"/>
      <c r="F251" s="40"/>
    </row>
    <row r="252" spans="2:6" x14ac:dyDescent="0.25">
      <c r="B252" s="39"/>
      <c r="C252" s="39"/>
      <c r="D252" s="39"/>
      <c r="E252" s="40"/>
      <c r="F252" s="40"/>
    </row>
    <row r="253" spans="2:6" x14ac:dyDescent="0.25">
      <c r="B253" s="39"/>
      <c r="C253" s="39"/>
      <c r="D253" s="39"/>
      <c r="E253" s="40"/>
      <c r="F253" s="40"/>
    </row>
    <row r="254" spans="2:6" x14ac:dyDescent="0.25">
      <c r="B254" s="39"/>
      <c r="C254" s="39"/>
      <c r="D254" s="39"/>
      <c r="E254" s="40"/>
      <c r="F254" s="40"/>
    </row>
    <row r="255" spans="2:6" x14ac:dyDescent="0.25">
      <c r="B255" s="39"/>
      <c r="C255" s="39"/>
      <c r="D255" s="39"/>
      <c r="E255" s="40"/>
      <c r="F255" s="40"/>
    </row>
    <row r="256" spans="2:6" x14ac:dyDescent="0.25">
      <c r="B256" s="39"/>
      <c r="C256" s="39"/>
      <c r="D256" s="39"/>
      <c r="E256" s="40"/>
      <c r="F256" s="40"/>
    </row>
    <row r="257" spans="2:6" x14ac:dyDescent="0.25">
      <c r="B257" s="39"/>
      <c r="C257" s="39"/>
      <c r="D257" s="39"/>
      <c r="E257" s="40"/>
      <c r="F257" s="40"/>
    </row>
    <row r="258" spans="2:6" x14ac:dyDescent="0.25">
      <c r="B258" s="39"/>
      <c r="C258" s="39"/>
      <c r="D258" s="39"/>
      <c r="E258" s="40"/>
      <c r="F258" s="40"/>
    </row>
    <row r="259" spans="2:6" x14ac:dyDescent="0.25">
      <c r="B259" s="39"/>
      <c r="C259" s="39"/>
      <c r="D259" s="39"/>
      <c r="E259" s="40"/>
      <c r="F259" s="40"/>
    </row>
    <row r="260" spans="2:6" x14ac:dyDescent="0.25">
      <c r="B260" s="39"/>
      <c r="C260" s="39"/>
      <c r="D260" s="39"/>
      <c r="E260" s="40"/>
      <c r="F260" s="40"/>
    </row>
    <row r="261" spans="2:6" x14ac:dyDescent="0.25">
      <c r="B261" s="39"/>
      <c r="C261" s="39"/>
      <c r="D261" s="39"/>
      <c r="E261" s="40"/>
      <c r="F261" s="40"/>
    </row>
    <row r="262" spans="2:6" x14ac:dyDescent="0.25">
      <c r="B262" s="39"/>
      <c r="C262" s="39"/>
      <c r="D262" s="39"/>
      <c r="E262" s="40"/>
      <c r="F262" s="40"/>
    </row>
    <row r="263" spans="2:6" x14ac:dyDescent="0.25">
      <c r="B263" s="39"/>
      <c r="C263" s="39"/>
      <c r="D263" s="39"/>
      <c r="E263" s="40"/>
      <c r="F263" s="40"/>
    </row>
    <row r="264" spans="2:6" x14ac:dyDescent="0.25">
      <c r="B264" s="39"/>
      <c r="C264" s="39"/>
      <c r="D264" s="39"/>
      <c r="E264" s="40"/>
      <c r="F264" s="40"/>
    </row>
    <row r="265" spans="2:6" x14ac:dyDescent="0.25">
      <c r="B265" s="39"/>
      <c r="C265" s="39"/>
      <c r="D265" s="39"/>
      <c r="E265" s="40"/>
      <c r="F265" s="40"/>
    </row>
    <row r="266" spans="2:6" x14ac:dyDescent="0.25">
      <c r="B266" s="39"/>
      <c r="C266" s="39"/>
      <c r="D266" s="39"/>
      <c r="E266" s="40"/>
      <c r="F266" s="40"/>
    </row>
    <row r="267" spans="2:6" x14ac:dyDescent="0.25">
      <c r="B267" s="39"/>
      <c r="C267" s="39"/>
      <c r="D267" s="39"/>
      <c r="E267" s="40"/>
      <c r="F267" s="40"/>
    </row>
    <row r="268" spans="2:6" x14ac:dyDescent="0.25">
      <c r="B268" s="39"/>
      <c r="C268" s="39"/>
      <c r="D268" s="39"/>
      <c r="E268" s="40"/>
      <c r="F268" s="40"/>
    </row>
    <row r="269" spans="2:6" x14ac:dyDescent="0.25">
      <c r="B269" s="39"/>
      <c r="C269" s="39"/>
      <c r="D269" s="39"/>
      <c r="E269" s="40"/>
      <c r="F269" s="40"/>
    </row>
    <row r="270" spans="2:6" x14ac:dyDescent="0.25">
      <c r="B270" s="39"/>
      <c r="C270" s="39"/>
      <c r="D270" s="39"/>
      <c r="E270" s="40"/>
      <c r="F270" s="40"/>
    </row>
    <row r="271" spans="2:6" x14ac:dyDescent="0.25">
      <c r="B271" s="39"/>
      <c r="C271" s="39"/>
      <c r="D271" s="39"/>
      <c r="E271" s="40"/>
      <c r="F271" s="40"/>
    </row>
    <row r="272" spans="2:6" x14ac:dyDescent="0.25">
      <c r="B272" s="39"/>
      <c r="C272" s="39"/>
      <c r="D272" s="39"/>
      <c r="E272" s="40"/>
      <c r="F272" s="40"/>
    </row>
    <row r="273" spans="2:6" x14ac:dyDescent="0.25">
      <c r="B273" s="39"/>
      <c r="C273" s="39"/>
      <c r="D273" s="39"/>
      <c r="E273" s="40"/>
      <c r="F273" s="40"/>
    </row>
    <row r="274" spans="2:6" x14ac:dyDescent="0.25">
      <c r="B274" s="39"/>
      <c r="C274" s="39"/>
      <c r="D274" s="39"/>
      <c r="E274" s="40"/>
      <c r="F274" s="40"/>
    </row>
    <row r="275" spans="2:6" x14ac:dyDescent="0.25">
      <c r="B275" s="39"/>
      <c r="C275" s="39"/>
      <c r="D275" s="39"/>
      <c r="E275" s="40"/>
      <c r="F275" s="40"/>
    </row>
    <row r="276" spans="2:6" x14ac:dyDescent="0.25">
      <c r="B276" s="39"/>
      <c r="C276" s="39"/>
      <c r="D276" s="39"/>
      <c r="E276" s="40"/>
      <c r="F276" s="40"/>
    </row>
    <row r="277" spans="2:6" x14ac:dyDescent="0.25">
      <c r="B277" s="39"/>
      <c r="C277" s="39"/>
      <c r="D277" s="39"/>
      <c r="E277" s="40"/>
      <c r="F277" s="40"/>
    </row>
    <row r="278" spans="2:6" x14ac:dyDescent="0.25">
      <c r="B278" s="39"/>
      <c r="C278" s="39"/>
      <c r="D278" s="39"/>
      <c r="E278" s="40"/>
      <c r="F278" s="40"/>
    </row>
    <row r="279" spans="2:6" x14ac:dyDescent="0.25">
      <c r="B279" s="39"/>
      <c r="C279" s="39"/>
      <c r="D279" s="39"/>
      <c r="E279" s="40"/>
      <c r="F279" s="40"/>
    </row>
    <row r="280" spans="2:6" x14ac:dyDescent="0.25">
      <c r="B280" s="39"/>
      <c r="C280" s="39"/>
      <c r="D280" s="39"/>
      <c r="E280" s="40"/>
      <c r="F280" s="40"/>
    </row>
    <row r="281" spans="2:6" x14ac:dyDescent="0.25">
      <c r="B281" s="39"/>
      <c r="C281" s="39"/>
      <c r="D281" s="39"/>
      <c r="E281" s="40"/>
      <c r="F281" s="40"/>
    </row>
    <row r="282" spans="2:6" x14ac:dyDescent="0.25">
      <c r="B282" s="39"/>
      <c r="C282" s="39"/>
      <c r="D282" s="39"/>
      <c r="E282" s="40"/>
      <c r="F282" s="40"/>
    </row>
    <row r="283" spans="2:6" x14ac:dyDescent="0.25">
      <c r="B283" s="39"/>
      <c r="C283" s="39"/>
      <c r="D283" s="39"/>
      <c r="E283" s="40"/>
      <c r="F283" s="40"/>
    </row>
    <row r="284" spans="2:6" x14ac:dyDescent="0.25">
      <c r="B284" s="39"/>
      <c r="C284" s="39"/>
      <c r="D284" s="39"/>
      <c r="E284" s="40"/>
      <c r="F284" s="40"/>
    </row>
    <row r="285" spans="2:6" x14ac:dyDescent="0.25">
      <c r="B285" s="39"/>
      <c r="C285" s="39"/>
      <c r="D285" s="39"/>
      <c r="E285" s="40"/>
      <c r="F285" s="40"/>
    </row>
    <row r="286" spans="2:6" x14ac:dyDescent="0.25">
      <c r="B286" s="39"/>
      <c r="C286" s="39"/>
      <c r="D286" s="39"/>
      <c r="E286" s="40"/>
      <c r="F286" s="40"/>
    </row>
    <row r="287" spans="2:6" x14ac:dyDescent="0.25">
      <c r="B287" s="39"/>
      <c r="C287" s="39"/>
      <c r="D287" s="39"/>
      <c r="E287" s="40"/>
      <c r="F287" s="40"/>
    </row>
    <row r="288" spans="2:6" x14ac:dyDescent="0.25">
      <c r="B288" s="39"/>
      <c r="C288" s="39"/>
      <c r="D288" s="39"/>
      <c r="E288" s="40"/>
      <c r="F288" s="40"/>
    </row>
    <row r="289" spans="2:6" x14ac:dyDescent="0.25">
      <c r="B289" s="39"/>
      <c r="C289" s="39"/>
      <c r="D289" s="39"/>
      <c r="E289" s="40"/>
      <c r="F289" s="40"/>
    </row>
    <row r="290" spans="2:6" x14ac:dyDescent="0.25">
      <c r="B290" s="39"/>
      <c r="C290" s="39"/>
      <c r="D290" s="39"/>
      <c r="E290" s="40"/>
      <c r="F290" s="40"/>
    </row>
    <row r="291" spans="2:6" x14ac:dyDescent="0.25">
      <c r="B291" s="39"/>
      <c r="C291" s="39"/>
      <c r="D291" s="39"/>
      <c r="E291" s="40"/>
      <c r="F291" s="40"/>
    </row>
    <row r="292" spans="2:6" x14ac:dyDescent="0.25">
      <c r="B292" s="39"/>
      <c r="C292" s="39"/>
      <c r="D292" s="39"/>
      <c r="E292" s="40"/>
      <c r="F292" s="40"/>
    </row>
    <row r="293" spans="2:6" x14ac:dyDescent="0.25">
      <c r="B293" s="39"/>
      <c r="C293" s="39"/>
      <c r="D293" s="39"/>
      <c r="E293" s="40"/>
      <c r="F293" s="40"/>
    </row>
    <row r="294" spans="2:6" x14ac:dyDescent="0.25">
      <c r="B294" s="39"/>
      <c r="C294" s="39"/>
      <c r="D294" s="39"/>
      <c r="E294" s="40"/>
      <c r="F294" s="40"/>
    </row>
    <row r="295" spans="2:6" x14ac:dyDescent="0.25">
      <c r="B295" s="39"/>
      <c r="C295" s="39"/>
      <c r="D295" s="39"/>
      <c r="E295" s="40"/>
      <c r="F295" s="40"/>
    </row>
    <row r="296" spans="2:6" x14ac:dyDescent="0.25">
      <c r="B296" s="39"/>
      <c r="C296" s="39"/>
      <c r="D296" s="39"/>
      <c r="E296" s="40"/>
      <c r="F296" s="40"/>
    </row>
    <row r="297" spans="2:6" x14ac:dyDescent="0.25">
      <c r="B297" s="39"/>
      <c r="C297" s="39"/>
      <c r="D297" s="39"/>
      <c r="E297" s="40"/>
      <c r="F297" s="40"/>
    </row>
    <row r="298" spans="2:6" x14ac:dyDescent="0.25">
      <c r="B298" s="39"/>
      <c r="C298" s="39"/>
      <c r="D298" s="39"/>
      <c r="E298" s="40"/>
      <c r="F298" s="40"/>
    </row>
    <row r="299" spans="2:6" x14ac:dyDescent="0.25">
      <c r="B299" s="39"/>
      <c r="C299" s="39"/>
      <c r="D299" s="39"/>
      <c r="E299" s="40"/>
      <c r="F299" s="40"/>
    </row>
    <row r="300" spans="2:6" x14ac:dyDescent="0.25">
      <c r="B300" s="39"/>
      <c r="C300" s="39"/>
      <c r="D300" s="39"/>
      <c r="E300" s="40"/>
      <c r="F300" s="40"/>
    </row>
    <row r="301" spans="2:6" x14ac:dyDescent="0.25">
      <c r="B301" s="39"/>
      <c r="C301" s="39"/>
      <c r="D301" s="39"/>
      <c r="E301" s="40"/>
      <c r="F301" s="40"/>
    </row>
    <row r="302" spans="2:6" x14ac:dyDescent="0.25">
      <c r="B302" s="39"/>
      <c r="C302" s="39"/>
      <c r="D302" s="39"/>
      <c r="E302" s="40"/>
      <c r="F302" s="40"/>
    </row>
    <row r="303" spans="2:6" x14ac:dyDescent="0.25">
      <c r="B303" s="39"/>
      <c r="C303" s="39"/>
      <c r="D303" s="39"/>
      <c r="E303" s="40"/>
      <c r="F303" s="40"/>
    </row>
    <row r="304" spans="2:6" x14ac:dyDescent="0.25">
      <c r="B304" s="39"/>
      <c r="C304" s="39"/>
      <c r="D304" s="39"/>
      <c r="E304" s="40"/>
      <c r="F304" s="40"/>
    </row>
    <row r="305" spans="2:6" x14ac:dyDescent="0.25">
      <c r="B305" s="39"/>
      <c r="C305" s="39"/>
      <c r="D305" s="39"/>
      <c r="E305" s="40"/>
      <c r="F305" s="40"/>
    </row>
    <row r="306" spans="2:6" x14ac:dyDescent="0.25">
      <c r="B306" s="39"/>
      <c r="C306" s="39"/>
      <c r="D306" s="39"/>
      <c r="E306" s="40"/>
      <c r="F306" s="40"/>
    </row>
    <row r="307" spans="2:6" x14ac:dyDescent="0.25">
      <c r="B307" s="39"/>
      <c r="C307" s="39"/>
      <c r="D307" s="39"/>
      <c r="E307" s="40"/>
      <c r="F307" s="40"/>
    </row>
    <row r="308" spans="2:6" x14ac:dyDescent="0.25">
      <c r="B308" s="39"/>
      <c r="C308" s="39"/>
      <c r="D308" s="39"/>
      <c r="E308" s="40"/>
      <c r="F308" s="40"/>
    </row>
    <row r="309" spans="2:6" x14ac:dyDescent="0.25">
      <c r="B309" s="39"/>
      <c r="C309" s="39"/>
      <c r="D309" s="39"/>
      <c r="E309" s="40"/>
      <c r="F309" s="40"/>
    </row>
    <row r="310" spans="2:6" x14ac:dyDescent="0.25">
      <c r="B310" s="39"/>
      <c r="C310" s="39"/>
      <c r="D310" s="39"/>
      <c r="E310" s="40"/>
      <c r="F310" s="40"/>
    </row>
    <row r="311" spans="2:6" x14ac:dyDescent="0.25">
      <c r="B311" s="39"/>
      <c r="C311" s="39"/>
      <c r="D311" s="39"/>
      <c r="E311" s="40"/>
      <c r="F311" s="40"/>
    </row>
    <row r="312" spans="2:6" x14ac:dyDescent="0.25">
      <c r="B312" s="39"/>
      <c r="C312" s="39"/>
      <c r="D312" s="39"/>
      <c r="E312" s="40"/>
      <c r="F312" s="40"/>
    </row>
    <row r="313" spans="2:6" x14ac:dyDescent="0.25">
      <c r="B313" s="39"/>
      <c r="C313" s="39"/>
      <c r="D313" s="39"/>
      <c r="E313" s="40"/>
      <c r="F313" s="40"/>
    </row>
    <row r="314" spans="2:6" x14ac:dyDescent="0.25">
      <c r="B314" s="39"/>
      <c r="C314" s="39"/>
      <c r="D314" s="39"/>
      <c r="E314" s="40"/>
      <c r="F314" s="40"/>
    </row>
    <row r="315" spans="2:6" x14ac:dyDescent="0.25">
      <c r="B315" s="39"/>
      <c r="C315" s="39"/>
      <c r="D315" s="39"/>
      <c r="E315" s="40"/>
      <c r="F315" s="40"/>
    </row>
    <row r="316" spans="2:6" x14ac:dyDescent="0.25">
      <c r="B316" s="39"/>
      <c r="C316" s="39"/>
      <c r="D316" s="39"/>
      <c r="E316" s="40"/>
      <c r="F316" s="40"/>
    </row>
    <row r="317" spans="2:6" x14ac:dyDescent="0.25">
      <c r="B317" s="39"/>
      <c r="C317" s="39"/>
      <c r="D317" s="39"/>
      <c r="E317" s="40"/>
      <c r="F317" s="40"/>
    </row>
    <row r="318" spans="2:6" x14ac:dyDescent="0.25">
      <c r="B318" s="39"/>
      <c r="C318" s="39"/>
      <c r="D318" s="39"/>
      <c r="E318" s="40"/>
      <c r="F318" s="40"/>
    </row>
    <row r="319" spans="2:6" x14ac:dyDescent="0.25">
      <c r="B319" s="39"/>
      <c r="C319" s="39"/>
      <c r="D319" s="39"/>
      <c r="E319" s="40"/>
      <c r="F319" s="40"/>
    </row>
    <row r="320" spans="2:6" x14ac:dyDescent="0.25">
      <c r="B320" s="39"/>
      <c r="C320" s="39"/>
      <c r="D320" s="39"/>
      <c r="E320" s="40"/>
      <c r="F320" s="40"/>
    </row>
    <row r="321" spans="2:6" x14ac:dyDescent="0.25">
      <c r="B321" s="39"/>
      <c r="C321" s="39"/>
      <c r="D321" s="39"/>
      <c r="E321" s="40"/>
      <c r="F321" s="40"/>
    </row>
    <row r="322" spans="2:6" x14ac:dyDescent="0.25">
      <c r="B322" s="39"/>
      <c r="C322" s="39"/>
      <c r="D322" s="39"/>
      <c r="E322" s="40"/>
      <c r="F322" s="40"/>
    </row>
    <row r="323" spans="2:6" x14ac:dyDescent="0.25">
      <c r="B323" s="39"/>
      <c r="C323" s="39"/>
      <c r="D323" s="39"/>
      <c r="E323" s="40"/>
      <c r="F323" s="40"/>
    </row>
    <row r="324" spans="2:6" x14ac:dyDescent="0.25">
      <c r="B324" s="39"/>
      <c r="C324" s="39"/>
      <c r="D324" s="39"/>
      <c r="E324" s="40"/>
      <c r="F324" s="40"/>
    </row>
    <row r="325" spans="2:6" x14ac:dyDescent="0.25">
      <c r="B325" s="39"/>
      <c r="C325" s="39"/>
      <c r="D325" s="39"/>
      <c r="E325" s="40"/>
      <c r="F325" s="40"/>
    </row>
    <row r="326" spans="2:6" x14ac:dyDescent="0.25">
      <c r="B326" s="39"/>
      <c r="C326" s="39"/>
      <c r="D326" s="39"/>
      <c r="E326" s="40"/>
      <c r="F326" s="40"/>
    </row>
    <row r="327" spans="2:6" x14ac:dyDescent="0.25">
      <c r="B327" s="39"/>
      <c r="C327" s="39"/>
      <c r="D327" s="39"/>
      <c r="E327" s="40"/>
      <c r="F327" s="40"/>
    </row>
    <row r="328" spans="2:6" x14ac:dyDescent="0.25">
      <c r="B328" s="39"/>
      <c r="C328" s="39"/>
      <c r="D328" s="39"/>
      <c r="E328" s="40"/>
      <c r="F328" s="40"/>
    </row>
    <row r="329" spans="2:6" x14ac:dyDescent="0.25">
      <c r="B329" s="39"/>
      <c r="C329" s="39"/>
      <c r="D329" s="39"/>
      <c r="E329" s="40"/>
      <c r="F329" s="40"/>
    </row>
    <row r="330" spans="2:6" x14ac:dyDescent="0.25">
      <c r="B330" s="39"/>
      <c r="C330" s="39"/>
      <c r="D330" s="39"/>
      <c r="E330" s="40"/>
      <c r="F330" s="40"/>
    </row>
    <row r="331" spans="2:6" x14ac:dyDescent="0.25">
      <c r="B331" s="39"/>
      <c r="C331" s="39"/>
      <c r="D331" s="39"/>
      <c r="E331" s="40"/>
      <c r="F331" s="40"/>
    </row>
    <row r="332" spans="2:6" x14ac:dyDescent="0.25">
      <c r="B332" s="39"/>
      <c r="C332" s="39"/>
      <c r="D332" s="39"/>
      <c r="E332" s="40"/>
      <c r="F332" s="40"/>
    </row>
    <row r="333" spans="2:6" x14ac:dyDescent="0.25">
      <c r="B333" s="39"/>
      <c r="C333" s="39"/>
      <c r="D333" s="39"/>
      <c r="E333" s="40"/>
      <c r="F333" s="40"/>
    </row>
    <row r="334" spans="2:6" x14ac:dyDescent="0.25">
      <c r="B334" s="39"/>
      <c r="C334" s="39"/>
      <c r="D334" s="39"/>
      <c r="E334" s="40"/>
      <c r="F334" s="40"/>
    </row>
    <row r="335" spans="2:6" x14ac:dyDescent="0.25">
      <c r="B335" s="39"/>
      <c r="C335" s="39"/>
      <c r="D335" s="39"/>
      <c r="E335" s="40"/>
      <c r="F335" s="40"/>
    </row>
    <row r="336" spans="2:6" x14ac:dyDescent="0.25">
      <c r="B336" s="39"/>
      <c r="C336" s="39"/>
      <c r="D336" s="39"/>
      <c r="E336" s="40"/>
      <c r="F336" s="40"/>
    </row>
    <row r="337" spans="2:6" x14ac:dyDescent="0.25">
      <c r="B337" s="39"/>
      <c r="C337" s="39"/>
      <c r="D337" s="39"/>
      <c r="E337" s="40"/>
      <c r="F337" s="40"/>
    </row>
    <row r="338" spans="2:6" x14ac:dyDescent="0.25">
      <c r="B338" s="39"/>
      <c r="C338" s="39"/>
      <c r="D338" s="39"/>
      <c r="E338" s="40"/>
      <c r="F338" s="40"/>
    </row>
    <row r="339" spans="2:6" x14ac:dyDescent="0.25">
      <c r="B339" s="39"/>
      <c r="C339" s="39"/>
      <c r="D339" s="39"/>
      <c r="E339" s="40"/>
      <c r="F339" s="40"/>
    </row>
    <row r="340" spans="2:6" x14ac:dyDescent="0.25">
      <c r="B340" s="39"/>
      <c r="C340" s="39"/>
      <c r="D340" s="39"/>
      <c r="E340" s="40"/>
      <c r="F340" s="40"/>
    </row>
    <row r="341" spans="2:6" x14ac:dyDescent="0.25">
      <c r="B341" s="39"/>
      <c r="C341" s="39"/>
      <c r="D341" s="39"/>
      <c r="E341" s="40"/>
      <c r="F341" s="40"/>
    </row>
    <row r="342" spans="2:6" x14ac:dyDescent="0.25">
      <c r="B342" s="39"/>
      <c r="C342" s="39"/>
      <c r="D342" s="39"/>
      <c r="E342" s="40"/>
      <c r="F342" s="40"/>
    </row>
    <row r="343" spans="2:6" x14ac:dyDescent="0.25">
      <c r="B343" s="39"/>
      <c r="C343" s="39"/>
      <c r="D343" s="39"/>
      <c r="E343" s="40"/>
      <c r="F343" s="40"/>
    </row>
    <row r="344" spans="2:6" x14ac:dyDescent="0.25">
      <c r="B344" s="39"/>
      <c r="C344" s="39"/>
      <c r="D344" s="39"/>
      <c r="E344" s="40"/>
      <c r="F344" s="40"/>
    </row>
    <row r="345" spans="2:6" x14ac:dyDescent="0.25">
      <c r="B345" s="39"/>
      <c r="C345" s="39"/>
      <c r="D345" s="39"/>
      <c r="E345" s="40"/>
      <c r="F345" s="40"/>
    </row>
    <row r="346" spans="2:6" x14ac:dyDescent="0.25">
      <c r="B346" s="39"/>
      <c r="C346" s="39"/>
      <c r="D346" s="39"/>
      <c r="E346" s="40"/>
      <c r="F346" s="40"/>
    </row>
    <row r="347" spans="2:6" x14ac:dyDescent="0.25">
      <c r="B347" s="39"/>
      <c r="C347" s="39"/>
      <c r="D347" s="39"/>
      <c r="E347" s="40"/>
      <c r="F347" s="40"/>
    </row>
    <row r="348" spans="2:6" x14ac:dyDescent="0.25">
      <c r="B348" s="39"/>
      <c r="C348" s="39"/>
      <c r="D348" s="39"/>
      <c r="E348" s="40"/>
      <c r="F348" s="40"/>
    </row>
    <row r="349" spans="2:6" x14ac:dyDescent="0.25">
      <c r="B349" s="39"/>
      <c r="C349" s="39"/>
      <c r="D349" s="39"/>
      <c r="E349" s="40"/>
      <c r="F349" s="40"/>
    </row>
    <row r="350" spans="2:6" x14ac:dyDescent="0.25">
      <c r="B350" s="39"/>
      <c r="C350" s="39"/>
      <c r="D350" s="39"/>
      <c r="E350" s="40"/>
      <c r="F350" s="40"/>
    </row>
    <row r="351" spans="2:6" x14ac:dyDescent="0.25">
      <c r="B351" s="39"/>
      <c r="C351" s="39"/>
      <c r="D351" s="39"/>
      <c r="E351" s="40"/>
      <c r="F351" s="40"/>
    </row>
    <row r="352" spans="2:6" x14ac:dyDescent="0.25">
      <c r="B352" s="39"/>
      <c r="C352" s="39"/>
      <c r="D352" s="39"/>
      <c r="E352" s="40"/>
      <c r="F352" s="40"/>
    </row>
    <row r="353" spans="2:6" x14ac:dyDescent="0.25">
      <c r="B353" s="39"/>
      <c r="C353" s="39"/>
      <c r="D353" s="39"/>
      <c r="E353" s="40"/>
      <c r="F353" s="40"/>
    </row>
    <row r="354" spans="2:6" x14ac:dyDescent="0.25">
      <c r="B354" s="39"/>
      <c r="C354" s="39"/>
      <c r="D354" s="39"/>
      <c r="E354" s="40"/>
      <c r="F354" s="40"/>
    </row>
    <row r="355" spans="2:6" x14ac:dyDescent="0.25">
      <c r="B355" s="39"/>
      <c r="C355" s="39"/>
      <c r="D355" s="39"/>
      <c r="E355" s="40"/>
      <c r="F355" s="40"/>
    </row>
    <row r="356" spans="2:6" x14ac:dyDescent="0.25">
      <c r="B356" s="39"/>
      <c r="C356" s="39"/>
      <c r="D356" s="39"/>
      <c r="E356" s="40"/>
      <c r="F356" s="40"/>
    </row>
    <row r="357" spans="2:6" x14ac:dyDescent="0.25">
      <c r="B357" s="39"/>
      <c r="C357" s="39"/>
      <c r="D357" s="39"/>
      <c r="E357" s="40"/>
      <c r="F357" s="40"/>
    </row>
    <row r="358" spans="2:6" x14ac:dyDescent="0.25">
      <c r="B358" s="39"/>
      <c r="C358" s="39"/>
      <c r="D358" s="39"/>
      <c r="E358" s="40"/>
      <c r="F358" s="40"/>
    </row>
    <row r="359" spans="2:6" x14ac:dyDescent="0.25">
      <c r="B359" s="39"/>
      <c r="C359" s="39"/>
      <c r="D359" s="39"/>
      <c r="E359" s="40"/>
      <c r="F359" s="40"/>
    </row>
    <row r="360" spans="2:6" x14ac:dyDescent="0.25">
      <c r="B360" s="39"/>
      <c r="C360" s="39"/>
      <c r="D360" s="39"/>
      <c r="E360" s="40"/>
      <c r="F360" s="40"/>
    </row>
    <row r="361" spans="2:6" x14ac:dyDescent="0.25">
      <c r="B361" s="39"/>
      <c r="C361" s="39"/>
      <c r="D361" s="39"/>
      <c r="E361" s="40"/>
      <c r="F361" s="40"/>
    </row>
    <row r="362" spans="2:6" x14ac:dyDescent="0.25">
      <c r="B362" s="39"/>
      <c r="C362" s="39"/>
      <c r="D362" s="39"/>
      <c r="E362" s="40"/>
      <c r="F362" s="40"/>
    </row>
    <row r="363" spans="2:6" x14ac:dyDescent="0.25">
      <c r="B363" s="39"/>
      <c r="C363" s="39"/>
      <c r="D363" s="39"/>
      <c r="E363" s="40"/>
      <c r="F363" s="40"/>
    </row>
    <row r="364" spans="2:6" x14ac:dyDescent="0.25">
      <c r="B364" s="39"/>
      <c r="C364" s="39"/>
      <c r="D364" s="39"/>
      <c r="E364" s="40"/>
      <c r="F364" s="40"/>
    </row>
    <row r="365" spans="2:6" x14ac:dyDescent="0.25">
      <c r="B365" s="39"/>
      <c r="C365" s="39"/>
      <c r="D365" s="39"/>
      <c r="E365" s="40"/>
      <c r="F365" s="40"/>
    </row>
    <row r="366" spans="2:6" x14ac:dyDescent="0.25">
      <c r="B366" s="39"/>
      <c r="C366" s="39"/>
      <c r="D366" s="39"/>
      <c r="E366" s="40"/>
      <c r="F366" s="40"/>
    </row>
    <row r="367" spans="2:6" x14ac:dyDescent="0.25">
      <c r="B367" s="39"/>
      <c r="C367" s="39"/>
      <c r="D367" s="39"/>
      <c r="E367" s="40"/>
      <c r="F367" s="40"/>
    </row>
    <row r="368" spans="2:6" x14ac:dyDescent="0.25">
      <c r="B368" s="39"/>
      <c r="C368" s="39"/>
      <c r="D368" s="39"/>
      <c r="E368" s="40"/>
      <c r="F368" s="40"/>
    </row>
    <row r="369" spans="2:6" x14ac:dyDescent="0.25">
      <c r="B369" s="39"/>
      <c r="C369" s="39"/>
      <c r="D369" s="39"/>
      <c r="E369" s="40"/>
      <c r="F369" s="40"/>
    </row>
    <row r="370" spans="2:6" x14ac:dyDescent="0.25">
      <c r="B370" s="39"/>
      <c r="C370" s="39"/>
      <c r="D370" s="39"/>
      <c r="E370" s="40"/>
      <c r="F370" s="40"/>
    </row>
    <row r="371" spans="2:6" x14ac:dyDescent="0.25">
      <c r="B371" s="39"/>
      <c r="C371" s="39"/>
      <c r="D371" s="39"/>
      <c r="E371" s="40"/>
      <c r="F371" s="40"/>
    </row>
    <row r="372" spans="2:6" x14ac:dyDescent="0.25">
      <c r="B372" s="39"/>
      <c r="C372" s="39"/>
      <c r="D372" s="39"/>
      <c r="E372" s="40"/>
      <c r="F372" s="40"/>
    </row>
    <row r="373" spans="2:6" x14ac:dyDescent="0.25">
      <c r="B373" s="39"/>
      <c r="C373" s="39"/>
      <c r="D373" s="39"/>
      <c r="E373" s="40"/>
      <c r="F373" s="40"/>
    </row>
    <row r="374" spans="2:6" x14ac:dyDescent="0.25">
      <c r="B374" s="39"/>
      <c r="C374" s="39"/>
      <c r="D374" s="39"/>
      <c r="E374" s="40"/>
      <c r="F374" s="40"/>
    </row>
    <row r="375" spans="2:6" x14ac:dyDescent="0.25">
      <c r="B375" s="39"/>
      <c r="C375" s="39"/>
      <c r="D375" s="39"/>
      <c r="E375" s="40"/>
      <c r="F375" s="40"/>
    </row>
    <row r="376" spans="2:6" x14ac:dyDescent="0.25">
      <c r="B376" s="39"/>
      <c r="C376" s="39"/>
      <c r="D376" s="39"/>
      <c r="E376" s="40"/>
      <c r="F376" s="40"/>
    </row>
    <row r="377" spans="2:6" x14ac:dyDescent="0.25">
      <c r="B377" s="39"/>
      <c r="C377" s="39"/>
      <c r="D377" s="39"/>
      <c r="E377" s="40"/>
      <c r="F377" s="40"/>
    </row>
    <row r="378" spans="2:6" x14ac:dyDescent="0.25">
      <c r="B378" s="39"/>
      <c r="C378" s="39"/>
      <c r="D378" s="39"/>
      <c r="E378" s="40"/>
      <c r="F378" s="40"/>
    </row>
    <row r="379" spans="2:6" x14ac:dyDescent="0.25">
      <c r="B379" s="39"/>
      <c r="C379" s="39"/>
      <c r="D379" s="39"/>
      <c r="E379" s="40"/>
      <c r="F379" s="40"/>
    </row>
    <row r="380" spans="2:6" x14ac:dyDescent="0.25">
      <c r="B380" s="39"/>
      <c r="C380" s="39"/>
      <c r="D380" s="39"/>
      <c r="E380" s="40"/>
      <c r="F380" s="40"/>
    </row>
    <row r="381" spans="2:6" x14ac:dyDescent="0.25">
      <c r="B381" s="39"/>
      <c r="C381" s="39"/>
      <c r="D381" s="39"/>
      <c r="E381" s="40"/>
      <c r="F381" s="40"/>
    </row>
    <row r="382" spans="2:6" x14ac:dyDescent="0.25">
      <c r="B382" s="39"/>
      <c r="C382" s="39"/>
      <c r="D382" s="39"/>
      <c r="E382" s="40"/>
      <c r="F382" s="40"/>
    </row>
    <row r="383" spans="2:6" x14ac:dyDescent="0.25">
      <c r="B383" s="39"/>
      <c r="C383" s="39"/>
      <c r="D383" s="39"/>
      <c r="E383" s="40"/>
      <c r="F383" s="40"/>
    </row>
    <row r="384" spans="2:6" x14ac:dyDescent="0.25">
      <c r="B384" s="39"/>
      <c r="C384" s="39"/>
      <c r="D384" s="39"/>
      <c r="E384" s="40"/>
      <c r="F384" s="40"/>
    </row>
    <row r="385" spans="2:6" x14ac:dyDescent="0.25">
      <c r="B385" s="39"/>
      <c r="C385" s="39"/>
      <c r="D385" s="39"/>
      <c r="E385" s="40"/>
      <c r="F385" s="40"/>
    </row>
    <row r="386" spans="2:6" x14ac:dyDescent="0.25">
      <c r="B386" s="39"/>
      <c r="C386" s="39"/>
      <c r="D386" s="39"/>
      <c r="E386" s="40"/>
      <c r="F386" s="40"/>
    </row>
    <row r="387" spans="2:6" x14ac:dyDescent="0.25">
      <c r="B387" s="39"/>
      <c r="C387" s="39"/>
      <c r="D387" s="39"/>
      <c r="E387" s="40"/>
      <c r="F387" s="40"/>
    </row>
    <row r="388" spans="2:6" x14ac:dyDescent="0.25">
      <c r="B388" s="39"/>
      <c r="C388" s="39"/>
      <c r="D388" s="39"/>
      <c r="E388" s="40"/>
      <c r="F388" s="40"/>
    </row>
    <row r="389" spans="2:6" x14ac:dyDescent="0.25">
      <c r="B389" s="39"/>
      <c r="C389" s="39"/>
      <c r="D389" s="39"/>
      <c r="E389" s="40"/>
      <c r="F389" s="40"/>
    </row>
    <row r="390" spans="2:6" x14ac:dyDescent="0.25">
      <c r="B390" s="39"/>
      <c r="C390" s="39"/>
      <c r="D390" s="39"/>
      <c r="E390" s="40"/>
      <c r="F390" s="40"/>
    </row>
    <row r="391" spans="2:6" x14ac:dyDescent="0.25">
      <c r="B391" s="39"/>
      <c r="C391" s="39"/>
      <c r="D391" s="39"/>
      <c r="E391" s="40"/>
      <c r="F391" s="40"/>
    </row>
    <row r="392" spans="2:6" x14ac:dyDescent="0.25">
      <c r="B392" s="39"/>
      <c r="C392" s="39"/>
      <c r="D392" s="39"/>
      <c r="E392" s="40"/>
      <c r="F392" s="40"/>
    </row>
    <row r="393" spans="2:6" x14ac:dyDescent="0.25">
      <c r="B393" s="39"/>
      <c r="C393" s="39"/>
      <c r="D393" s="39"/>
      <c r="E393" s="40"/>
      <c r="F393" s="40"/>
    </row>
    <row r="394" spans="2:6" x14ac:dyDescent="0.25">
      <c r="B394" s="39"/>
      <c r="C394" s="39"/>
      <c r="D394" s="39"/>
      <c r="E394" s="40"/>
      <c r="F394" s="40"/>
    </row>
    <row r="395" spans="2:6" x14ac:dyDescent="0.25">
      <c r="B395" s="39"/>
      <c r="C395" s="39"/>
      <c r="D395" s="39"/>
      <c r="E395" s="40"/>
      <c r="F395" s="40"/>
    </row>
    <row r="396" spans="2:6" x14ac:dyDescent="0.25">
      <c r="B396" s="39"/>
      <c r="C396" s="39"/>
      <c r="D396" s="39"/>
      <c r="E396" s="40"/>
      <c r="F396" s="40"/>
    </row>
    <row r="397" spans="2:6" x14ac:dyDescent="0.25">
      <c r="B397" s="39"/>
      <c r="C397" s="39"/>
      <c r="D397" s="39"/>
      <c r="E397" s="40"/>
      <c r="F397" s="40"/>
    </row>
    <row r="398" spans="2:6" x14ac:dyDescent="0.25">
      <c r="B398" s="39"/>
      <c r="C398" s="39"/>
      <c r="D398" s="39"/>
      <c r="E398" s="40"/>
      <c r="F398" s="40"/>
    </row>
    <row r="399" spans="2:6" x14ac:dyDescent="0.25">
      <c r="B399" s="39"/>
      <c r="C399" s="39"/>
      <c r="D399" s="39"/>
      <c r="E399" s="40"/>
      <c r="F399" s="40"/>
    </row>
    <row r="400" spans="2:6" x14ac:dyDescent="0.25">
      <c r="B400" s="39"/>
      <c r="C400" s="39"/>
      <c r="D400" s="39"/>
      <c r="E400" s="40"/>
      <c r="F400" s="40"/>
    </row>
    <row r="401" spans="2:6" x14ac:dyDescent="0.25">
      <c r="B401" s="39"/>
      <c r="C401" s="39"/>
      <c r="D401" s="39"/>
      <c r="E401" s="40"/>
      <c r="F401" s="40"/>
    </row>
    <row r="402" spans="2:6" x14ac:dyDescent="0.25">
      <c r="B402" s="39"/>
      <c r="C402" s="39"/>
      <c r="D402" s="39"/>
      <c r="E402" s="40"/>
      <c r="F402" s="40"/>
    </row>
    <row r="403" spans="2:6" x14ac:dyDescent="0.25">
      <c r="B403" s="39"/>
      <c r="C403" s="39"/>
      <c r="D403" s="39"/>
      <c r="E403" s="40"/>
      <c r="F403" s="40"/>
    </row>
    <row r="404" spans="2:6" x14ac:dyDescent="0.25">
      <c r="B404" s="39"/>
      <c r="C404" s="39"/>
      <c r="D404" s="39"/>
      <c r="E404" s="40"/>
      <c r="F404" s="40"/>
    </row>
    <row r="405" spans="2:6" x14ac:dyDescent="0.25">
      <c r="B405" s="39"/>
      <c r="C405" s="39"/>
      <c r="D405" s="39"/>
      <c r="E405" s="40"/>
      <c r="F405" s="40"/>
    </row>
    <row r="406" spans="2:6" x14ac:dyDescent="0.25">
      <c r="B406" s="39"/>
      <c r="C406" s="39"/>
      <c r="D406" s="39"/>
      <c r="E406" s="40"/>
      <c r="F406" s="40"/>
    </row>
    <row r="407" spans="2:6" x14ac:dyDescent="0.25">
      <c r="B407" s="39"/>
      <c r="C407" s="39"/>
      <c r="D407" s="39"/>
      <c r="E407" s="40"/>
      <c r="F407" s="40"/>
    </row>
    <row r="408" spans="2:6" x14ac:dyDescent="0.25">
      <c r="B408" s="39"/>
      <c r="C408" s="39"/>
      <c r="D408" s="39"/>
      <c r="E408" s="40"/>
      <c r="F408" s="40"/>
    </row>
    <row r="409" spans="2:6" x14ac:dyDescent="0.25">
      <c r="B409" s="39"/>
      <c r="C409" s="39"/>
      <c r="D409" s="39"/>
      <c r="E409" s="40"/>
      <c r="F409" s="40"/>
    </row>
    <row r="410" spans="2:6" x14ac:dyDescent="0.25">
      <c r="B410" s="39"/>
      <c r="C410" s="39"/>
      <c r="D410" s="39"/>
      <c r="E410" s="40"/>
      <c r="F410" s="40"/>
    </row>
    <row r="411" spans="2:6" x14ac:dyDescent="0.25">
      <c r="B411" s="39"/>
      <c r="C411" s="39"/>
      <c r="D411" s="39"/>
      <c r="E411" s="40"/>
      <c r="F411" s="40"/>
    </row>
    <row r="412" spans="2:6" x14ac:dyDescent="0.25">
      <c r="B412" s="39"/>
      <c r="C412" s="39"/>
      <c r="D412" s="39"/>
      <c r="E412" s="40"/>
      <c r="F412" s="40"/>
    </row>
    <row r="413" spans="2:6" x14ac:dyDescent="0.25">
      <c r="B413" s="39"/>
      <c r="C413" s="39"/>
      <c r="D413" s="39"/>
      <c r="E413" s="40"/>
      <c r="F413" s="40"/>
    </row>
    <row r="414" spans="2:6" x14ac:dyDescent="0.25">
      <c r="B414" s="39"/>
      <c r="C414" s="39"/>
      <c r="D414" s="39"/>
      <c r="E414" s="40"/>
      <c r="F414" s="40"/>
    </row>
    <row r="415" spans="2:6" x14ac:dyDescent="0.25">
      <c r="B415" s="39"/>
      <c r="C415" s="39"/>
      <c r="D415" s="39"/>
      <c r="E415" s="40"/>
      <c r="F415" s="40"/>
    </row>
    <row r="416" spans="2:6" x14ac:dyDescent="0.25">
      <c r="B416" s="39"/>
      <c r="C416" s="39"/>
      <c r="D416" s="39"/>
      <c r="E416" s="40"/>
      <c r="F416" s="40"/>
    </row>
    <row r="417" spans="2:6" x14ac:dyDescent="0.25">
      <c r="B417" s="39"/>
      <c r="C417" s="39"/>
      <c r="D417" s="39"/>
      <c r="E417" s="40"/>
      <c r="F417" s="40"/>
    </row>
    <row r="418" spans="2:6" x14ac:dyDescent="0.25">
      <c r="B418" s="39"/>
      <c r="C418" s="39"/>
      <c r="D418" s="39"/>
      <c r="E418" s="40"/>
      <c r="F418" s="40"/>
    </row>
    <row r="419" spans="2:6" x14ac:dyDescent="0.25">
      <c r="B419" s="39"/>
      <c r="C419" s="39"/>
      <c r="D419" s="39"/>
      <c r="E419" s="40"/>
      <c r="F419" s="40"/>
    </row>
    <row r="420" spans="2:6" x14ac:dyDescent="0.25">
      <c r="B420" s="39"/>
      <c r="C420" s="39"/>
      <c r="D420" s="39"/>
      <c r="E420" s="40"/>
      <c r="F420" s="40"/>
    </row>
    <row r="421" spans="2:6" x14ac:dyDescent="0.25">
      <c r="B421" s="39"/>
      <c r="C421" s="39"/>
      <c r="D421" s="39"/>
      <c r="E421" s="40"/>
      <c r="F421" s="40"/>
    </row>
    <row r="422" spans="2:6" x14ac:dyDescent="0.25">
      <c r="B422" s="39"/>
      <c r="C422" s="39"/>
      <c r="D422" s="39"/>
      <c r="E422" s="40"/>
      <c r="F422" s="40"/>
    </row>
    <row r="423" spans="2:6" x14ac:dyDescent="0.25">
      <c r="B423" s="39"/>
      <c r="C423" s="39"/>
      <c r="D423" s="39"/>
      <c r="E423" s="40"/>
      <c r="F423" s="40"/>
    </row>
    <row r="424" spans="2:6" x14ac:dyDescent="0.25">
      <c r="B424" s="39"/>
      <c r="C424" s="39"/>
      <c r="D424" s="39"/>
      <c r="E424" s="40"/>
      <c r="F424" s="40"/>
    </row>
    <row r="425" spans="2:6" x14ac:dyDescent="0.25">
      <c r="B425" s="39"/>
      <c r="C425" s="39"/>
      <c r="D425" s="39"/>
      <c r="E425" s="40"/>
      <c r="F425" s="40"/>
    </row>
    <row r="426" spans="2:6" x14ac:dyDescent="0.25">
      <c r="B426" s="39"/>
      <c r="C426" s="39"/>
      <c r="D426" s="39"/>
      <c r="E426" s="40"/>
      <c r="F426" s="40"/>
    </row>
    <row r="427" spans="2:6" x14ac:dyDescent="0.25">
      <c r="B427" s="39"/>
      <c r="C427" s="39"/>
      <c r="D427" s="39"/>
      <c r="E427" s="40"/>
      <c r="F427" s="40"/>
    </row>
    <row r="428" spans="2:6" x14ac:dyDescent="0.25">
      <c r="B428" s="39"/>
      <c r="C428" s="39"/>
      <c r="D428" s="39"/>
      <c r="E428" s="40"/>
      <c r="F428" s="40"/>
    </row>
    <row r="429" spans="2:6" x14ac:dyDescent="0.25">
      <c r="B429" s="39"/>
      <c r="C429" s="39"/>
      <c r="D429" s="39"/>
      <c r="E429" s="40"/>
      <c r="F429" s="40"/>
    </row>
    <row r="430" spans="2:6" x14ac:dyDescent="0.25">
      <c r="B430" s="39"/>
      <c r="C430" s="39"/>
      <c r="D430" s="39"/>
      <c r="E430" s="40"/>
      <c r="F430" s="40"/>
    </row>
    <row r="431" spans="2:6" x14ac:dyDescent="0.25">
      <c r="B431" s="39"/>
      <c r="C431" s="39"/>
      <c r="D431" s="39"/>
      <c r="E431" s="40"/>
      <c r="F431" s="40"/>
    </row>
    <row r="432" spans="2:6" x14ac:dyDescent="0.25">
      <c r="B432" s="39"/>
      <c r="C432" s="39"/>
      <c r="D432" s="39"/>
      <c r="E432" s="40"/>
      <c r="F432" s="40"/>
    </row>
    <row r="433" spans="2:6" x14ac:dyDescent="0.25">
      <c r="B433" s="39"/>
      <c r="C433" s="39"/>
      <c r="D433" s="39"/>
      <c r="E433" s="40"/>
      <c r="F433" s="40"/>
    </row>
    <row r="434" spans="2:6" x14ac:dyDescent="0.25">
      <c r="B434" s="39"/>
      <c r="C434" s="39"/>
      <c r="D434" s="39"/>
      <c r="E434" s="40"/>
      <c r="F434" s="40"/>
    </row>
    <row r="435" spans="2:6" x14ac:dyDescent="0.25">
      <c r="B435" s="39"/>
      <c r="C435" s="39"/>
      <c r="D435" s="39"/>
      <c r="E435" s="40"/>
      <c r="F435" s="40"/>
    </row>
    <row r="436" spans="2:6" x14ac:dyDescent="0.25">
      <c r="B436" s="39"/>
      <c r="C436" s="39"/>
      <c r="D436" s="39"/>
      <c r="E436" s="40"/>
      <c r="F436" s="40"/>
    </row>
    <row r="437" spans="2:6" x14ac:dyDescent="0.25">
      <c r="B437" s="39"/>
      <c r="C437" s="39"/>
      <c r="D437" s="39"/>
      <c r="E437" s="40"/>
      <c r="F437" s="40"/>
    </row>
    <row r="438" spans="2:6" x14ac:dyDescent="0.25">
      <c r="B438" s="39"/>
      <c r="C438" s="39"/>
      <c r="D438" s="39"/>
      <c r="E438" s="40"/>
      <c r="F438" s="40"/>
    </row>
    <row r="439" spans="2:6" x14ac:dyDescent="0.25">
      <c r="B439" s="39"/>
      <c r="C439" s="39"/>
      <c r="D439" s="39"/>
      <c r="E439" s="40"/>
      <c r="F439" s="40"/>
    </row>
    <row r="440" spans="2:6" x14ac:dyDescent="0.25">
      <c r="B440" s="39"/>
      <c r="C440" s="39"/>
      <c r="D440" s="39"/>
      <c r="E440" s="40"/>
      <c r="F440" s="40"/>
    </row>
    <row r="441" spans="2:6" x14ac:dyDescent="0.25">
      <c r="B441" s="39"/>
      <c r="C441" s="39"/>
      <c r="D441" s="39"/>
      <c r="E441" s="40"/>
      <c r="F441" s="40"/>
    </row>
    <row r="442" spans="2:6" x14ac:dyDescent="0.25">
      <c r="B442" s="39"/>
      <c r="C442" s="39"/>
      <c r="D442" s="39"/>
      <c r="E442" s="40"/>
      <c r="F442" s="40"/>
    </row>
    <row r="443" spans="2:6" x14ac:dyDescent="0.25">
      <c r="B443" s="39"/>
      <c r="C443" s="39"/>
      <c r="D443" s="39"/>
      <c r="E443" s="40"/>
      <c r="F443" s="40"/>
    </row>
    <row r="444" spans="2:6" x14ac:dyDescent="0.25">
      <c r="B444" s="39"/>
      <c r="C444" s="39"/>
      <c r="D444" s="39"/>
      <c r="E444" s="40"/>
      <c r="F444" s="40"/>
    </row>
    <row r="445" spans="2:6" x14ac:dyDescent="0.25">
      <c r="B445" s="39"/>
      <c r="C445" s="39"/>
      <c r="D445" s="39"/>
      <c r="E445" s="40"/>
      <c r="F445" s="40"/>
    </row>
    <row r="446" spans="2:6" x14ac:dyDescent="0.25">
      <c r="B446" s="39"/>
      <c r="C446" s="39"/>
      <c r="D446" s="39"/>
      <c r="E446" s="40"/>
      <c r="F446" s="40"/>
    </row>
    <row r="447" spans="2:6" x14ac:dyDescent="0.25">
      <c r="B447" s="39"/>
      <c r="C447" s="39"/>
      <c r="D447" s="39"/>
      <c r="E447" s="40"/>
      <c r="F447" s="40"/>
    </row>
    <row r="448" spans="2:6" x14ac:dyDescent="0.25">
      <c r="B448" s="39"/>
      <c r="C448" s="39"/>
      <c r="D448" s="39"/>
      <c r="E448" s="40"/>
      <c r="F448" s="40"/>
    </row>
    <row r="449" spans="2:6" x14ac:dyDescent="0.25">
      <c r="B449" s="39"/>
      <c r="C449" s="39"/>
      <c r="D449" s="39"/>
      <c r="E449" s="40"/>
      <c r="F449" s="40"/>
    </row>
    <row r="450" spans="2:6" x14ac:dyDescent="0.25">
      <c r="B450" s="39"/>
      <c r="C450" s="39"/>
      <c r="D450" s="39"/>
      <c r="E450" s="40"/>
      <c r="F450" s="40"/>
    </row>
    <row r="451" spans="2:6" x14ac:dyDescent="0.25">
      <c r="B451" s="39"/>
      <c r="C451" s="39"/>
      <c r="D451" s="39"/>
      <c r="E451" s="40"/>
      <c r="F451" s="40"/>
    </row>
    <row r="452" spans="2:6" x14ac:dyDescent="0.25">
      <c r="B452" s="39"/>
      <c r="C452" s="39"/>
      <c r="D452" s="39"/>
      <c r="E452" s="40"/>
      <c r="F452" s="40"/>
    </row>
    <row r="453" spans="2:6" x14ac:dyDescent="0.25">
      <c r="B453" s="39"/>
      <c r="C453" s="39"/>
      <c r="D453" s="39"/>
      <c r="E453" s="40"/>
      <c r="F453" s="40"/>
    </row>
    <row r="454" spans="2:6" x14ac:dyDescent="0.25">
      <c r="B454" s="39"/>
      <c r="C454" s="39"/>
      <c r="D454" s="39"/>
      <c r="E454" s="40"/>
      <c r="F454" s="40"/>
    </row>
    <row r="455" spans="2:6" x14ac:dyDescent="0.25">
      <c r="B455" s="39"/>
      <c r="C455" s="39"/>
      <c r="D455" s="39"/>
      <c r="E455" s="40"/>
      <c r="F455" s="40"/>
    </row>
    <row r="456" spans="2:6" x14ac:dyDescent="0.25">
      <c r="B456" s="39"/>
      <c r="C456" s="39"/>
      <c r="D456" s="39"/>
      <c r="E456" s="40"/>
      <c r="F456" s="40"/>
    </row>
    <row r="457" spans="2:6" x14ac:dyDescent="0.25">
      <c r="B457" s="39"/>
      <c r="C457" s="39"/>
      <c r="D457" s="39"/>
      <c r="E457" s="40"/>
      <c r="F457" s="40"/>
    </row>
    <row r="458" spans="2:6" x14ac:dyDescent="0.25">
      <c r="B458" s="39"/>
      <c r="C458" s="39"/>
      <c r="D458" s="39"/>
      <c r="E458" s="40"/>
      <c r="F458" s="40"/>
    </row>
    <row r="459" spans="2:6" x14ac:dyDescent="0.25">
      <c r="B459" s="39"/>
      <c r="C459" s="39"/>
      <c r="D459" s="39"/>
      <c r="E459" s="40"/>
      <c r="F459" s="40"/>
    </row>
    <row r="460" spans="2:6" x14ac:dyDescent="0.25">
      <c r="B460" s="39"/>
      <c r="C460" s="39"/>
      <c r="D460" s="39"/>
      <c r="E460" s="40"/>
      <c r="F460" s="40"/>
    </row>
    <row r="461" spans="2:6" x14ac:dyDescent="0.25">
      <c r="B461" s="39"/>
      <c r="C461" s="39"/>
      <c r="D461" s="39"/>
      <c r="E461" s="40"/>
      <c r="F461" s="40"/>
    </row>
    <row r="462" spans="2:6" x14ac:dyDescent="0.25">
      <c r="B462" s="39"/>
      <c r="C462" s="39"/>
      <c r="D462" s="39"/>
      <c r="E462" s="40"/>
      <c r="F462" s="40"/>
    </row>
    <row r="463" spans="2:6" x14ac:dyDescent="0.25">
      <c r="B463" s="39"/>
      <c r="C463" s="39"/>
      <c r="D463" s="39"/>
      <c r="E463" s="40"/>
      <c r="F463" s="40"/>
    </row>
    <row r="464" spans="2:6" x14ac:dyDescent="0.25">
      <c r="B464" s="39"/>
      <c r="C464" s="39"/>
      <c r="D464" s="39"/>
      <c r="E464" s="40"/>
      <c r="F464" s="40"/>
    </row>
    <row r="465" spans="2:6" x14ac:dyDescent="0.25">
      <c r="B465" s="39"/>
      <c r="C465" s="39"/>
      <c r="D465" s="39"/>
      <c r="E465" s="40"/>
      <c r="F465" s="40"/>
    </row>
    <row r="466" spans="2:6" x14ac:dyDescent="0.25">
      <c r="B466" s="39"/>
      <c r="C466" s="39"/>
      <c r="D466" s="39"/>
      <c r="E466" s="40"/>
      <c r="F466" s="40"/>
    </row>
    <row r="467" spans="2:6" x14ac:dyDescent="0.25">
      <c r="B467" s="39"/>
      <c r="C467" s="39"/>
      <c r="D467" s="39"/>
      <c r="E467" s="40"/>
      <c r="F467" s="40"/>
    </row>
    <row r="468" spans="2:6" x14ac:dyDescent="0.25">
      <c r="B468" s="39"/>
      <c r="C468" s="39"/>
      <c r="D468" s="39"/>
      <c r="E468" s="40"/>
      <c r="F468" s="40"/>
    </row>
    <row r="469" spans="2:6" x14ac:dyDescent="0.25">
      <c r="B469" s="39"/>
      <c r="C469" s="39"/>
      <c r="D469" s="39"/>
      <c r="E469" s="40"/>
      <c r="F469" s="40"/>
    </row>
    <row r="470" spans="2:6" x14ac:dyDescent="0.25">
      <c r="B470" s="39"/>
      <c r="C470" s="39"/>
      <c r="D470" s="39"/>
      <c r="E470" s="40"/>
      <c r="F470" s="40"/>
    </row>
    <row r="471" spans="2:6" x14ac:dyDescent="0.25">
      <c r="B471" s="39"/>
      <c r="C471" s="39"/>
      <c r="D471" s="39"/>
      <c r="E471" s="40"/>
      <c r="F471" s="40"/>
    </row>
    <row r="472" spans="2:6" x14ac:dyDescent="0.25">
      <c r="B472" s="39"/>
      <c r="C472" s="39"/>
      <c r="D472" s="39"/>
      <c r="E472" s="40"/>
      <c r="F472" s="40"/>
    </row>
    <row r="473" spans="2:6" x14ac:dyDescent="0.25">
      <c r="B473" s="39"/>
      <c r="C473" s="39"/>
      <c r="D473" s="39"/>
      <c r="E473" s="40"/>
      <c r="F473" s="40"/>
    </row>
    <row r="474" spans="2:6" x14ac:dyDescent="0.25">
      <c r="B474" s="39"/>
      <c r="C474" s="39"/>
      <c r="D474" s="39"/>
      <c r="E474" s="40"/>
      <c r="F474" s="40"/>
    </row>
    <row r="475" spans="2:6" x14ac:dyDescent="0.25">
      <c r="B475" s="39"/>
      <c r="C475" s="39"/>
      <c r="D475" s="39"/>
      <c r="E475" s="40"/>
      <c r="F475" s="40"/>
    </row>
    <row r="476" spans="2:6" x14ac:dyDescent="0.25">
      <c r="B476" s="39"/>
      <c r="C476" s="39"/>
      <c r="D476" s="39"/>
      <c r="E476" s="40"/>
      <c r="F476" s="40"/>
    </row>
    <row r="477" spans="2:6" x14ac:dyDescent="0.25">
      <c r="B477" s="39"/>
      <c r="C477" s="39"/>
      <c r="D477" s="39"/>
      <c r="E477" s="40"/>
      <c r="F477" s="40"/>
    </row>
    <row r="478" spans="2:6" x14ac:dyDescent="0.25">
      <c r="B478" s="39"/>
      <c r="C478" s="39"/>
      <c r="D478" s="39"/>
      <c r="E478" s="40"/>
      <c r="F478" s="40"/>
    </row>
    <row r="479" spans="2:6" x14ac:dyDescent="0.25">
      <c r="B479" s="39"/>
      <c r="C479" s="39"/>
      <c r="D479" s="39"/>
      <c r="E479" s="40"/>
      <c r="F479" s="40"/>
    </row>
    <row r="480" spans="2:6" x14ac:dyDescent="0.25">
      <c r="B480" s="39"/>
      <c r="C480" s="39"/>
      <c r="D480" s="39"/>
      <c r="E480" s="40"/>
      <c r="F480" s="40"/>
    </row>
    <row r="481" spans="2:6" x14ac:dyDescent="0.25">
      <c r="B481" s="39"/>
      <c r="C481" s="39"/>
      <c r="D481" s="39"/>
      <c r="E481" s="40"/>
      <c r="F481" s="40"/>
    </row>
    <row r="482" spans="2:6" x14ac:dyDescent="0.25">
      <c r="B482" s="39"/>
      <c r="C482" s="39"/>
      <c r="D482" s="39"/>
      <c r="E482" s="40"/>
      <c r="F482" s="40"/>
    </row>
    <row r="483" spans="2:6" x14ac:dyDescent="0.25">
      <c r="B483" s="39"/>
      <c r="C483" s="39"/>
      <c r="D483" s="39"/>
      <c r="E483" s="40"/>
      <c r="F483" s="40"/>
    </row>
    <row r="484" spans="2:6" x14ac:dyDescent="0.25">
      <c r="B484" s="39"/>
      <c r="C484" s="39"/>
      <c r="D484" s="39"/>
      <c r="E484" s="40"/>
      <c r="F484" s="40"/>
    </row>
    <row r="485" spans="2:6" x14ac:dyDescent="0.25">
      <c r="B485" s="39"/>
      <c r="C485" s="39"/>
      <c r="D485" s="39"/>
      <c r="E485" s="40"/>
      <c r="F485" s="40"/>
    </row>
    <row r="486" spans="2:6" x14ac:dyDescent="0.25">
      <c r="B486" s="39"/>
      <c r="C486" s="39"/>
      <c r="D486" s="39"/>
      <c r="E486" s="40"/>
      <c r="F486" s="40"/>
    </row>
    <row r="487" spans="2:6" x14ac:dyDescent="0.25">
      <c r="B487" s="39"/>
      <c r="C487" s="39"/>
      <c r="D487" s="39"/>
      <c r="E487" s="40"/>
      <c r="F487" s="40"/>
    </row>
    <row r="488" spans="2:6" x14ac:dyDescent="0.25">
      <c r="B488" s="39"/>
      <c r="C488" s="39"/>
      <c r="D488" s="39"/>
      <c r="E488" s="40"/>
      <c r="F488" s="40"/>
    </row>
    <row r="489" spans="2:6" x14ac:dyDescent="0.25">
      <c r="B489" s="39"/>
      <c r="C489" s="39"/>
      <c r="D489" s="39"/>
      <c r="E489" s="40"/>
      <c r="F489" s="40"/>
    </row>
    <row r="490" spans="2:6" x14ac:dyDescent="0.25">
      <c r="B490" s="39"/>
      <c r="C490" s="39"/>
      <c r="D490" s="39"/>
      <c r="E490" s="40"/>
      <c r="F490" s="40"/>
    </row>
    <row r="491" spans="2:6" x14ac:dyDescent="0.25">
      <c r="B491" s="39"/>
      <c r="C491" s="39"/>
      <c r="D491" s="39"/>
      <c r="E491" s="40"/>
      <c r="F491" s="40"/>
    </row>
    <row r="492" spans="2:6" x14ac:dyDescent="0.25">
      <c r="B492" s="39"/>
      <c r="C492" s="39"/>
      <c r="D492" s="39"/>
      <c r="E492" s="40"/>
      <c r="F492" s="40"/>
    </row>
    <row r="493" spans="2:6" x14ac:dyDescent="0.25">
      <c r="B493" s="39"/>
      <c r="C493" s="39"/>
      <c r="D493" s="39"/>
      <c r="E493" s="40"/>
      <c r="F493" s="40"/>
    </row>
    <row r="494" spans="2:6" x14ac:dyDescent="0.25">
      <c r="B494" s="39"/>
      <c r="C494" s="39"/>
      <c r="D494" s="39"/>
      <c r="E494" s="40"/>
      <c r="F494" s="40"/>
    </row>
    <row r="495" spans="2:6" x14ac:dyDescent="0.25">
      <c r="B495" s="39"/>
      <c r="C495" s="39"/>
      <c r="D495" s="39"/>
      <c r="E495" s="40"/>
      <c r="F495" s="40"/>
    </row>
    <row r="496" spans="2:6" x14ac:dyDescent="0.25">
      <c r="B496" s="39"/>
      <c r="C496" s="39"/>
      <c r="D496" s="39"/>
      <c r="E496" s="40"/>
      <c r="F496" s="40"/>
    </row>
    <row r="497" spans="2:6" x14ac:dyDescent="0.25">
      <c r="B497" s="39"/>
      <c r="C497" s="39"/>
      <c r="D497" s="39"/>
      <c r="E497" s="40"/>
      <c r="F497" s="40"/>
    </row>
    <row r="498" spans="2:6" x14ac:dyDescent="0.25">
      <c r="B498" s="39"/>
      <c r="C498" s="39"/>
      <c r="D498" s="39"/>
      <c r="E498" s="40"/>
      <c r="F498" s="40"/>
    </row>
    <row r="499" spans="2:6" x14ac:dyDescent="0.25">
      <c r="B499" s="39"/>
      <c r="C499" s="39"/>
      <c r="D499" s="39"/>
      <c r="E499" s="40"/>
      <c r="F499" s="40"/>
    </row>
    <row r="500" spans="2:6" x14ac:dyDescent="0.25">
      <c r="B500" s="39"/>
      <c r="C500" s="39"/>
      <c r="D500" s="39"/>
      <c r="E500" s="40"/>
      <c r="F500" s="40"/>
    </row>
    <row r="501" spans="2:6" x14ac:dyDescent="0.25">
      <c r="B501" s="39"/>
      <c r="C501" s="39"/>
      <c r="D501" s="39"/>
      <c r="E501" s="40"/>
      <c r="F501" s="40"/>
    </row>
    <row r="502" spans="2:6" x14ac:dyDescent="0.25">
      <c r="B502" s="39"/>
      <c r="C502" s="39"/>
      <c r="D502" s="39"/>
      <c r="E502" s="40"/>
      <c r="F502" s="40"/>
    </row>
    <row r="503" spans="2:6" x14ac:dyDescent="0.25">
      <c r="B503" s="39"/>
      <c r="C503" s="39"/>
      <c r="D503" s="39"/>
      <c r="E503" s="40"/>
      <c r="F503" s="40"/>
    </row>
    <row r="504" spans="2:6" x14ac:dyDescent="0.25">
      <c r="B504" s="39"/>
      <c r="C504" s="39"/>
      <c r="D504" s="39"/>
      <c r="E504" s="40"/>
      <c r="F504" s="40"/>
    </row>
    <row r="505" spans="2:6" x14ac:dyDescent="0.25">
      <c r="B505" s="39"/>
      <c r="C505" s="39"/>
      <c r="D505" s="39"/>
      <c r="E505" s="40"/>
      <c r="F505" s="40"/>
    </row>
    <row r="506" spans="2:6" x14ac:dyDescent="0.25">
      <c r="B506" s="39"/>
      <c r="C506" s="39"/>
      <c r="D506" s="39"/>
      <c r="E506" s="40"/>
      <c r="F506" s="40"/>
    </row>
    <row r="507" spans="2:6" x14ac:dyDescent="0.25">
      <c r="B507" s="39"/>
      <c r="C507" s="39"/>
      <c r="D507" s="39"/>
      <c r="E507" s="40"/>
      <c r="F507" s="40"/>
    </row>
    <row r="508" spans="2:6" x14ac:dyDescent="0.25">
      <c r="B508" s="39"/>
      <c r="C508" s="39"/>
      <c r="D508" s="39"/>
      <c r="E508" s="40"/>
      <c r="F508" s="40"/>
    </row>
    <row r="509" spans="2:6" x14ac:dyDescent="0.25">
      <c r="B509" s="39"/>
      <c r="C509" s="39"/>
      <c r="D509" s="39"/>
      <c r="E509" s="40"/>
      <c r="F509" s="40"/>
    </row>
    <row r="510" spans="2:6" x14ac:dyDescent="0.25">
      <c r="B510" s="39"/>
      <c r="C510" s="39"/>
      <c r="D510" s="39"/>
      <c r="E510" s="40"/>
      <c r="F510" s="40"/>
    </row>
    <row r="511" spans="2:6" x14ac:dyDescent="0.25">
      <c r="B511" s="39"/>
      <c r="C511" s="39"/>
      <c r="D511" s="39"/>
      <c r="E511" s="40"/>
      <c r="F511" s="40"/>
    </row>
    <row r="512" spans="2:6" x14ac:dyDescent="0.25">
      <c r="B512" s="39"/>
      <c r="C512" s="39"/>
      <c r="D512" s="39"/>
      <c r="E512" s="40"/>
      <c r="F512" s="40"/>
    </row>
    <row r="513" spans="2:6" x14ac:dyDescent="0.25">
      <c r="B513" s="39"/>
      <c r="C513" s="39"/>
      <c r="D513" s="39"/>
      <c r="E513" s="40"/>
      <c r="F513" s="40"/>
    </row>
    <row r="514" spans="2:6" x14ac:dyDescent="0.25">
      <c r="B514" s="39"/>
      <c r="C514" s="39"/>
      <c r="D514" s="39"/>
      <c r="E514" s="40"/>
      <c r="F514" s="40"/>
    </row>
    <row r="515" spans="2:6" x14ac:dyDescent="0.25">
      <c r="B515" s="39"/>
      <c r="C515" s="39"/>
      <c r="D515" s="39"/>
      <c r="E515" s="40"/>
      <c r="F515" s="40"/>
    </row>
    <row r="516" spans="2:6" x14ac:dyDescent="0.25">
      <c r="B516" s="39"/>
      <c r="C516" s="39"/>
      <c r="D516" s="39"/>
      <c r="E516" s="40"/>
      <c r="F516" s="40"/>
    </row>
    <row r="517" spans="2:6" x14ac:dyDescent="0.25">
      <c r="B517" s="39"/>
      <c r="C517" s="39"/>
      <c r="D517" s="39"/>
      <c r="E517" s="40"/>
      <c r="F517" s="40"/>
    </row>
    <row r="518" spans="2:6" x14ac:dyDescent="0.25">
      <c r="B518" s="39"/>
      <c r="C518" s="39"/>
      <c r="D518" s="39"/>
      <c r="E518" s="40"/>
      <c r="F518" s="40"/>
    </row>
    <row r="519" spans="2:6" x14ac:dyDescent="0.25">
      <c r="B519" s="39"/>
      <c r="C519" s="39"/>
      <c r="D519" s="39"/>
      <c r="E519" s="40"/>
      <c r="F519" s="40"/>
    </row>
    <row r="520" spans="2:6" x14ac:dyDescent="0.25">
      <c r="B520" s="39"/>
      <c r="C520" s="39"/>
      <c r="D520" s="39"/>
      <c r="E520" s="40"/>
      <c r="F520" s="40"/>
    </row>
    <row r="521" spans="2:6" x14ac:dyDescent="0.25">
      <c r="B521" s="39"/>
      <c r="C521" s="39"/>
      <c r="D521" s="39"/>
      <c r="E521" s="40"/>
      <c r="F521" s="40"/>
    </row>
    <row r="522" spans="2:6" x14ac:dyDescent="0.25">
      <c r="B522" s="39"/>
      <c r="C522" s="39"/>
      <c r="D522" s="39"/>
      <c r="E522" s="40"/>
      <c r="F522" s="40"/>
    </row>
    <row r="523" spans="2:6" x14ac:dyDescent="0.25">
      <c r="B523" s="39"/>
      <c r="C523" s="39"/>
      <c r="D523" s="39"/>
      <c r="E523" s="40"/>
      <c r="F523" s="40"/>
    </row>
    <row r="524" spans="2:6" x14ac:dyDescent="0.25">
      <c r="B524" s="39"/>
      <c r="C524" s="39"/>
      <c r="D524" s="39"/>
      <c r="E524" s="40"/>
      <c r="F524" s="40"/>
    </row>
    <row r="525" spans="2:6" x14ac:dyDescent="0.25">
      <c r="B525" s="39"/>
      <c r="C525" s="39"/>
      <c r="D525" s="39"/>
      <c r="E525" s="40"/>
      <c r="F525" s="40"/>
    </row>
    <row r="526" spans="2:6" x14ac:dyDescent="0.25">
      <c r="B526" s="39"/>
      <c r="C526" s="39"/>
      <c r="D526" s="39"/>
      <c r="E526" s="40"/>
      <c r="F526" s="40"/>
    </row>
    <row r="527" spans="2:6" x14ac:dyDescent="0.25">
      <c r="B527" s="39"/>
      <c r="C527" s="39"/>
      <c r="D527" s="39"/>
      <c r="E527" s="40"/>
      <c r="F527" s="40"/>
    </row>
    <row r="528" spans="2:6" x14ac:dyDescent="0.25">
      <c r="B528" s="39"/>
      <c r="C528" s="39"/>
      <c r="D528" s="39"/>
      <c r="E528" s="40"/>
      <c r="F528" s="40"/>
    </row>
    <row r="529" spans="2:6" x14ac:dyDescent="0.25">
      <c r="B529" s="39"/>
      <c r="C529" s="39"/>
      <c r="D529" s="39"/>
      <c r="E529" s="40"/>
      <c r="F529" s="40"/>
    </row>
    <row r="530" spans="2:6" x14ac:dyDescent="0.25">
      <c r="B530" s="39"/>
      <c r="C530" s="39"/>
      <c r="D530" s="39"/>
      <c r="E530" s="40"/>
      <c r="F530" s="40"/>
    </row>
    <row r="531" spans="2:6" x14ac:dyDescent="0.25">
      <c r="B531" s="39"/>
      <c r="C531" s="39"/>
      <c r="D531" s="39"/>
      <c r="E531" s="40"/>
      <c r="F531" s="40"/>
    </row>
    <row r="532" spans="2:6" x14ac:dyDescent="0.25">
      <c r="B532" s="39"/>
      <c r="C532" s="39"/>
      <c r="D532" s="39"/>
      <c r="E532" s="40"/>
      <c r="F532" s="40"/>
    </row>
    <row r="533" spans="2:6" x14ac:dyDescent="0.25">
      <c r="B533" s="39"/>
      <c r="C533" s="39"/>
      <c r="D533" s="39"/>
      <c r="E533" s="40"/>
      <c r="F533" s="40"/>
    </row>
    <row r="534" spans="2:6" x14ac:dyDescent="0.25">
      <c r="B534" s="39"/>
      <c r="C534" s="39"/>
      <c r="D534" s="39"/>
      <c r="E534" s="40"/>
      <c r="F534" s="40"/>
    </row>
    <row r="535" spans="2:6" x14ac:dyDescent="0.25">
      <c r="B535" s="39"/>
      <c r="C535" s="39"/>
      <c r="D535" s="39"/>
      <c r="E535" s="40"/>
      <c r="F535" s="40"/>
    </row>
    <row r="536" spans="2:6" x14ac:dyDescent="0.25">
      <c r="B536" s="39"/>
      <c r="C536" s="39"/>
      <c r="D536" s="39"/>
      <c r="E536" s="40"/>
      <c r="F536" s="40"/>
    </row>
    <row r="537" spans="2:6" x14ac:dyDescent="0.25">
      <c r="B537" s="39"/>
      <c r="C537" s="39"/>
      <c r="D537" s="39"/>
      <c r="E537" s="40"/>
      <c r="F537" s="40"/>
    </row>
    <row r="538" spans="2:6" x14ac:dyDescent="0.25">
      <c r="B538" s="39"/>
      <c r="C538" s="39"/>
      <c r="D538" s="39"/>
      <c r="E538" s="40"/>
      <c r="F538" s="40"/>
    </row>
    <row r="539" spans="2:6" x14ac:dyDescent="0.25">
      <c r="B539" s="39"/>
      <c r="C539" s="39"/>
      <c r="D539" s="39"/>
      <c r="E539" s="40"/>
      <c r="F539" s="40"/>
    </row>
    <row r="540" spans="2:6" x14ac:dyDescent="0.25">
      <c r="B540" s="39"/>
      <c r="C540" s="39"/>
      <c r="D540" s="39"/>
      <c r="E540" s="40"/>
      <c r="F540" s="40"/>
    </row>
    <row r="541" spans="2:6" x14ac:dyDescent="0.25">
      <c r="B541" s="39"/>
      <c r="C541" s="39"/>
      <c r="D541" s="39"/>
      <c r="E541" s="40"/>
      <c r="F541" s="40"/>
    </row>
    <row r="542" spans="2:6" x14ac:dyDescent="0.25">
      <c r="B542" s="39"/>
      <c r="C542" s="39"/>
      <c r="D542" s="39"/>
      <c r="E542" s="40"/>
      <c r="F542" s="40"/>
    </row>
    <row r="543" spans="2:6" x14ac:dyDescent="0.25">
      <c r="B543" s="39"/>
      <c r="C543" s="39"/>
      <c r="D543" s="39"/>
      <c r="E543" s="40"/>
      <c r="F543" s="40"/>
    </row>
    <row r="544" spans="2:6" x14ac:dyDescent="0.25">
      <c r="B544" s="39"/>
      <c r="C544" s="39"/>
      <c r="D544" s="39"/>
      <c r="E544" s="40"/>
      <c r="F544" s="40"/>
    </row>
    <row r="545" spans="2:6" x14ac:dyDescent="0.25">
      <c r="B545" s="39"/>
      <c r="C545" s="39"/>
      <c r="D545" s="39"/>
      <c r="E545" s="40"/>
      <c r="F545" s="40"/>
    </row>
    <row r="546" spans="2:6" x14ac:dyDescent="0.25">
      <c r="B546" s="39"/>
      <c r="C546" s="39"/>
      <c r="D546" s="39"/>
      <c r="E546" s="40"/>
      <c r="F546" s="40"/>
    </row>
    <row r="547" spans="2:6" x14ac:dyDescent="0.25">
      <c r="B547" s="39"/>
      <c r="C547" s="39"/>
      <c r="D547" s="39"/>
      <c r="E547" s="40"/>
      <c r="F547" s="40"/>
    </row>
    <row r="548" spans="2:6" x14ac:dyDescent="0.25">
      <c r="B548" s="39"/>
      <c r="C548" s="39"/>
      <c r="D548" s="39"/>
      <c r="E548" s="40"/>
      <c r="F548" s="40"/>
    </row>
    <row r="549" spans="2:6" x14ac:dyDescent="0.25">
      <c r="B549" s="39"/>
      <c r="C549" s="39"/>
      <c r="D549" s="39"/>
      <c r="E549" s="40"/>
      <c r="F549" s="40"/>
    </row>
    <row r="550" spans="2:6" x14ac:dyDescent="0.25">
      <c r="B550" s="39"/>
      <c r="C550" s="39"/>
      <c r="D550" s="39"/>
      <c r="E550" s="40"/>
      <c r="F550" s="40"/>
    </row>
    <row r="551" spans="2:6" x14ac:dyDescent="0.25">
      <c r="B551" s="39"/>
      <c r="C551" s="39"/>
      <c r="D551" s="39"/>
      <c r="E551" s="40"/>
      <c r="F551" s="40"/>
    </row>
    <row r="552" spans="2:6" x14ac:dyDescent="0.25">
      <c r="B552" s="39"/>
      <c r="C552" s="39"/>
      <c r="D552" s="39"/>
      <c r="E552" s="40"/>
      <c r="F552" s="40"/>
    </row>
    <row r="553" spans="2:6" x14ac:dyDescent="0.25">
      <c r="B553" s="39"/>
      <c r="C553" s="39"/>
      <c r="D553" s="39"/>
      <c r="E553" s="40"/>
      <c r="F553" s="40"/>
    </row>
    <row r="554" spans="2:6" x14ac:dyDescent="0.25">
      <c r="B554" s="39"/>
      <c r="C554" s="39"/>
      <c r="D554" s="39"/>
      <c r="E554" s="40"/>
      <c r="F554" s="40"/>
    </row>
    <row r="555" spans="2:6" x14ac:dyDescent="0.25">
      <c r="B555" s="39"/>
      <c r="C555" s="39"/>
      <c r="D555" s="39"/>
      <c r="E555" s="40"/>
      <c r="F555" s="40"/>
    </row>
    <row r="556" spans="2:6" x14ac:dyDescent="0.25">
      <c r="B556" s="39"/>
      <c r="C556" s="39"/>
      <c r="D556" s="39"/>
      <c r="E556" s="40"/>
      <c r="F556" s="40"/>
    </row>
    <row r="557" spans="2:6" x14ac:dyDescent="0.25">
      <c r="B557" s="39"/>
      <c r="C557" s="39"/>
      <c r="D557" s="39"/>
      <c r="E557" s="40"/>
      <c r="F557" s="40"/>
    </row>
    <row r="558" spans="2:6" x14ac:dyDescent="0.25">
      <c r="B558" s="39"/>
      <c r="C558" s="39"/>
      <c r="D558" s="39"/>
      <c r="E558" s="40"/>
      <c r="F558" s="40"/>
    </row>
    <row r="559" spans="2:6" x14ac:dyDescent="0.25">
      <c r="B559" s="39"/>
      <c r="C559" s="39"/>
      <c r="D559" s="39"/>
      <c r="E559" s="40"/>
      <c r="F559" s="40"/>
    </row>
    <row r="560" spans="2:6" x14ac:dyDescent="0.25">
      <c r="B560" s="39"/>
      <c r="C560" s="39"/>
      <c r="D560" s="39"/>
      <c r="E560" s="40"/>
      <c r="F560" s="40"/>
    </row>
    <row r="561" spans="2:6" x14ac:dyDescent="0.25">
      <c r="B561" s="39"/>
      <c r="C561" s="39"/>
      <c r="D561" s="39"/>
      <c r="E561" s="40"/>
      <c r="F561" s="40"/>
    </row>
    <row r="562" spans="2:6" x14ac:dyDescent="0.25">
      <c r="B562" s="39"/>
      <c r="C562" s="39"/>
      <c r="D562" s="39"/>
      <c r="E562" s="40"/>
      <c r="F562" s="40"/>
    </row>
    <row r="563" spans="2:6" x14ac:dyDescent="0.25">
      <c r="B563" s="39"/>
      <c r="C563" s="39"/>
      <c r="D563" s="39"/>
      <c r="E563" s="40"/>
      <c r="F563" s="40"/>
    </row>
    <row r="564" spans="2:6" x14ac:dyDescent="0.25">
      <c r="B564" s="39"/>
      <c r="C564" s="39"/>
      <c r="D564" s="39"/>
      <c r="E564" s="40"/>
      <c r="F564" s="40"/>
    </row>
    <row r="565" spans="2:6" x14ac:dyDescent="0.25">
      <c r="B565" s="39"/>
      <c r="C565" s="39"/>
      <c r="D565" s="39"/>
      <c r="E565" s="40"/>
      <c r="F565" s="40"/>
    </row>
    <row r="566" spans="2:6" x14ac:dyDescent="0.25">
      <c r="B566" s="39"/>
      <c r="C566" s="39"/>
      <c r="D566" s="39"/>
      <c r="E566" s="40"/>
      <c r="F566" s="40"/>
    </row>
    <row r="567" spans="2:6" x14ac:dyDescent="0.25">
      <c r="B567" s="39"/>
      <c r="C567" s="39"/>
      <c r="D567" s="39"/>
      <c r="E567" s="40"/>
      <c r="F567" s="40"/>
    </row>
    <row r="568" spans="2:6" x14ac:dyDescent="0.25">
      <c r="B568" s="39"/>
      <c r="C568" s="39"/>
      <c r="D568" s="39"/>
      <c r="E568" s="40"/>
      <c r="F568" s="40"/>
    </row>
    <row r="569" spans="2:6" x14ac:dyDescent="0.25">
      <c r="B569" s="39"/>
      <c r="C569" s="39"/>
      <c r="D569" s="39"/>
      <c r="E569" s="40"/>
      <c r="F569" s="40"/>
    </row>
    <row r="570" spans="2:6" x14ac:dyDescent="0.25">
      <c r="B570" s="39"/>
      <c r="C570" s="39"/>
      <c r="D570" s="39"/>
      <c r="E570" s="40"/>
      <c r="F570" s="40"/>
    </row>
    <row r="571" spans="2:6" x14ac:dyDescent="0.25">
      <c r="B571" s="39"/>
      <c r="C571" s="39"/>
      <c r="D571" s="39"/>
      <c r="E571" s="40"/>
      <c r="F571" s="40"/>
    </row>
    <row r="572" spans="2:6" x14ac:dyDescent="0.25">
      <c r="B572" s="39"/>
      <c r="C572" s="39"/>
      <c r="D572" s="39"/>
      <c r="E572" s="40"/>
      <c r="F572" s="40"/>
    </row>
    <row r="573" spans="2:6" x14ac:dyDescent="0.25">
      <c r="B573" s="39"/>
      <c r="C573" s="39"/>
      <c r="D573" s="39"/>
      <c r="E573" s="40"/>
      <c r="F573" s="40"/>
    </row>
    <row r="574" spans="2:6" x14ac:dyDescent="0.25">
      <c r="B574" s="39"/>
      <c r="C574" s="39"/>
      <c r="D574" s="39"/>
      <c r="E574" s="40"/>
      <c r="F574" s="40"/>
    </row>
    <row r="575" spans="2:6" x14ac:dyDescent="0.25">
      <c r="B575" s="39"/>
      <c r="C575" s="39"/>
      <c r="D575" s="39"/>
      <c r="E575" s="40"/>
      <c r="F575" s="40"/>
    </row>
    <row r="576" spans="2:6" x14ac:dyDescent="0.25">
      <c r="B576" s="39"/>
      <c r="C576" s="39"/>
      <c r="D576" s="39"/>
      <c r="E576" s="40"/>
      <c r="F576" s="40"/>
    </row>
    <row r="577" spans="2:6" x14ac:dyDescent="0.25">
      <c r="B577" s="39"/>
      <c r="C577" s="39"/>
      <c r="D577" s="39"/>
      <c r="E577" s="40"/>
      <c r="F577" s="40"/>
    </row>
    <row r="578" spans="2:6" x14ac:dyDescent="0.25">
      <c r="B578" s="39"/>
      <c r="C578" s="39"/>
      <c r="D578" s="39"/>
      <c r="E578" s="40"/>
      <c r="F578" s="40"/>
    </row>
    <row r="579" spans="2:6" x14ac:dyDescent="0.25">
      <c r="B579" s="39"/>
      <c r="C579" s="39"/>
      <c r="D579" s="39"/>
      <c r="E579" s="40"/>
      <c r="F579" s="40"/>
    </row>
    <row r="580" spans="2:6" x14ac:dyDescent="0.25">
      <c r="B580" s="39"/>
      <c r="C580" s="39"/>
      <c r="D580" s="39"/>
      <c r="E580" s="40"/>
      <c r="F580" s="40"/>
    </row>
    <row r="581" spans="2:6" x14ac:dyDescent="0.25">
      <c r="B581" s="39"/>
      <c r="C581" s="39"/>
      <c r="D581" s="39"/>
      <c r="E581" s="40"/>
      <c r="F581" s="40"/>
    </row>
    <row r="582" spans="2:6" x14ac:dyDescent="0.25">
      <c r="B582" s="39"/>
      <c r="C582" s="39"/>
      <c r="D582" s="39"/>
      <c r="E582" s="40"/>
      <c r="F582" s="40"/>
    </row>
    <row r="583" spans="2:6" x14ac:dyDescent="0.25">
      <c r="B583" s="39"/>
      <c r="C583" s="39"/>
      <c r="D583" s="39"/>
      <c r="E583" s="40"/>
      <c r="F583" s="40"/>
    </row>
    <row r="584" spans="2:6" x14ac:dyDescent="0.25">
      <c r="B584" s="39"/>
      <c r="C584" s="39"/>
      <c r="D584" s="39"/>
      <c r="E584" s="40"/>
      <c r="F584" s="40"/>
    </row>
    <row r="585" spans="2:6" x14ac:dyDescent="0.25">
      <c r="B585" s="39"/>
      <c r="C585" s="39"/>
      <c r="D585" s="39"/>
      <c r="E585" s="40"/>
      <c r="F585" s="40"/>
    </row>
    <row r="586" spans="2:6" x14ac:dyDescent="0.25">
      <c r="B586" s="39"/>
      <c r="C586" s="39"/>
      <c r="D586" s="39"/>
      <c r="E586" s="40"/>
      <c r="F586" s="40"/>
    </row>
    <row r="587" spans="2:6" x14ac:dyDescent="0.25">
      <c r="B587" s="39"/>
      <c r="C587" s="39"/>
      <c r="D587" s="39"/>
      <c r="E587" s="40"/>
      <c r="F587" s="40"/>
    </row>
    <row r="588" spans="2:6" x14ac:dyDescent="0.25">
      <c r="B588" s="39"/>
      <c r="C588" s="39"/>
      <c r="D588" s="39"/>
      <c r="E588" s="40"/>
      <c r="F588" s="40"/>
    </row>
    <row r="589" spans="2:6" x14ac:dyDescent="0.25">
      <c r="B589" s="39"/>
      <c r="C589" s="39"/>
      <c r="D589" s="39"/>
      <c r="E589" s="40"/>
      <c r="F589" s="40"/>
    </row>
    <row r="590" spans="2:6" x14ac:dyDescent="0.25">
      <c r="B590" s="39"/>
      <c r="C590" s="39"/>
      <c r="D590" s="39"/>
      <c r="E590" s="40"/>
      <c r="F590" s="40"/>
    </row>
    <row r="591" spans="2:6" x14ac:dyDescent="0.25">
      <c r="B591" s="39"/>
      <c r="C591" s="39"/>
      <c r="D591" s="39"/>
      <c r="E591" s="40"/>
      <c r="F591" s="40"/>
    </row>
    <row r="592" spans="2:6" x14ac:dyDescent="0.25">
      <c r="B592" s="39"/>
      <c r="C592" s="39"/>
      <c r="D592" s="39"/>
      <c r="E592" s="40"/>
      <c r="F592" s="40"/>
    </row>
    <row r="593" spans="2:6" x14ac:dyDescent="0.25">
      <c r="B593" s="39"/>
      <c r="C593" s="39"/>
      <c r="D593" s="39"/>
      <c r="E593" s="40"/>
      <c r="F593" s="40"/>
    </row>
    <row r="594" spans="2:6" x14ac:dyDescent="0.25">
      <c r="B594" s="39"/>
      <c r="C594" s="39"/>
      <c r="D594" s="39"/>
      <c r="E594" s="40"/>
      <c r="F594" s="40"/>
    </row>
    <row r="595" spans="2:6" x14ac:dyDescent="0.25">
      <c r="B595" s="39"/>
      <c r="C595" s="39"/>
      <c r="D595" s="39"/>
      <c r="E595" s="40"/>
      <c r="F595" s="40"/>
    </row>
    <row r="596" spans="2:6" x14ac:dyDescent="0.25">
      <c r="B596" s="39"/>
      <c r="C596" s="39"/>
      <c r="D596" s="39"/>
      <c r="E596" s="40"/>
      <c r="F596" s="40"/>
    </row>
    <row r="597" spans="2:6" x14ac:dyDescent="0.25">
      <c r="B597" s="39"/>
      <c r="C597" s="39"/>
      <c r="D597" s="39"/>
      <c r="E597" s="40"/>
      <c r="F597" s="40"/>
    </row>
    <row r="598" spans="2:6" x14ac:dyDescent="0.25">
      <c r="B598" s="39"/>
      <c r="C598" s="39"/>
      <c r="D598" s="39"/>
      <c r="E598" s="40"/>
      <c r="F598" s="40"/>
    </row>
    <row r="599" spans="2:6" x14ac:dyDescent="0.25">
      <c r="B599" s="39"/>
      <c r="C599" s="39"/>
      <c r="D599" s="39"/>
      <c r="E599" s="40"/>
      <c r="F599" s="40"/>
    </row>
    <row r="600" spans="2:6" x14ac:dyDescent="0.25">
      <c r="B600" s="39"/>
      <c r="C600" s="39"/>
      <c r="D600" s="39"/>
      <c r="E600" s="40"/>
      <c r="F600" s="40"/>
    </row>
    <row r="601" spans="2:6" x14ac:dyDescent="0.25">
      <c r="B601" s="39"/>
      <c r="C601" s="39"/>
      <c r="D601" s="39"/>
      <c r="E601" s="40"/>
      <c r="F601" s="40"/>
    </row>
    <row r="602" spans="2:6" x14ac:dyDescent="0.25">
      <c r="B602" s="39"/>
      <c r="C602" s="39"/>
      <c r="D602" s="39"/>
      <c r="E602" s="40"/>
      <c r="F602" s="40"/>
    </row>
    <row r="603" spans="2:6" x14ac:dyDescent="0.25">
      <c r="B603" s="39"/>
      <c r="C603" s="39"/>
      <c r="D603" s="39"/>
      <c r="E603" s="40"/>
      <c r="F603" s="40"/>
    </row>
    <row r="604" spans="2:6" x14ac:dyDescent="0.25">
      <c r="B604" s="39"/>
      <c r="C604" s="39"/>
      <c r="D604" s="39"/>
      <c r="E604" s="40"/>
      <c r="F604" s="40"/>
    </row>
    <row r="605" spans="2:6" x14ac:dyDescent="0.25">
      <c r="B605" s="39"/>
      <c r="C605" s="39"/>
      <c r="D605" s="39"/>
      <c r="E605" s="40"/>
      <c r="F605" s="40"/>
    </row>
    <row r="606" spans="2:6" x14ac:dyDescent="0.25">
      <c r="B606" s="39"/>
      <c r="C606" s="39"/>
      <c r="D606" s="39"/>
      <c r="E606" s="40"/>
      <c r="F606" s="40"/>
    </row>
    <row r="607" spans="2:6" x14ac:dyDescent="0.25">
      <c r="B607" s="39"/>
      <c r="C607" s="39"/>
      <c r="D607" s="39"/>
      <c r="E607" s="40"/>
      <c r="F607" s="40"/>
    </row>
    <row r="608" spans="2:6" x14ac:dyDescent="0.25">
      <c r="B608" s="39"/>
      <c r="C608" s="39"/>
      <c r="D608" s="39"/>
      <c r="E608" s="40"/>
      <c r="F608" s="40"/>
    </row>
    <row r="609" spans="2:6" x14ac:dyDescent="0.25">
      <c r="B609" s="39"/>
      <c r="C609" s="39"/>
      <c r="D609" s="39"/>
      <c r="E609" s="40"/>
      <c r="F609" s="40"/>
    </row>
    <row r="610" spans="2:6" x14ac:dyDescent="0.25">
      <c r="B610" s="39"/>
      <c r="C610" s="39"/>
      <c r="D610" s="39"/>
      <c r="E610" s="40"/>
      <c r="F610" s="40"/>
    </row>
    <row r="611" spans="2:6" x14ac:dyDescent="0.25">
      <c r="B611" s="39"/>
      <c r="C611" s="39"/>
      <c r="D611" s="39"/>
      <c r="E611" s="40"/>
      <c r="F611" s="40"/>
    </row>
    <row r="612" spans="2:6" x14ac:dyDescent="0.25">
      <c r="B612" s="39"/>
      <c r="C612" s="39"/>
      <c r="D612" s="39"/>
      <c r="E612" s="40"/>
      <c r="F612" s="40"/>
    </row>
    <row r="613" spans="2:6" x14ac:dyDescent="0.25">
      <c r="B613" s="39"/>
      <c r="C613" s="39"/>
      <c r="D613" s="39"/>
      <c r="E613" s="40"/>
      <c r="F613" s="40"/>
    </row>
    <row r="614" spans="2:6" x14ac:dyDescent="0.25">
      <c r="B614" s="39"/>
      <c r="C614" s="39"/>
      <c r="D614" s="39"/>
      <c r="E614" s="40"/>
      <c r="F614" s="40"/>
    </row>
    <row r="615" spans="2:6" x14ac:dyDescent="0.25">
      <c r="B615" s="39"/>
      <c r="C615" s="39"/>
      <c r="D615" s="39"/>
      <c r="E615" s="40"/>
      <c r="F615" s="40"/>
    </row>
    <row r="616" spans="2:6" x14ac:dyDescent="0.25">
      <c r="B616" s="39"/>
      <c r="C616" s="39"/>
      <c r="D616" s="39"/>
      <c r="E616" s="40"/>
      <c r="F616" s="40"/>
    </row>
    <row r="617" spans="2:6" x14ac:dyDescent="0.25">
      <c r="B617" s="39"/>
      <c r="C617" s="39"/>
      <c r="D617" s="39"/>
      <c r="E617" s="40"/>
      <c r="F617" s="40"/>
    </row>
    <row r="618" spans="2:6" x14ac:dyDescent="0.25">
      <c r="B618" s="39"/>
      <c r="C618" s="39"/>
      <c r="D618" s="39"/>
      <c r="E618" s="40"/>
      <c r="F618" s="40"/>
    </row>
    <row r="619" spans="2:6" x14ac:dyDescent="0.25">
      <c r="B619" s="39"/>
      <c r="C619" s="39"/>
      <c r="D619" s="39"/>
      <c r="E619" s="40"/>
      <c r="F619" s="40"/>
    </row>
    <row r="620" spans="2:6" x14ac:dyDescent="0.25">
      <c r="B620" s="39"/>
      <c r="C620" s="39"/>
      <c r="D620" s="39"/>
      <c r="E620" s="40"/>
      <c r="F620" s="40"/>
    </row>
    <row r="621" spans="2:6" x14ac:dyDescent="0.25">
      <c r="B621" s="39"/>
      <c r="C621" s="39"/>
      <c r="D621" s="39"/>
      <c r="E621" s="40"/>
      <c r="F621" s="40"/>
    </row>
    <row r="622" spans="2:6" x14ac:dyDescent="0.25">
      <c r="B622" s="39"/>
      <c r="C622" s="39"/>
      <c r="D622" s="39"/>
      <c r="E622" s="40"/>
      <c r="F622" s="40"/>
    </row>
    <row r="623" spans="2:6" x14ac:dyDescent="0.25">
      <c r="B623" s="39"/>
      <c r="C623" s="39"/>
      <c r="D623" s="39"/>
      <c r="E623" s="40"/>
      <c r="F623" s="40"/>
    </row>
    <row r="624" spans="2:6" x14ac:dyDescent="0.25">
      <c r="B624" s="39"/>
      <c r="C624" s="39"/>
      <c r="D624" s="39"/>
      <c r="E624" s="40"/>
      <c r="F624" s="40"/>
    </row>
    <row r="625" spans="2:6" x14ac:dyDescent="0.25">
      <c r="B625" s="39"/>
      <c r="C625" s="39"/>
      <c r="D625" s="39"/>
      <c r="E625" s="40"/>
      <c r="F625" s="40"/>
    </row>
    <row r="626" spans="2:6" x14ac:dyDescent="0.25">
      <c r="B626" s="39"/>
      <c r="C626" s="39"/>
      <c r="D626" s="39"/>
      <c r="E626" s="40"/>
      <c r="F626" s="40"/>
    </row>
    <row r="627" spans="2:6" x14ac:dyDescent="0.25">
      <c r="B627" s="39"/>
      <c r="C627" s="39"/>
      <c r="D627" s="39"/>
      <c r="E627" s="40"/>
      <c r="F627" s="40"/>
    </row>
    <row r="628" spans="2:6" x14ac:dyDescent="0.25">
      <c r="B628" s="39"/>
      <c r="C628" s="39"/>
      <c r="D628" s="39"/>
      <c r="E628" s="40"/>
      <c r="F628" s="40"/>
    </row>
    <row r="629" spans="2:6" x14ac:dyDescent="0.25">
      <c r="B629" s="39"/>
      <c r="C629" s="39"/>
      <c r="D629" s="39"/>
      <c r="E629" s="40"/>
      <c r="F629" s="40"/>
    </row>
    <row r="630" spans="2:6" x14ac:dyDescent="0.25">
      <c r="B630" s="39"/>
      <c r="C630" s="39"/>
      <c r="D630" s="39"/>
      <c r="E630" s="40"/>
      <c r="F630" s="40"/>
    </row>
    <row r="631" spans="2:6" x14ac:dyDescent="0.25">
      <c r="B631" s="39"/>
      <c r="C631" s="39"/>
      <c r="D631" s="39"/>
      <c r="E631" s="40"/>
      <c r="F631" s="40"/>
    </row>
    <row r="632" spans="2:6" x14ac:dyDescent="0.25">
      <c r="B632" s="39"/>
      <c r="C632" s="39"/>
      <c r="D632" s="39"/>
      <c r="E632" s="40"/>
      <c r="F632" s="40"/>
    </row>
    <row r="633" spans="2:6" x14ac:dyDescent="0.25">
      <c r="B633" s="39"/>
      <c r="C633" s="39"/>
      <c r="D633" s="39"/>
      <c r="E633" s="40"/>
      <c r="F633" s="40"/>
    </row>
    <row r="634" spans="2:6" x14ac:dyDescent="0.25">
      <c r="B634" s="39"/>
      <c r="C634" s="39"/>
      <c r="D634" s="39"/>
      <c r="E634" s="40"/>
      <c r="F634" s="40"/>
    </row>
    <row r="635" spans="2:6" x14ac:dyDescent="0.25">
      <c r="B635" s="39"/>
      <c r="C635" s="39"/>
      <c r="D635" s="39"/>
      <c r="E635" s="40"/>
      <c r="F635" s="40"/>
    </row>
    <row r="636" spans="2:6" x14ac:dyDescent="0.25">
      <c r="B636" s="39"/>
      <c r="C636" s="39"/>
      <c r="D636" s="39"/>
      <c r="E636" s="40"/>
      <c r="F636" s="40"/>
    </row>
    <row r="637" spans="2:6" x14ac:dyDescent="0.25">
      <c r="B637" s="39"/>
      <c r="C637" s="39"/>
      <c r="D637" s="39"/>
      <c r="E637" s="40"/>
      <c r="F637" s="40"/>
    </row>
    <row r="638" spans="2:6" x14ac:dyDescent="0.25">
      <c r="B638" s="39"/>
      <c r="C638" s="39"/>
      <c r="D638" s="39"/>
      <c r="E638" s="40"/>
      <c r="F638" s="40"/>
    </row>
    <row r="639" spans="2:6" x14ac:dyDescent="0.25">
      <c r="B639" s="39"/>
      <c r="C639" s="39"/>
      <c r="D639" s="39"/>
      <c r="E639" s="40"/>
      <c r="F639" s="40"/>
    </row>
    <row r="640" spans="2:6" x14ac:dyDescent="0.25">
      <c r="B640" s="39"/>
      <c r="C640" s="39"/>
      <c r="D640" s="39"/>
      <c r="E640" s="40"/>
      <c r="F640" s="40"/>
    </row>
    <row r="641" spans="2:6" x14ac:dyDescent="0.25">
      <c r="B641" s="39"/>
      <c r="C641" s="39"/>
      <c r="D641" s="39"/>
      <c r="E641" s="40"/>
      <c r="F641" s="40"/>
    </row>
    <row r="642" spans="2:6" x14ac:dyDescent="0.25">
      <c r="B642" s="39"/>
      <c r="C642" s="39"/>
      <c r="D642" s="39"/>
      <c r="E642" s="40"/>
      <c r="F642" s="40"/>
    </row>
    <row r="643" spans="2:6" x14ac:dyDescent="0.25">
      <c r="B643" s="39"/>
      <c r="C643" s="39"/>
      <c r="D643" s="39"/>
      <c r="E643" s="40"/>
      <c r="F643" s="40"/>
    </row>
    <row r="644" spans="2:6" x14ac:dyDescent="0.25">
      <c r="B644" s="39"/>
      <c r="C644" s="39"/>
      <c r="D644" s="39"/>
      <c r="E644" s="40"/>
      <c r="F644" s="40"/>
    </row>
    <row r="645" spans="2:6" x14ac:dyDescent="0.25">
      <c r="B645" s="39"/>
      <c r="C645" s="39"/>
      <c r="D645" s="39"/>
      <c r="E645" s="40"/>
      <c r="F645" s="40"/>
    </row>
    <row r="646" spans="2:6" x14ac:dyDescent="0.25">
      <c r="B646" s="39"/>
      <c r="C646" s="39"/>
      <c r="D646" s="39"/>
      <c r="E646" s="40"/>
      <c r="F646" s="40"/>
    </row>
    <row r="647" spans="2:6" x14ac:dyDescent="0.25">
      <c r="B647" s="39"/>
      <c r="C647" s="39"/>
      <c r="D647" s="39"/>
      <c r="E647" s="40"/>
      <c r="F647" s="40"/>
    </row>
    <row r="648" spans="2:6" x14ac:dyDescent="0.25">
      <c r="B648" s="39"/>
      <c r="C648" s="39"/>
      <c r="D648" s="39"/>
      <c r="E648" s="40"/>
      <c r="F648" s="40"/>
    </row>
    <row r="649" spans="2:6" x14ac:dyDescent="0.25">
      <c r="B649" s="39"/>
      <c r="C649" s="39"/>
      <c r="D649" s="39"/>
      <c r="E649" s="40"/>
      <c r="F649" s="40"/>
    </row>
    <row r="650" spans="2:6" x14ac:dyDescent="0.25">
      <c r="B650" s="39"/>
      <c r="C650" s="39"/>
      <c r="D650" s="39"/>
      <c r="E650" s="40"/>
      <c r="F650" s="40"/>
    </row>
    <row r="651" spans="2:6" x14ac:dyDescent="0.25">
      <c r="B651" s="39"/>
      <c r="C651" s="39"/>
      <c r="D651" s="39"/>
      <c r="E651" s="40"/>
      <c r="F651" s="40"/>
    </row>
    <row r="652" spans="2:6" x14ac:dyDescent="0.25">
      <c r="B652" s="39"/>
      <c r="C652" s="39"/>
      <c r="D652" s="39"/>
      <c r="E652" s="40"/>
      <c r="F652" s="40"/>
    </row>
    <row r="653" spans="2:6" x14ac:dyDescent="0.25">
      <c r="B653" s="39"/>
      <c r="C653" s="39"/>
      <c r="D653" s="39"/>
      <c r="E653" s="40"/>
      <c r="F653" s="40"/>
    </row>
    <row r="654" spans="2:6" x14ac:dyDescent="0.25">
      <c r="B654" s="39"/>
      <c r="C654" s="39"/>
      <c r="D654" s="39"/>
      <c r="E654" s="40"/>
      <c r="F654" s="40"/>
    </row>
    <row r="655" spans="2:6" x14ac:dyDescent="0.25">
      <c r="B655" s="39"/>
      <c r="C655" s="39"/>
      <c r="D655" s="39"/>
      <c r="E655" s="40"/>
      <c r="F655" s="40"/>
    </row>
    <row r="656" spans="2:6" x14ac:dyDescent="0.25">
      <c r="B656" s="39"/>
      <c r="C656" s="39"/>
      <c r="D656" s="39"/>
      <c r="E656" s="40"/>
      <c r="F656" s="40"/>
    </row>
    <row r="657" spans="2:6" x14ac:dyDescent="0.25">
      <c r="B657" s="39"/>
      <c r="C657" s="39"/>
      <c r="D657" s="39"/>
      <c r="E657" s="40"/>
      <c r="F657" s="40"/>
    </row>
    <row r="658" spans="2:6" x14ac:dyDescent="0.25">
      <c r="B658" s="39"/>
      <c r="C658" s="39"/>
      <c r="D658" s="39"/>
      <c r="E658" s="40"/>
      <c r="F658" s="40"/>
    </row>
    <row r="659" spans="2:6" x14ac:dyDescent="0.25">
      <c r="B659" s="39"/>
      <c r="C659" s="39"/>
      <c r="D659" s="39"/>
      <c r="E659" s="40"/>
      <c r="F659" s="40"/>
    </row>
    <row r="660" spans="2:6" x14ac:dyDescent="0.25">
      <c r="B660" s="39"/>
    </row>
    <row r="661" spans="2:6" x14ac:dyDescent="0.25">
      <c r="B661" s="39"/>
    </row>
    <row r="662" spans="2:6" x14ac:dyDescent="0.25">
      <c r="B662" s="39"/>
    </row>
    <row r="663" spans="2:6" x14ac:dyDescent="0.25">
      <c r="B663" s="39"/>
    </row>
    <row r="664" spans="2:6" x14ac:dyDescent="0.25">
      <c r="B664" s="39"/>
    </row>
    <row r="665" spans="2:6" x14ac:dyDescent="0.25">
      <c r="B665" s="39"/>
      <c r="E665"/>
      <c r="F665"/>
    </row>
    <row r="666" spans="2:6" x14ac:dyDescent="0.25">
      <c r="B666" s="39"/>
      <c r="E666"/>
      <c r="F666"/>
    </row>
    <row r="667" spans="2:6" x14ac:dyDescent="0.25">
      <c r="B667" s="39"/>
      <c r="E667"/>
      <c r="F667"/>
    </row>
    <row r="668" spans="2:6" x14ac:dyDescent="0.25">
      <c r="B668" s="39"/>
      <c r="E668"/>
      <c r="F668"/>
    </row>
    <row r="669" spans="2:6" x14ac:dyDescent="0.25">
      <c r="B669" s="39"/>
      <c r="E669"/>
      <c r="F669"/>
    </row>
    <row r="670" spans="2:6" x14ac:dyDescent="0.25">
      <c r="B670" s="39"/>
      <c r="E670"/>
      <c r="F670"/>
    </row>
    <row r="671" spans="2:6" x14ac:dyDescent="0.25">
      <c r="B671" s="39"/>
      <c r="E671"/>
      <c r="F671"/>
    </row>
    <row r="672" spans="2:6" x14ac:dyDescent="0.25">
      <c r="B672" s="39"/>
      <c r="E672"/>
      <c r="F672"/>
    </row>
    <row r="673" spans="2:6" x14ac:dyDescent="0.25">
      <c r="B673" s="39"/>
      <c r="E673"/>
      <c r="F673"/>
    </row>
    <row r="674" spans="2:6" x14ac:dyDescent="0.25">
      <c r="B674" s="39"/>
      <c r="E674"/>
      <c r="F674"/>
    </row>
    <row r="675" spans="2:6" x14ac:dyDescent="0.25">
      <c r="B675" s="39"/>
      <c r="E675"/>
      <c r="F675"/>
    </row>
    <row r="676" spans="2:6" x14ac:dyDescent="0.25">
      <c r="B676" s="39"/>
      <c r="E676"/>
      <c r="F676"/>
    </row>
    <row r="677" spans="2:6" x14ac:dyDescent="0.25">
      <c r="B677" s="39"/>
      <c r="E677"/>
      <c r="F677"/>
    </row>
    <row r="678" spans="2:6" x14ac:dyDescent="0.25">
      <c r="B678" s="39"/>
      <c r="E678"/>
      <c r="F678"/>
    </row>
    <row r="679" spans="2:6" x14ac:dyDescent="0.25">
      <c r="B679" s="39"/>
      <c r="E679"/>
      <c r="F679"/>
    </row>
    <row r="680" spans="2:6" x14ac:dyDescent="0.25">
      <c r="B680" s="39"/>
      <c r="E680"/>
      <c r="F680"/>
    </row>
    <row r="681" spans="2:6" x14ac:dyDescent="0.25">
      <c r="B681" s="39"/>
      <c r="E681"/>
      <c r="F681"/>
    </row>
    <row r="682" spans="2:6" x14ac:dyDescent="0.25">
      <c r="B682" s="39"/>
      <c r="E682"/>
      <c r="F682"/>
    </row>
    <row r="683" spans="2:6" x14ac:dyDescent="0.25">
      <c r="B683" s="39"/>
      <c r="E683"/>
      <c r="F683"/>
    </row>
    <row r="684" spans="2:6" x14ac:dyDescent="0.25">
      <c r="B684" s="39"/>
      <c r="E684"/>
      <c r="F684"/>
    </row>
    <row r="685" spans="2:6" x14ac:dyDescent="0.25">
      <c r="B685" s="39"/>
      <c r="E685"/>
      <c r="F685"/>
    </row>
    <row r="686" spans="2:6" x14ac:dyDescent="0.25">
      <c r="B686" s="39"/>
      <c r="E686"/>
      <c r="F686"/>
    </row>
    <row r="687" spans="2:6" x14ac:dyDescent="0.25">
      <c r="B687" s="39"/>
      <c r="E687"/>
      <c r="F687"/>
    </row>
    <row r="688" spans="2:6" x14ac:dyDescent="0.25">
      <c r="B688" s="39"/>
      <c r="E688"/>
      <c r="F688"/>
    </row>
    <row r="689" spans="2:6" x14ac:dyDescent="0.25">
      <c r="B689" s="39"/>
      <c r="E689"/>
      <c r="F689"/>
    </row>
    <row r="690" spans="2:6" x14ac:dyDescent="0.25">
      <c r="B690" s="39"/>
      <c r="E690"/>
      <c r="F690"/>
    </row>
    <row r="691" spans="2:6" x14ac:dyDescent="0.25">
      <c r="B691" s="39"/>
      <c r="E691"/>
      <c r="F691"/>
    </row>
    <row r="692" spans="2:6" x14ac:dyDescent="0.25">
      <c r="B692" s="39"/>
      <c r="E692"/>
      <c r="F692"/>
    </row>
    <row r="693" spans="2:6" x14ac:dyDescent="0.25">
      <c r="B693" s="39"/>
      <c r="E693"/>
      <c r="F693"/>
    </row>
    <row r="694" spans="2:6" x14ac:dyDescent="0.25">
      <c r="B694" s="39"/>
      <c r="E694"/>
      <c r="F694"/>
    </row>
    <row r="695" spans="2:6" x14ac:dyDescent="0.25">
      <c r="B695" s="39"/>
      <c r="E695"/>
      <c r="F695"/>
    </row>
    <row r="696" spans="2:6" x14ac:dyDescent="0.25">
      <c r="B696" s="39"/>
      <c r="E696"/>
      <c r="F696"/>
    </row>
    <row r="697" spans="2:6" x14ac:dyDescent="0.25">
      <c r="B697" s="39"/>
      <c r="E697"/>
      <c r="F697"/>
    </row>
    <row r="698" spans="2:6" x14ac:dyDescent="0.25">
      <c r="B698" s="39"/>
      <c r="E698"/>
      <c r="F698"/>
    </row>
    <row r="699" spans="2:6" x14ac:dyDescent="0.25">
      <c r="B699" s="39"/>
      <c r="E699"/>
      <c r="F699"/>
    </row>
    <row r="700" spans="2:6" x14ac:dyDescent="0.25">
      <c r="B700" s="39"/>
      <c r="E700"/>
      <c r="F700"/>
    </row>
    <row r="701" spans="2:6" x14ac:dyDescent="0.25">
      <c r="B701" s="39"/>
      <c r="E701"/>
      <c r="F701"/>
    </row>
    <row r="702" spans="2:6" x14ac:dyDescent="0.25">
      <c r="B702" s="39"/>
      <c r="E702"/>
      <c r="F702"/>
    </row>
    <row r="703" spans="2:6" x14ac:dyDescent="0.25">
      <c r="B703" s="39"/>
      <c r="E703"/>
      <c r="F703"/>
    </row>
    <row r="704" spans="2:6" x14ac:dyDescent="0.25">
      <c r="B704" s="39"/>
      <c r="E704"/>
      <c r="F704"/>
    </row>
    <row r="705" spans="2:6" x14ac:dyDescent="0.25">
      <c r="B705" s="39"/>
      <c r="E705"/>
      <c r="F705"/>
    </row>
    <row r="706" spans="2:6" x14ac:dyDescent="0.25">
      <c r="B706" s="39"/>
      <c r="E706"/>
      <c r="F706"/>
    </row>
    <row r="707" spans="2:6" x14ac:dyDescent="0.25">
      <c r="B707" s="39"/>
      <c r="E707"/>
      <c r="F707"/>
    </row>
    <row r="708" spans="2:6" x14ac:dyDescent="0.25">
      <c r="B708" s="39"/>
      <c r="E708"/>
      <c r="F708"/>
    </row>
    <row r="709" spans="2:6" x14ac:dyDescent="0.25">
      <c r="B709" s="39"/>
      <c r="E709"/>
      <c r="F709"/>
    </row>
    <row r="710" spans="2:6" x14ac:dyDescent="0.25">
      <c r="B710" s="39"/>
      <c r="E710"/>
      <c r="F710"/>
    </row>
    <row r="711" spans="2:6" x14ac:dyDescent="0.25">
      <c r="B711" s="39"/>
      <c r="E711"/>
      <c r="F711"/>
    </row>
    <row r="712" spans="2:6" x14ac:dyDescent="0.25">
      <c r="B712" s="39"/>
      <c r="E712"/>
      <c r="F712"/>
    </row>
    <row r="713" spans="2:6" x14ac:dyDescent="0.25">
      <c r="B713" s="39"/>
      <c r="E713"/>
      <c r="F713"/>
    </row>
    <row r="714" spans="2:6" x14ac:dyDescent="0.25">
      <c r="B714" s="39"/>
      <c r="E714"/>
      <c r="F714"/>
    </row>
    <row r="715" spans="2:6" x14ac:dyDescent="0.25">
      <c r="B715" s="39"/>
      <c r="E715"/>
      <c r="F715"/>
    </row>
    <row r="716" spans="2:6" x14ac:dyDescent="0.25">
      <c r="B716" s="39"/>
      <c r="E716"/>
      <c r="F716"/>
    </row>
    <row r="717" spans="2:6" x14ac:dyDescent="0.25">
      <c r="B717" s="39"/>
      <c r="E717"/>
      <c r="F717"/>
    </row>
    <row r="718" spans="2:6" x14ac:dyDescent="0.25">
      <c r="B718" s="39"/>
      <c r="E718"/>
      <c r="F718"/>
    </row>
    <row r="719" spans="2:6" x14ac:dyDescent="0.25">
      <c r="B719" s="39"/>
      <c r="E719"/>
      <c r="F719"/>
    </row>
    <row r="720" spans="2:6" x14ac:dyDescent="0.25">
      <c r="B720" s="39"/>
      <c r="E720"/>
      <c r="F720"/>
    </row>
    <row r="721" spans="2:6" x14ac:dyDescent="0.25">
      <c r="B721" s="39"/>
      <c r="E721"/>
      <c r="F721"/>
    </row>
    <row r="722" spans="2:6" x14ac:dyDescent="0.25">
      <c r="B722" s="39"/>
      <c r="E722"/>
      <c r="F722"/>
    </row>
    <row r="723" spans="2:6" x14ac:dyDescent="0.25">
      <c r="B723" s="39"/>
      <c r="E723"/>
      <c r="F723"/>
    </row>
    <row r="724" spans="2:6" x14ac:dyDescent="0.25">
      <c r="B724" s="39"/>
      <c r="E724"/>
      <c r="F724"/>
    </row>
    <row r="725" spans="2:6" x14ac:dyDescent="0.25">
      <c r="B725" s="39"/>
      <c r="E725"/>
      <c r="F725"/>
    </row>
    <row r="726" spans="2:6" x14ac:dyDescent="0.25">
      <c r="B726" s="39"/>
      <c r="E726"/>
      <c r="F726"/>
    </row>
    <row r="727" spans="2:6" x14ac:dyDescent="0.25">
      <c r="B727" s="39"/>
      <c r="E727"/>
      <c r="F727"/>
    </row>
    <row r="728" spans="2:6" x14ac:dyDescent="0.25">
      <c r="B728" s="39"/>
      <c r="E728"/>
      <c r="F728"/>
    </row>
    <row r="729" spans="2:6" x14ac:dyDescent="0.25">
      <c r="B729" s="39"/>
      <c r="E729"/>
      <c r="F729"/>
    </row>
    <row r="730" spans="2:6" x14ac:dyDescent="0.25">
      <c r="B730" s="39"/>
      <c r="E730"/>
      <c r="F730"/>
    </row>
    <row r="731" spans="2:6" x14ac:dyDescent="0.25">
      <c r="B731" s="39"/>
      <c r="E731"/>
      <c r="F731"/>
    </row>
    <row r="732" spans="2:6" x14ac:dyDescent="0.25">
      <c r="B732" s="39"/>
      <c r="E732"/>
      <c r="F732"/>
    </row>
    <row r="733" spans="2:6" x14ac:dyDescent="0.25">
      <c r="B733" s="39"/>
      <c r="E733"/>
      <c r="F733"/>
    </row>
    <row r="734" spans="2:6" x14ac:dyDescent="0.25">
      <c r="B734" s="39"/>
      <c r="E734"/>
      <c r="F734"/>
    </row>
    <row r="735" spans="2:6" x14ac:dyDescent="0.25">
      <c r="B735" s="39"/>
      <c r="E735"/>
      <c r="F735"/>
    </row>
    <row r="736" spans="2:6" x14ac:dyDescent="0.25">
      <c r="B736" s="39"/>
      <c r="E736"/>
      <c r="F736"/>
    </row>
    <row r="737" spans="2:6" x14ac:dyDescent="0.25">
      <c r="B737" s="39"/>
      <c r="E737"/>
      <c r="F737"/>
    </row>
    <row r="738" spans="2:6" x14ac:dyDescent="0.25">
      <c r="B738" s="39"/>
      <c r="E738"/>
      <c r="F738"/>
    </row>
    <row r="739" spans="2:6" x14ac:dyDescent="0.25">
      <c r="B739" s="39"/>
      <c r="E739"/>
      <c r="F739"/>
    </row>
    <row r="740" spans="2:6" x14ac:dyDescent="0.25">
      <c r="B740" s="39"/>
      <c r="E740"/>
      <c r="F740"/>
    </row>
    <row r="741" spans="2:6" x14ac:dyDescent="0.25">
      <c r="B741" s="39"/>
      <c r="E741"/>
      <c r="F741"/>
    </row>
    <row r="742" spans="2:6" x14ac:dyDescent="0.25">
      <c r="B742" s="39"/>
      <c r="E742"/>
      <c r="F742"/>
    </row>
    <row r="743" spans="2:6" x14ac:dyDescent="0.25">
      <c r="B743" s="39"/>
      <c r="E743"/>
      <c r="F743"/>
    </row>
    <row r="744" spans="2:6" x14ac:dyDescent="0.25">
      <c r="B744" s="39"/>
      <c r="E744"/>
      <c r="F744"/>
    </row>
    <row r="745" spans="2:6" x14ac:dyDescent="0.25">
      <c r="B745" s="39"/>
      <c r="E745"/>
      <c r="F745"/>
    </row>
    <row r="746" spans="2:6" x14ac:dyDescent="0.25">
      <c r="B746" s="39"/>
      <c r="E746"/>
      <c r="F746"/>
    </row>
    <row r="747" spans="2:6" x14ac:dyDescent="0.25">
      <c r="B747" s="39"/>
      <c r="E747"/>
      <c r="F747"/>
    </row>
    <row r="748" spans="2:6" x14ac:dyDescent="0.25">
      <c r="B748" s="39"/>
      <c r="E748"/>
      <c r="F748"/>
    </row>
    <row r="749" spans="2:6" x14ac:dyDescent="0.25">
      <c r="B749" s="39"/>
      <c r="E749"/>
      <c r="F749"/>
    </row>
    <row r="750" spans="2:6" x14ac:dyDescent="0.25">
      <c r="B750" s="39"/>
      <c r="E750"/>
      <c r="F750"/>
    </row>
    <row r="751" spans="2:6" x14ac:dyDescent="0.25">
      <c r="B751" s="39"/>
      <c r="E751"/>
      <c r="F751"/>
    </row>
    <row r="752" spans="2:6" x14ac:dyDescent="0.25">
      <c r="B752" s="39"/>
      <c r="E752"/>
      <c r="F752"/>
    </row>
    <row r="753" spans="2:6" x14ac:dyDescent="0.25">
      <c r="B753" s="39"/>
      <c r="E753"/>
      <c r="F753"/>
    </row>
    <row r="754" spans="2:6" x14ac:dyDescent="0.25">
      <c r="B754" s="39"/>
      <c r="E754"/>
      <c r="F754"/>
    </row>
    <row r="755" spans="2:6" x14ac:dyDescent="0.25">
      <c r="B755" s="39"/>
      <c r="E755"/>
      <c r="F755"/>
    </row>
    <row r="756" spans="2:6" x14ac:dyDescent="0.25">
      <c r="B756" s="39"/>
      <c r="E756"/>
      <c r="F756"/>
    </row>
    <row r="757" spans="2:6" x14ac:dyDescent="0.25">
      <c r="B757" s="39"/>
      <c r="E757"/>
      <c r="F757"/>
    </row>
    <row r="758" spans="2:6" x14ac:dyDescent="0.25">
      <c r="B758" s="39"/>
      <c r="E758"/>
      <c r="F758"/>
    </row>
    <row r="759" spans="2:6" x14ac:dyDescent="0.25">
      <c r="B759" s="39"/>
      <c r="E759"/>
      <c r="F759"/>
    </row>
    <row r="760" spans="2:6" x14ac:dyDescent="0.25">
      <c r="B760" s="39"/>
      <c r="E760"/>
      <c r="F760"/>
    </row>
    <row r="761" spans="2:6" x14ac:dyDescent="0.25">
      <c r="B761" s="39"/>
      <c r="E761"/>
      <c r="F761"/>
    </row>
    <row r="762" spans="2:6" x14ac:dyDescent="0.25">
      <c r="B762" s="39"/>
      <c r="E762"/>
      <c r="F762"/>
    </row>
    <row r="763" spans="2:6" x14ac:dyDescent="0.25">
      <c r="B763" s="39"/>
      <c r="E763"/>
      <c r="F763"/>
    </row>
    <row r="764" spans="2:6" x14ac:dyDescent="0.25">
      <c r="B764" s="39"/>
      <c r="E764"/>
      <c r="F764"/>
    </row>
    <row r="765" spans="2:6" x14ac:dyDescent="0.25">
      <c r="B765" s="39"/>
      <c r="E765"/>
      <c r="F765"/>
    </row>
    <row r="766" spans="2:6" x14ac:dyDescent="0.25">
      <c r="B766" s="39"/>
      <c r="E766"/>
      <c r="F766"/>
    </row>
    <row r="767" spans="2:6" x14ac:dyDescent="0.25">
      <c r="B767" s="39"/>
      <c r="E767"/>
      <c r="F767"/>
    </row>
    <row r="768" spans="2:6" x14ac:dyDescent="0.25">
      <c r="B768" s="39"/>
      <c r="E768"/>
      <c r="F768"/>
    </row>
    <row r="769" spans="2:6" x14ac:dyDescent="0.25">
      <c r="B769" s="39"/>
      <c r="E769"/>
      <c r="F769"/>
    </row>
    <row r="770" spans="2:6" x14ac:dyDescent="0.25">
      <c r="B770" s="39"/>
      <c r="E770"/>
      <c r="F770"/>
    </row>
    <row r="771" spans="2:6" x14ac:dyDescent="0.25">
      <c r="B771" s="39"/>
      <c r="E771"/>
      <c r="F771"/>
    </row>
    <row r="772" spans="2:6" x14ac:dyDescent="0.25">
      <c r="B772" s="39"/>
      <c r="E772"/>
      <c r="F772"/>
    </row>
    <row r="773" spans="2:6" x14ac:dyDescent="0.25">
      <c r="B773" s="39"/>
      <c r="E773"/>
      <c r="F773"/>
    </row>
    <row r="774" spans="2:6" x14ac:dyDescent="0.25">
      <c r="B774" s="39"/>
      <c r="E774"/>
      <c r="F774"/>
    </row>
    <row r="775" spans="2:6" x14ac:dyDescent="0.25">
      <c r="B775" s="39"/>
      <c r="E775"/>
      <c r="F775"/>
    </row>
    <row r="776" spans="2:6" x14ac:dyDescent="0.25">
      <c r="B776" s="39"/>
      <c r="E776"/>
      <c r="F776"/>
    </row>
    <row r="777" spans="2:6" x14ac:dyDescent="0.25">
      <c r="B777" s="39"/>
      <c r="E777"/>
      <c r="F777"/>
    </row>
    <row r="778" spans="2:6" x14ac:dyDescent="0.25">
      <c r="B778" s="39"/>
      <c r="E778"/>
      <c r="F778"/>
    </row>
    <row r="779" spans="2:6" x14ac:dyDescent="0.25">
      <c r="B779" s="39"/>
      <c r="E779"/>
      <c r="F779"/>
    </row>
    <row r="780" spans="2:6" x14ac:dyDescent="0.25">
      <c r="B780" s="39"/>
      <c r="E780"/>
      <c r="F780"/>
    </row>
    <row r="781" spans="2:6" x14ac:dyDescent="0.25">
      <c r="B781" s="39"/>
      <c r="E781"/>
      <c r="F781"/>
    </row>
    <row r="782" spans="2:6" x14ac:dyDescent="0.25">
      <c r="B782" s="39"/>
      <c r="E782"/>
      <c r="F782"/>
    </row>
    <row r="783" spans="2:6" x14ac:dyDescent="0.25">
      <c r="B783" s="39"/>
      <c r="E783"/>
      <c r="F783"/>
    </row>
    <row r="784" spans="2:6" x14ac:dyDescent="0.25">
      <c r="B784" s="39"/>
      <c r="E784"/>
      <c r="F784"/>
    </row>
    <row r="785" spans="2:6" x14ac:dyDescent="0.25">
      <c r="B785" s="39"/>
      <c r="E785"/>
      <c r="F785"/>
    </row>
    <row r="786" spans="2:6" x14ac:dyDescent="0.25">
      <c r="B786" s="39"/>
      <c r="E786"/>
      <c r="F786"/>
    </row>
    <row r="787" spans="2:6" x14ac:dyDescent="0.25">
      <c r="B787" s="39"/>
      <c r="E787"/>
      <c r="F787"/>
    </row>
    <row r="788" spans="2:6" x14ac:dyDescent="0.25">
      <c r="B788" s="39"/>
      <c r="E788"/>
      <c r="F788"/>
    </row>
    <row r="789" spans="2:6" x14ac:dyDescent="0.25">
      <c r="B789" s="39"/>
      <c r="E789"/>
      <c r="F789"/>
    </row>
    <row r="790" spans="2:6" x14ac:dyDescent="0.25">
      <c r="B790" s="39"/>
      <c r="E790"/>
      <c r="F790"/>
    </row>
    <row r="791" spans="2:6" x14ac:dyDescent="0.25">
      <c r="B791" s="39"/>
      <c r="E791"/>
      <c r="F791"/>
    </row>
    <row r="792" spans="2:6" x14ac:dyDescent="0.25">
      <c r="B792" s="39"/>
      <c r="E792"/>
      <c r="F792"/>
    </row>
    <row r="793" spans="2:6" x14ac:dyDescent="0.25">
      <c r="B793" s="39"/>
      <c r="E793"/>
      <c r="F793"/>
    </row>
    <row r="794" spans="2:6" x14ac:dyDescent="0.25">
      <c r="B794" s="39"/>
      <c r="E794"/>
      <c r="F794"/>
    </row>
    <row r="795" spans="2:6" x14ac:dyDescent="0.25">
      <c r="B795" s="39"/>
      <c r="E795"/>
      <c r="F795"/>
    </row>
    <row r="796" spans="2:6" x14ac:dyDescent="0.25">
      <c r="B796" s="39"/>
      <c r="E796"/>
      <c r="F796"/>
    </row>
    <row r="797" spans="2:6" x14ac:dyDescent="0.25">
      <c r="B797" s="39"/>
      <c r="E797"/>
      <c r="F797"/>
    </row>
    <row r="798" spans="2:6" x14ac:dyDescent="0.25">
      <c r="B798" s="39"/>
      <c r="E798"/>
      <c r="F798"/>
    </row>
    <row r="799" spans="2:6" x14ac:dyDescent="0.25">
      <c r="B799" s="39"/>
      <c r="E799"/>
      <c r="F799"/>
    </row>
    <row r="800" spans="2:6" x14ac:dyDescent="0.25">
      <c r="B800" s="39"/>
      <c r="E800"/>
      <c r="F800"/>
    </row>
    <row r="801" spans="2:6" x14ac:dyDescent="0.25">
      <c r="B801" s="39"/>
      <c r="E801"/>
      <c r="F801"/>
    </row>
    <row r="802" spans="2:6" x14ac:dyDescent="0.25">
      <c r="B802" s="39"/>
      <c r="E802"/>
      <c r="F802"/>
    </row>
    <row r="803" spans="2:6" x14ac:dyDescent="0.25">
      <c r="B803" s="39"/>
      <c r="E803"/>
      <c r="F803"/>
    </row>
    <row r="804" spans="2:6" x14ac:dyDescent="0.25">
      <c r="B804" s="39"/>
      <c r="E804"/>
      <c r="F804"/>
    </row>
    <row r="805" spans="2:6" x14ac:dyDescent="0.25">
      <c r="B805" s="39"/>
      <c r="E805"/>
      <c r="F805"/>
    </row>
    <row r="806" spans="2:6" x14ac:dyDescent="0.25">
      <c r="B806" s="39"/>
      <c r="E806"/>
      <c r="F806"/>
    </row>
    <row r="807" spans="2:6" x14ac:dyDescent="0.25">
      <c r="B807" s="39"/>
      <c r="E807"/>
      <c r="F807"/>
    </row>
    <row r="808" spans="2:6" x14ac:dyDescent="0.25">
      <c r="B808" s="39"/>
      <c r="E808"/>
      <c r="F808"/>
    </row>
    <row r="809" spans="2:6" x14ac:dyDescent="0.25">
      <c r="B809" s="39"/>
      <c r="E809"/>
      <c r="F809"/>
    </row>
    <row r="810" spans="2:6" x14ac:dyDescent="0.25">
      <c r="B810" s="39"/>
      <c r="E810"/>
      <c r="F810"/>
    </row>
    <row r="811" spans="2:6" x14ac:dyDescent="0.25">
      <c r="B811" s="39"/>
      <c r="E811"/>
      <c r="F811"/>
    </row>
    <row r="812" spans="2:6" x14ac:dyDescent="0.25">
      <c r="B812" s="39"/>
      <c r="E812"/>
      <c r="F812"/>
    </row>
    <row r="813" spans="2:6" x14ac:dyDescent="0.25">
      <c r="B813" s="39"/>
      <c r="E813"/>
      <c r="F813"/>
    </row>
    <row r="814" spans="2:6" x14ac:dyDescent="0.25">
      <c r="B814" s="39"/>
      <c r="E814"/>
      <c r="F814"/>
    </row>
    <row r="815" spans="2:6" x14ac:dyDescent="0.25">
      <c r="B815" s="39"/>
      <c r="E815"/>
      <c r="F815"/>
    </row>
    <row r="816" spans="2:6" x14ac:dyDescent="0.25">
      <c r="B816" s="39"/>
      <c r="E816"/>
      <c r="F816"/>
    </row>
    <row r="817" spans="2:6" x14ac:dyDescent="0.25">
      <c r="B817" s="39"/>
      <c r="E817"/>
      <c r="F817"/>
    </row>
    <row r="818" spans="2:6" x14ac:dyDescent="0.25">
      <c r="B818" s="39"/>
      <c r="E818"/>
      <c r="F818"/>
    </row>
    <row r="819" spans="2:6" x14ac:dyDescent="0.25">
      <c r="B819" s="39"/>
      <c r="E819"/>
      <c r="F819"/>
    </row>
  </sheetData>
  <autoFilter ref="B7:P117" xr:uid="{00000000-0009-0000-0000-000000000000}">
    <sortState xmlns:xlrd2="http://schemas.microsoft.com/office/spreadsheetml/2017/richdata2" ref="B8:P117">
      <sortCondition ref="F7:F117"/>
    </sortState>
  </autoFilter>
  <sortState xmlns:xlrd2="http://schemas.microsoft.com/office/spreadsheetml/2017/richdata2" ref="A8:P112">
    <sortCondition descending="1" ref="P8:P112"/>
    <sortCondition descending="1" ref="E8:E112"/>
  </sortState>
  <mergeCells count="8">
    <mergeCell ref="H4:I4"/>
    <mergeCell ref="J4:K4"/>
    <mergeCell ref="L4:M4"/>
    <mergeCell ref="N4:O4"/>
    <mergeCell ref="H5:I5"/>
    <mergeCell ref="J5:K5"/>
    <mergeCell ref="L5:M5"/>
    <mergeCell ref="N5:O5"/>
  </mergeCells>
  <conditionalFormatting sqref="B14:C86">
    <cfRule type="expression" dxfId="330" priority="37">
      <formula>$F14=$E$5</formula>
    </cfRule>
  </conditionalFormatting>
  <conditionalFormatting sqref="B98:C99">
    <cfRule type="expression" dxfId="329" priority="9">
      <formula>$F98=$E$5</formula>
    </cfRule>
  </conditionalFormatting>
  <conditionalFormatting sqref="B107:C108">
    <cfRule type="expression" dxfId="328" priority="80" stopIfTrue="1">
      <formula>#REF!=$E$5</formula>
    </cfRule>
  </conditionalFormatting>
  <conditionalFormatting sqref="B111:D111">
    <cfRule type="expression" dxfId="327" priority="38" stopIfTrue="1">
      <formula>#REF!=$E$5</formula>
    </cfRule>
  </conditionalFormatting>
  <conditionalFormatting sqref="B107:E110 B117:D117 F117:G117 M117 P117">
    <cfRule type="expression" dxfId="326" priority="377" stopIfTrue="1">
      <formula>$F107=$E$5</formula>
    </cfRule>
  </conditionalFormatting>
  <conditionalFormatting sqref="B111:E116 G107:P116">
    <cfRule type="expression" dxfId="325" priority="39" stopIfTrue="1">
      <formula>$F107=$E$5</formula>
    </cfRule>
  </conditionalFormatting>
  <conditionalFormatting sqref="D8:D100">
    <cfRule type="expression" dxfId="324" priority="10">
      <formula>$F8=$E$5</formula>
    </cfRule>
  </conditionalFormatting>
  <conditionalFormatting sqref="D8:D116">
    <cfRule type="cellIs" dxfId="323" priority="8" operator="equal">
      <formula>"F"</formula>
    </cfRule>
  </conditionalFormatting>
  <conditionalFormatting sqref="E33:E34">
    <cfRule type="cellIs" dxfId="322" priority="32" operator="equal">
      <formula>0</formula>
    </cfRule>
    <cfRule type="cellIs" dxfId="321" priority="33" operator="equal">
      <formula>""" """</formula>
    </cfRule>
    <cfRule type="containsText" dxfId="320" priority="34" operator="containsText" text=" ">
      <formula>NOT(ISERROR(SEARCH(" ",E33)))</formula>
    </cfRule>
    <cfRule type="cellIs" dxfId="319" priority="35" operator="equal">
      <formula>""" """</formula>
    </cfRule>
  </conditionalFormatting>
  <conditionalFormatting sqref="F8:F100">
    <cfRule type="expression" dxfId="318" priority="7">
      <formula>$F8=$E$5</formula>
    </cfRule>
  </conditionalFormatting>
  <conditionalFormatting sqref="G8">
    <cfRule type="cellIs" dxfId="317" priority="27" operator="equal">
      <formula>"LV"</formula>
    </cfRule>
  </conditionalFormatting>
  <conditionalFormatting sqref="G8:G48">
    <cfRule type="cellIs" dxfId="316" priority="28" operator="equal">
      <formula>"NL"</formula>
    </cfRule>
  </conditionalFormatting>
  <conditionalFormatting sqref="G9:G48">
    <cfRule type="cellIs" dxfId="315" priority="29" operator="equal">
      <formula>"LL"</formula>
    </cfRule>
  </conditionalFormatting>
  <conditionalFormatting sqref="G73">
    <cfRule type="cellIs" dxfId="314" priority="25" operator="equal">
      <formula>"NL"</formula>
    </cfRule>
    <cfRule type="cellIs" dxfId="313" priority="26" operator="equal">
      <formula>"LL"</formula>
    </cfRule>
  </conditionalFormatting>
  <conditionalFormatting sqref="G74:G75">
    <cfRule type="expression" dxfId="312" priority="30">
      <formula>$F74=$E$5</formula>
    </cfRule>
  </conditionalFormatting>
  <conditionalFormatting sqref="H99">
    <cfRule type="expression" dxfId="311" priority="4">
      <formula>$F99=$E$5</formula>
    </cfRule>
  </conditionalFormatting>
  <conditionalFormatting sqref="H8:I53">
    <cfRule type="expression" dxfId="310" priority="21">
      <formula>$F8=$E$5</formula>
    </cfRule>
  </conditionalFormatting>
  <conditionalFormatting sqref="H55:I75 H76:H83 I81:I83 I90:I97">
    <cfRule type="expression" dxfId="309" priority="20">
      <formula>$F55=$E$5</formula>
    </cfRule>
  </conditionalFormatting>
  <conditionalFormatting sqref="H84:I89">
    <cfRule type="expression" dxfId="308" priority="19">
      <formula>$F84=$E$5</formula>
    </cfRule>
  </conditionalFormatting>
  <conditionalFormatting sqref="H98:I98">
    <cfRule type="expression" dxfId="307" priority="6">
      <formula>$F98=$E$5</formula>
    </cfRule>
  </conditionalFormatting>
  <conditionalFormatting sqref="I54">
    <cfRule type="expression" dxfId="306" priority="23">
      <formula>$F54=$E$5</formula>
    </cfRule>
  </conditionalFormatting>
  <conditionalFormatting sqref="I76:I79">
    <cfRule type="expression" dxfId="305" priority="18">
      <formula>$F76=$E$5</formula>
    </cfRule>
  </conditionalFormatting>
  <conditionalFormatting sqref="I99:I100">
    <cfRule type="expression" dxfId="304" priority="3">
      <formula>$F99=$E$5</formula>
    </cfRule>
  </conditionalFormatting>
  <conditionalFormatting sqref="I80:K80">
    <cfRule type="expression" dxfId="303" priority="17">
      <formula>#REF!=$E$5</formula>
    </cfRule>
  </conditionalFormatting>
  <conditionalFormatting sqref="J8:K72">
    <cfRule type="expression" dxfId="302" priority="13">
      <formula>$F8=$E$5</formula>
    </cfRule>
  </conditionalFormatting>
  <conditionalFormatting sqref="J73:K73">
    <cfRule type="expression" dxfId="301" priority="14">
      <formula>#REF!=$E$5</formula>
    </cfRule>
  </conditionalFormatting>
  <conditionalFormatting sqref="J74:K79">
    <cfRule type="expression" dxfId="300" priority="11">
      <formula>$F74=$E$5</formula>
    </cfRule>
  </conditionalFormatting>
  <conditionalFormatting sqref="J81:K100">
    <cfRule type="expression" dxfId="299" priority="1">
      <formula>$F81=$E$5</formula>
    </cfRule>
  </conditionalFormatting>
  <dataValidations count="4">
    <dataValidation type="list" showInputMessage="1" showErrorMessage="1" sqref="E5" xr:uid="{00000000-0002-0000-0000-000000000000}">
      <formula1>Liste_Clubs</formula1>
    </dataValidation>
    <dataValidation type="list" allowBlank="1" showInputMessage="1" showErrorMessage="1" sqref="D107:D110 D9:D52 D64:D94 D98:D102" xr:uid="{00000000-0002-0000-0000-000001000000}">
      <formula1>"F,M"</formula1>
    </dataValidation>
    <dataValidation type="list" allowBlank="1" showErrorMessage="1" sqref="D8 D95:D97" xr:uid="{00000000-0002-0000-0000-000002000000}">
      <formula1>"F,M"</formula1>
    </dataValidation>
    <dataValidation type="list" allowBlank="1" showErrorMessage="1" sqref="F101:F116" xr:uid="{00000000-0002-0000-0000-000004000000}">
      <formula1>"API,ASM,ASV,CAO,CC2,COS,COU,TTJ-BUC,USBY,USP,VAU"</formula1>
    </dataValidation>
  </dataValidations>
  <pageMargins left="0.39370078740157483" right="0.39370078740157483" top="0.39370078740157483" bottom="0.27559055118110237" header="0.27559055118110237" footer="0.43307086614173229"/>
  <pageSetup paperSize="9" scale="77" fitToHeight="3" orientation="portrait" horizontalDpi="300" verticalDpi="300" r:id="rId1"/>
  <headerFooter alignWithMargins="0">
    <oddHeader>&amp;C&amp;"Arial,Gras italique"Page &amp;P</oddHeader>
    <oddFooter>&amp;C&amp;"Arial,Gras"le &amp;D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>
    <pageSetUpPr fitToPage="1"/>
  </sheetPr>
  <dimension ref="A1:Z349"/>
  <sheetViews>
    <sheetView topLeftCell="A138" zoomScale="85" zoomScaleNormal="85" workbookViewId="0">
      <selection activeCell="A149" sqref="A149:XFD149"/>
    </sheetView>
  </sheetViews>
  <sheetFormatPr baseColWidth="10" defaultRowHeight="13" x14ac:dyDescent="0.3"/>
  <cols>
    <col min="1" max="1" width="8.453125" bestFit="1" customWidth="1"/>
    <col min="2" max="2" width="25.453125" style="38" customWidth="1"/>
    <col min="3" max="3" width="17.453125" customWidth="1"/>
    <col min="4" max="4" width="5.6328125" customWidth="1"/>
    <col min="5" max="5" width="11.1796875" style="1" customWidth="1"/>
    <col min="6" max="6" width="10.36328125" style="1" bestFit="1" customWidth="1"/>
    <col min="7" max="8" width="6.1796875" style="1" customWidth="1"/>
    <col min="9" max="9" width="7.1796875" customWidth="1"/>
    <col min="10" max="10" width="6.36328125" style="1" customWidth="1"/>
    <col min="11" max="11" width="7.1796875" customWidth="1"/>
    <col min="12" max="12" width="4.81640625" customWidth="1"/>
    <col min="13" max="13" width="7.1796875" customWidth="1"/>
    <col min="14" max="14" width="5.453125" customWidth="1"/>
    <col min="15" max="15" width="7.1796875" customWidth="1"/>
    <col min="16" max="16" width="11.453125" style="1"/>
  </cols>
  <sheetData>
    <row r="1" spans="1:26" ht="18" x14ac:dyDescent="0.4">
      <c r="B1" s="8" t="str">
        <f>Poussins!B1</f>
        <v>TOURNOI DE LA VALLEE DE CHEVREUSE 2025-2026</v>
      </c>
      <c r="C1" s="3"/>
      <c r="D1" s="3"/>
      <c r="E1" s="6"/>
      <c r="F1" s="6"/>
      <c r="G1" s="6"/>
      <c r="Z1" s="72"/>
    </row>
    <row r="2" spans="1:26" ht="25.5" customHeight="1" x14ac:dyDescent="0.3">
      <c r="Z2" s="72"/>
    </row>
    <row r="3" spans="1:26" ht="18.5" thickBot="1" x14ac:dyDescent="0.45">
      <c r="B3" s="4" t="s">
        <v>43</v>
      </c>
      <c r="C3" s="5"/>
      <c r="D3" s="5"/>
      <c r="E3" s="43"/>
      <c r="H3" s="15"/>
      <c r="I3" s="12"/>
      <c r="J3" s="15"/>
      <c r="K3" s="12"/>
      <c r="L3" s="12"/>
      <c r="M3" s="12"/>
      <c r="N3" s="12"/>
      <c r="O3" s="12"/>
      <c r="Z3" s="72"/>
    </row>
    <row r="4" spans="1:26" ht="13.5" thickBot="1" x14ac:dyDescent="0.35">
      <c r="C4" s="1" t="s">
        <v>28</v>
      </c>
      <c r="D4" s="1"/>
      <c r="H4" s="629" t="s">
        <v>24</v>
      </c>
      <c r="I4" s="630"/>
      <c r="J4" s="629" t="s">
        <v>25</v>
      </c>
      <c r="K4" s="630"/>
      <c r="L4" s="629" t="s">
        <v>26</v>
      </c>
      <c r="M4" s="630"/>
      <c r="N4" s="629" t="s">
        <v>27</v>
      </c>
      <c r="O4" s="630"/>
      <c r="Z4" s="72"/>
    </row>
    <row r="5" spans="1:26" ht="13.5" thickBot="1" x14ac:dyDescent="0.35">
      <c r="C5" s="35" t="s">
        <v>29</v>
      </c>
      <c r="D5" s="35"/>
      <c r="E5" s="36" t="s">
        <v>80</v>
      </c>
      <c r="H5" s="631">
        <f>Poussins!H5</f>
        <v>45991</v>
      </c>
      <c r="I5" s="632"/>
      <c r="J5" s="631">
        <f>Poussins!J5</f>
        <v>46040</v>
      </c>
      <c r="K5" s="632"/>
      <c r="L5" s="631">
        <f>Poussins!L5</f>
        <v>46103</v>
      </c>
      <c r="M5" s="632"/>
      <c r="N5" s="631">
        <f>Poussins!N5</f>
        <v>46180</v>
      </c>
      <c r="O5" s="632"/>
      <c r="Z5" s="72"/>
    </row>
    <row r="6" spans="1:26" ht="13.5" thickBot="1" x14ac:dyDescent="0.35">
      <c r="E6" s="1" t="s">
        <v>31</v>
      </c>
      <c r="H6" s="37"/>
      <c r="I6" s="10"/>
      <c r="J6" s="37"/>
      <c r="K6" s="10"/>
      <c r="M6" s="10"/>
      <c r="O6" s="10"/>
      <c r="Z6" s="72"/>
    </row>
    <row r="7" spans="1:26" ht="14.5" x14ac:dyDescent="0.35">
      <c r="A7" s="207" t="s">
        <v>387</v>
      </c>
      <c r="B7" s="154" t="s">
        <v>0</v>
      </c>
      <c r="C7" s="154" t="s">
        <v>1</v>
      </c>
      <c r="D7" s="154" t="s">
        <v>109</v>
      </c>
      <c r="E7" s="267" t="s">
        <v>8</v>
      </c>
      <c r="F7" s="267" t="s">
        <v>7</v>
      </c>
      <c r="G7" s="268" t="s">
        <v>41</v>
      </c>
      <c r="H7" s="210" t="s">
        <v>105</v>
      </c>
      <c r="I7" s="211" t="s">
        <v>32</v>
      </c>
      <c r="J7" s="210" t="s">
        <v>106</v>
      </c>
      <c r="K7" s="211" t="s">
        <v>33</v>
      </c>
      <c r="L7" s="212" t="s">
        <v>107</v>
      </c>
      <c r="M7" s="211" t="s">
        <v>34</v>
      </c>
      <c r="N7" s="212" t="s">
        <v>108</v>
      </c>
      <c r="O7" s="211" t="s">
        <v>35</v>
      </c>
      <c r="P7" s="269" t="s">
        <v>6</v>
      </c>
      <c r="Z7" s="72"/>
    </row>
    <row r="8" spans="1:26" ht="15" customHeight="1" x14ac:dyDescent="0.35">
      <c r="A8" s="270">
        <v>3099</v>
      </c>
      <c r="B8" s="271" t="s">
        <v>626</v>
      </c>
      <c r="C8" s="272" t="s">
        <v>94</v>
      </c>
      <c r="D8" s="169" t="s">
        <v>111</v>
      </c>
      <c r="E8" s="273">
        <v>41307</v>
      </c>
      <c r="F8" s="158" t="s">
        <v>10</v>
      </c>
      <c r="G8" s="227">
        <v>574</v>
      </c>
      <c r="H8" s="160" t="s">
        <v>273</v>
      </c>
      <c r="I8" s="161">
        <v>13</v>
      </c>
      <c r="J8" s="274" t="s">
        <v>273</v>
      </c>
      <c r="K8" s="275">
        <v>10</v>
      </c>
      <c r="L8" s="160"/>
      <c r="M8" s="161"/>
      <c r="N8" s="182"/>
      <c r="O8" s="220"/>
      <c r="P8" s="276">
        <f t="shared" ref="P8:P39" si="0">SUM(I8:O8)</f>
        <v>23</v>
      </c>
    </row>
    <row r="9" spans="1:26" ht="15" customHeight="1" x14ac:dyDescent="0.35">
      <c r="A9" s="270">
        <v>3105</v>
      </c>
      <c r="B9" s="172" t="s">
        <v>214</v>
      </c>
      <c r="C9" s="173" t="s">
        <v>208</v>
      </c>
      <c r="D9" s="169" t="s">
        <v>111</v>
      </c>
      <c r="E9" s="174">
        <v>41657</v>
      </c>
      <c r="F9" s="158" t="s">
        <v>9</v>
      </c>
      <c r="G9" s="171">
        <v>660</v>
      </c>
      <c r="H9" s="277" t="s">
        <v>273</v>
      </c>
      <c r="I9" s="275">
        <v>10</v>
      </c>
      <c r="J9" s="277" t="s">
        <v>273</v>
      </c>
      <c r="K9" s="275">
        <v>12</v>
      </c>
      <c r="L9" s="160"/>
      <c r="M9" s="161"/>
      <c r="N9" s="162"/>
      <c r="O9" s="278"/>
      <c r="P9" s="279">
        <f t="shared" si="0"/>
        <v>22</v>
      </c>
    </row>
    <row r="10" spans="1:26" ht="15" customHeight="1" x14ac:dyDescent="0.35">
      <c r="A10" s="280">
        <v>3002</v>
      </c>
      <c r="B10" s="176" t="s">
        <v>734</v>
      </c>
      <c r="C10" s="281" t="s">
        <v>735</v>
      </c>
      <c r="D10" s="156" t="s">
        <v>111</v>
      </c>
      <c r="E10" s="157">
        <v>41986</v>
      </c>
      <c r="F10" s="282" t="s">
        <v>66</v>
      </c>
      <c r="G10" s="283">
        <v>563</v>
      </c>
      <c r="H10" s="160" t="s">
        <v>273</v>
      </c>
      <c r="I10" s="161">
        <v>9</v>
      </c>
      <c r="J10" s="284" t="s">
        <v>273</v>
      </c>
      <c r="K10" s="161">
        <v>8</v>
      </c>
      <c r="L10" s="160" t="s">
        <v>273</v>
      </c>
      <c r="M10" s="161"/>
      <c r="N10" s="162"/>
      <c r="O10" s="278"/>
      <c r="P10" s="276">
        <f t="shared" si="0"/>
        <v>17</v>
      </c>
    </row>
    <row r="11" spans="1:26" ht="15" customHeight="1" x14ac:dyDescent="0.35">
      <c r="A11" s="270">
        <v>3126</v>
      </c>
      <c r="B11" s="172" t="s">
        <v>224</v>
      </c>
      <c r="C11" s="173" t="s">
        <v>225</v>
      </c>
      <c r="D11" s="169" t="s">
        <v>111</v>
      </c>
      <c r="E11" s="174">
        <v>41975</v>
      </c>
      <c r="F11" s="158" t="s">
        <v>9</v>
      </c>
      <c r="G11" s="171">
        <v>636</v>
      </c>
      <c r="H11" s="160" t="s">
        <v>273</v>
      </c>
      <c r="I11" s="161">
        <v>9</v>
      </c>
      <c r="J11" s="160" t="s">
        <v>273</v>
      </c>
      <c r="K11" s="161">
        <v>8</v>
      </c>
      <c r="L11" s="160" t="s">
        <v>273</v>
      </c>
      <c r="M11" s="161"/>
      <c r="N11" s="162"/>
      <c r="O11" s="278"/>
      <c r="P11" s="276">
        <f t="shared" si="0"/>
        <v>17</v>
      </c>
      <c r="Z11" s="72"/>
    </row>
    <row r="12" spans="1:26" ht="15" customHeight="1" x14ac:dyDescent="0.35">
      <c r="A12" s="270">
        <v>3125</v>
      </c>
      <c r="B12" s="172" t="s">
        <v>223</v>
      </c>
      <c r="C12" s="173" t="s">
        <v>45</v>
      </c>
      <c r="D12" s="169" t="s">
        <v>111</v>
      </c>
      <c r="E12" s="174">
        <v>41967</v>
      </c>
      <c r="F12" s="158" t="s">
        <v>9</v>
      </c>
      <c r="G12" s="171">
        <v>617</v>
      </c>
      <c r="H12" s="160" t="s">
        <v>273</v>
      </c>
      <c r="I12" s="161">
        <v>9</v>
      </c>
      <c r="J12" s="160" t="s">
        <v>273</v>
      </c>
      <c r="K12" s="161">
        <v>8</v>
      </c>
      <c r="L12" s="160" t="s">
        <v>273</v>
      </c>
      <c r="M12" s="161"/>
      <c r="N12" s="162"/>
      <c r="O12" s="278"/>
      <c r="P12" s="276">
        <f t="shared" si="0"/>
        <v>17</v>
      </c>
    </row>
    <row r="13" spans="1:26" ht="15" customHeight="1" x14ac:dyDescent="0.35">
      <c r="A13" s="280">
        <v>3133</v>
      </c>
      <c r="B13" s="285" t="s">
        <v>175</v>
      </c>
      <c r="C13" s="173" t="s">
        <v>152</v>
      </c>
      <c r="D13" s="156" t="s">
        <v>111</v>
      </c>
      <c r="E13" s="175">
        <v>41823</v>
      </c>
      <c r="F13" s="158" t="s">
        <v>294</v>
      </c>
      <c r="G13" s="171">
        <v>500</v>
      </c>
      <c r="H13" s="160" t="s">
        <v>273</v>
      </c>
      <c r="I13" s="161">
        <v>9</v>
      </c>
      <c r="J13" s="284" t="s">
        <v>273</v>
      </c>
      <c r="K13" s="161">
        <v>8</v>
      </c>
      <c r="L13" s="160"/>
      <c r="M13" s="161"/>
      <c r="N13" s="162"/>
      <c r="O13" s="278"/>
      <c r="P13" s="279">
        <f t="shared" si="0"/>
        <v>17</v>
      </c>
    </row>
    <row r="14" spans="1:26" ht="15" customHeight="1" x14ac:dyDescent="0.35">
      <c r="A14" s="280">
        <v>3027</v>
      </c>
      <c r="B14" s="176" t="s">
        <v>265</v>
      </c>
      <c r="C14" s="281" t="s">
        <v>266</v>
      </c>
      <c r="D14" s="156" t="s">
        <v>111</v>
      </c>
      <c r="E14" s="157">
        <v>41773</v>
      </c>
      <c r="F14" s="282" t="s">
        <v>66</v>
      </c>
      <c r="G14" s="283">
        <v>500</v>
      </c>
      <c r="H14" s="160" t="s">
        <v>273</v>
      </c>
      <c r="I14" s="161">
        <v>8</v>
      </c>
      <c r="J14" s="274" t="s">
        <v>273</v>
      </c>
      <c r="K14" s="275">
        <v>9</v>
      </c>
      <c r="L14" s="160" t="s">
        <v>273</v>
      </c>
      <c r="M14" s="161"/>
      <c r="N14" s="162"/>
      <c r="O14" s="278"/>
      <c r="P14" s="279">
        <f t="shared" si="0"/>
        <v>17</v>
      </c>
    </row>
    <row r="15" spans="1:26" ht="15" customHeight="1" x14ac:dyDescent="0.35">
      <c r="A15" s="270">
        <v>3129</v>
      </c>
      <c r="B15" s="285" t="s">
        <v>639</v>
      </c>
      <c r="C15" s="286" t="s">
        <v>95</v>
      </c>
      <c r="D15" s="169" t="s">
        <v>111</v>
      </c>
      <c r="E15" s="287">
        <v>41910</v>
      </c>
      <c r="F15" s="158" t="s">
        <v>79</v>
      </c>
      <c r="G15" s="159">
        <v>532</v>
      </c>
      <c r="H15" s="160" t="s">
        <v>273</v>
      </c>
      <c r="I15" s="161">
        <v>8</v>
      </c>
      <c r="J15" s="274" t="s">
        <v>273</v>
      </c>
      <c r="K15" s="275">
        <v>7</v>
      </c>
      <c r="L15" s="160" t="s">
        <v>273</v>
      </c>
      <c r="M15" s="161"/>
      <c r="N15" s="162"/>
      <c r="O15" s="278"/>
      <c r="P15" s="279">
        <f t="shared" si="0"/>
        <v>15</v>
      </c>
    </row>
    <row r="16" spans="1:26" ht="14.5" x14ac:dyDescent="0.35">
      <c r="A16" s="270">
        <v>3089</v>
      </c>
      <c r="B16" s="167" t="s">
        <v>722</v>
      </c>
      <c r="C16" s="168" t="s">
        <v>82</v>
      </c>
      <c r="D16" s="169" t="s">
        <v>111</v>
      </c>
      <c r="E16" s="288">
        <v>41313</v>
      </c>
      <c r="F16" s="158" t="s">
        <v>77</v>
      </c>
      <c r="G16" s="171">
        <v>500</v>
      </c>
      <c r="H16" s="160" t="s">
        <v>273</v>
      </c>
      <c r="I16" s="161">
        <v>8</v>
      </c>
      <c r="J16" s="160" t="s">
        <v>273</v>
      </c>
      <c r="K16" s="161">
        <v>7</v>
      </c>
      <c r="L16" s="160" t="s">
        <v>273</v>
      </c>
      <c r="M16" s="161"/>
      <c r="N16" s="162"/>
      <c r="O16" s="278"/>
      <c r="P16" s="279">
        <f t="shared" si="0"/>
        <v>15</v>
      </c>
    </row>
    <row r="17" spans="1:26" ht="15" customHeight="1" x14ac:dyDescent="0.35">
      <c r="A17" s="270">
        <v>3094</v>
      </c>
      <c r="B17" s="167" t="s">
        <v>269</v>
      </c>
      <c r="C17" s="168" t="s">
        <v>94</v>
      </c>
      <c r="D17" s="169" t="s">
        <v>111</v>
      </c>
      <c r="E17" s="170">
        <v>41915</v>
      </c>
      <c r="F17" s="158" t="s">
        <v>10</v>
      </c>
      <c r="G17" s="171">
        <v>500</v>
      </c>
      <c r="H17" s="160" t="s">
        <v>273</v>
      </c>
      <c r="I17" s="161">
        <v>8</v>
      </c>
      <c r="J17" s="284" t="s">
        <v>273</v>
      </c>
      <c r="K17" s="161">
        <v>6</v>
      </c>
      <c r="L17" s="160" t="s">
        <v>273</v>
      </c>
      <c r="M17" s="161"/>
      <c r="N17" s="162"/>
      <c r="O17" s="278"/>
      <c r="P17" s="279">
        <f t="shared" si="0"/>
        <v>14</v>
      </c>
    </row>
    <row r="18" spans="1:26" ht="15" customHeight="1" x14ac:dyDescent="0.35">
      <c r="A18" s="270">
        <v>3095</v>
      </c>
      <c r="B18" s="167" t="s">
        <v>392</v>
      </c>
      <c r="C18" s="168" t="s">
        <v>48</v>
      </c>
      <c r="D18" s="169" t="s">
        <v>111</v>
      </c>
      <c r="E18" s="170">
        <v>41823</v>
      </c>
      <c r="F18" s="158" t="s">
        <v>10</v>
      </c>
      <c r="G18" s="171">
        <v>500</v>
      </c>
      <c r="H18" s="160" t="s">
        <v>273</v>
      </c>
      <c r="I18" s="161">
        <v>7</v>
      </c>
      <c r="J18" s="274" t="s">
        <v>273</v>
      </c>
      <c r="K18" s="275">
        <v>7</v>
      </c>
      <c r="L18" s="160" t="s">
        <v>273</v>
      </c>
      <c r="M18" s="161"/>
      <c r="N18" s="162"/>
      <c r="O18" s="278"/>
      <c r="P18" s="279">
        <f t="shared" si="0"/>
        <v>14</v>
      </c>
    </row>
    <row r="19" spans="1:26" ht="15" customHeight="1" x14ac:dyDescent="0.35">
      <c r="A19" s="280">
        <v>3056</v>
      </c>
      <c r="B19" s="289" t="s">
        <v>700</v>
      </c>
      <c r="C19" s="289" t="s">
        <v>113</v>
      </c>
      <c r="D19" s="290" t="s">
        <v>111</v>
      </c>
      <c r="E19" s="291">
        <v>41471</v>
      </c>
      <c r="F19" s="292" t="s">
        <v>13</v>
      </c>
      <c r="G19" s="293">
        <v>500</v>
      </c>
      <c r="H19" s="160" t="s">
        <v>273</v>
      </c>
      <c r="I19" s="161">
        <v>7</v>
      </c>
      <c r="J19" s="284" t="s">
        <v>273</v>
      </c>
      <c r="K19" s="161">
        <v>7</v>
      </c>
      <c r="L19" s="160" t="s">
        <v>273</v>
      </c>
      <c r="M19" s="161"/>
      <c r="N19" s="162"/>
      <c r="O19" s="278"/>
      <c r="P19" s="279">
        <f t="shared" si="0"/>
        <v>14</v>
      </c>
      <c r="Z19" s="72"/>
    </row>
    <row r="20" spans="1:26" ht="15" customHeight="1" x14ac:dyDescent="0.35">
      <c r="A20" s="280">
        <v>3037</v>
      </c>
      <c r="B20" s="294" t="s">
        <v>392</v>
      </c>
      <c r="C20" s="294" t="s">
        <v>417</v>
      </c>
      <c r="D20" s="290" t="s">
        <v>110</v>
      </c>
      <c r="E20" s="291">
        <v>41718</v>
      </c>
      <c r="F20" s="292" t="s">
        <v>65</v>
      </c>
      <c r="G20" s="293">
        <v>500</v>
      </c>
      <c r="H20" s="160" t="s">
        <v>273</v>
      </c>
      <c r="I20" s="161">
        <v>7</v>
      </c>
      <c r="J20" s="160" t="s">
        <v>273</v>
      </c>
      <c r="K20" s="161">
        <v>6</v>
      </c>
      <c r="L20" s="160" t="s">
        <v>273</v>
      </c>
      <c r="M20" s="161"/>
      <c r="N20" s="162"/>
      <c r="O20" s="278"/>
      <c r="P20" s="279">
        <f t="shared" si="0"/>
        <v>13</v>
      </c>
      <c r="Z20" s="72"/>
    </row>
    <row r="21" spans="1:26" ht="15" customHeight="1" x14ac:dyDescent="0.35">
      <c r="A21" s="270">
        <v>3107</v>
      </c>
      <c r="B21" s="295" t="s">
        <v>118</v>
      </c>
      <c r="C21" s="295" t="s">
        <v>215</v>
      </c>
      <c r="D21" s="296" t="s">
        <v>111</v>
      </c>
      <c r="E21" s="297">
        <v>41700</v>
      </c>
      <c r="F21" s="292" t="s">
        <v>9</v>
      </c>
      <c r="G21" s="227">
        <v>525</v>
      </c>
      <c r="H21" s="160" t="s">
        <v>273</v>
      </c>
      <c r="I21" s="161">
        <v>7</v>
      </c>
      <c r="J21" s="160" t="s">
        <v>273</v>
      </c>
      <c r="K21" s="161">
        <v>6</v>
      </c>
      <c r="L21" s="160" t="s">
        <v>273</v>
      </c>
      <c r="M21" s="161"/>
      <c r="N21" s="162"/>
      <c r="O21" s="278"/>
      <c r="P21" s="279">
        <f t="shared" si="0"/>
        <v>13</v>
      </c>
      <c r="Z21" s="72"/>
    </row>
    <row r="22" spans="1:26" ht="15" customHeight="1" x14ac:dyDescent="0.35">
      <c r="A22" s="280">
        <v>3060</v>
      </c>
      <c r="B22" s="298" t="s">
        <v>538</v>
      </c>
      <c r="C22" s="299" t="s">
        <v>187</v>
      </c>
      <c r="D22" s="290" t="s">
        <v>111</v>
      </c>
      <c r="E22" s="291">
        <v>41435</v>
      </c>
      <c r="F22" s="292" t="s">
        <v>79</v>
      </c>
      <c r="G22" s="300">
        <v>500</v>
      </c>
      <c r="H22" s="160" t="s">
        <v>273</v>
      </c>
      <c r="I22" s="161">
        <v>7</v>
      </c>
      <c r="J22" s="160" t="s">
        <v>273</v>
      </c>
      <c r="K22" s="161">
        <v>6</v>
      </c>
      <c r="L22" s="160"/>
      <c r="M22" s="161"/>
      <c r="N22" s="162"/>
      <c r="O22" s="278"/>
      <c r="P22" s="279">
        <f t="shared" si="0"/>
        <v>13</v>
      </c>
      <c r="Z22" s="72"/>
    </row>
    <row r="23" spans="1:26" ht="15" customHeight="1" x14ac:dyDescent="0.35">
      <c r="A23" s="270">
        <v>3121</v>
      </c>
      <c r="B23" s="295" t="s">
        <v>164</v>
      </c>
      <c r="C23" s="295" t="s">
        <v>165</v>
      </c>
      <c r="D23" s="296" t="s">
        <v>111</v>
      </c>
      <c r="E23" s="297">
        <v>41745</v>
      </c>
      <c r="F23" s="292" t="s">
        <v>9</v>
      </c>
      <c r="G23" s="227">
        <v>715</v>
      </c>
      <c r="H23" s="160" t="s">
        <v>273</v>
      </c>
      <c r="I23" s="161">
        <v>11</v>
      </c>
      <c r="J23" s="160"/>
      <c r="K23" s="161"/>
      <c r="L23" s="160"/>
      <c r="M23" s="161"/>
      <c r="N23" s="162"/>
      <c r="O23" s="278"/>
      <c r="P23" s="279">
        <f t="shared" si="0"/>
        <v>11</v>
      </c>
      <c r="Z23" s="72"/>
    </row>
    <row r="24" spans="1:26" ht="15" customHeight="1" x14ac:dyDescent="0.35">
      <c r="A24" s="270">
        <v>3080</v>
      </c>
      <c r="B24" s="301" t="s">
        <v>627</v>
      </c>
      <c r="C24" s="301" t="s">
        <v>187</v>
      </c>
      <c r="D24" s="296" t="s">
        <v>111</v>
      </c>
      <c r="E24" s="302">
        <v>41973</v>
      </c>
      <c r="F24" s="292" t="s">
        <v>77</v>
      </c>
      <c r="G24" s="227">
        <v>500</v>
      </c>
      <c r="H24" s="160" t="s">
        <v>273</v>
      </c>
      <c r="I24" s="161">
        <v>7</v>
      </c>
      <c r="J24" s="277" t="s">
        <v>273</v>
      </c>
      <c r="K24" s="275">
        <v>3</v>
      </c>
      <c r="L24" s="160" t="s">
        <v>273</v>
      </c>
      <c r="M24" s="161"/>
      <c r="N24" s="162"/>
      <c r="O24" s="278"/>
      <c r="P24" s="279">
        <f t="shared" si="0"/>
        <v>10</v>
      </c>
      <c r="Z24" s="72"/>
    </row>
    <row r="25" spans="1:26" ht="15" customHeight="1" x14ac:dyDescent="0.35">
      <c r="A25" s="280">
        <v>3028</v>
      </c>
      <c r="B25" s="289" t="s">
        <v>129</v>
      </c>
      <c r="C25" s="289" t="s">
        <v>130</v>
      </c>
      <c r="D25" s="290" t="s">
        <v>111</v>
      </c>
      <c r="E25" s="291">
        <v>41773</v>
      </c>
      <c r="F25" s="292" t="s">
        <v>13</v>
      </c>
      <c r="G25" s="293">
        <v>619</v>
      </c>
      <c r="H25" s="160" t="s">
        <v>273</v>
      </c>
      <c r="I25" s="161">
        <v>10</v>
      </c>
      <c r="J25" s="160"/>
      <c r="K25" s="161"/>
      <c r="L25" s="160" t="s">
        <v>273</v>
      </c>
      <c r="M25" s="161"/>
      <c r="N25" s="162"/>
      <c r="O25" s="278"/>
      <c r="P25" s="279">
        <f t="shared" si="0"/>
        <v>10</v>
      </c>
      <c r="Z25" s="72"/>
    </row>
    <row r="26" spans="1:26" ht="15" customHeight="1" x14ac:dyDescent="0.35">
      <c r="A26" s="280">
        <v>3043</v>
      </c>
      <c r="B26" s="289" t="s">
        <v>645</v>
      </c>
      <c r="C26" s="289" t="s">
        <v>48</v>
      </c>
      <c r="D26" s="290" t="s">
        <v>111</v>
      </c>
      <c r="E26" s="291">
        <v>41676</v>
      </c>
      <c r="F26" s="292" t="s">
        <v>13</v>
      </c>
      <c r="G26" s="293">
        <v>500</v>
      </c>
      <c r="H26" s="160" t="s">
        <v>273</v>
      </c>
      <c r="I26" s="161">
        <v>4</v>
      </c>
      <c r="J26" s="284" t="s">
        <v>273</v>
      </c>
      <c r="K26" s="161">
        <v>6</v>
      </c>
      <c r="L26" s="160"/>
      <c r="M26" s="161"/>
      <c r="N26" s="162"/>
      <c r="O26" s="278"/>
      <c r="P26" s="279">
        <f t="shared" si="0"/>
        <v>10</v>
      </c>
      <c r="Z26" s="72"/>
    </row>
    <row r="27" spans="1:26" ht="15" customHeight="1" x14ac:dyDescent="0.35">
      <c r="A27" s="270">
        <v>3123</v>
      </c>
      <c r="B27" s="295" t="s">
        <v>237</v>
      </c>
      <c r="C27" s="295" t="s">
        <v>238</v>
      </c>
      <c r="D27" s="296" t="s">
        <v>111</v>
      </c>
      <c r="E27" s="297">
        <v>41509</v>
      </c>
      <c r="F27" s="292" t="s">
        <v>9</v>
      </c>
      <c r="G27" s="227">
        <v>500</v>
      </c>
      <c r="H27" s="160"/>
      <c r="I27" s="161"/>
      <c r="J27" s="160" t="s">
        <v>273</v>
      </c>
      <c r="K27" s="161">
        <v>9</v>
      </c>
      <c r="L27" s="160" t="s">
        <v>273</v>
      </c>
      <c r="M27" s="161"/>
      <c r="N27" s="162"/>
      <c r="O27" s="278"/>
      <c r="P27" s="279">
        <f t="shared" si="0"/>
        <v>9</v>
      </c>
      <c r="Z27" s="72"/>
    </row>
    <row r="28" spans="1:26" ht="15" customHeight="1" x14ac:dyDescent="0.35">
      <c r="A28" s="280">
        <v>3010</v>
      </c>
      <c r="B28" s="289" t="s">
        <v>644</v>
      </c>
      <c r="C28" s="289" t="s">
        <v>63</v>
      </c>
      <c r="D28" s="290" t="s">
        <v>111</v>
      </c>
      <c r="E28" s="291">
        <v>41935</v>
      </c>
      <c r="F28" s="292" t="s">
        <v>13</v>
      </c>
      <c r="G28" s="293">
        <v>500</v>
      </c>
      <c r="H28" s="160" t="s">
        <v>273</v>
      </c>
      <c r="I28" s="161">
        <v>8</v>
      </c>
      <c r="J28" s="277"/>
      <c r="K28" s="275"/>
      <c r="L28" s="160"/>
      <c r="M28" s="161"/>
      <c r="N28" s="162"/>
      <c r="O28" s="278"/>
      <c r="P28" s="279">
        <f t="shared" si="0"/>
        <v>8</v>
      </c>
      <c r="Z28" s="72"/>
    </row>
    <row r="29" spans="1:26" ht="15" customHeight="1" x14ac:dyDescent="0.35">
      <c r="A29" s="303">
        <v>3139</v>
      </c>
      <c r="B29" s="155" t="s">
        <v>675</v>
      </c>
      <c r="C29" s="155" t="s">
        <v>95</v>
      </c>
      <c r="D29" s="290" t="s">
        <v>111</v>
      </c>
      <c r="E29" s="291">
        <v>41862</v>
      </c>
      <c r="F29" s="292" t="s">
        <v>66</v>
      </c>
      <c r="G29" s="300">
        <v>500</v>
      </c>
      <c r="H29" s="277" t="s">
        <v>273</v>
      </c>
      <c r="I29" s="275">
        <v>2</v>
      </c>
      <c r="J29" s="274" t="s">
        <v>273</v>
      </c>
      <c r="K29" s="304">
        <v>6</v>
      </c>
      <c r="L29" s="160" t="s">
        <v>273</v>
      </c>
      <c r="M29" s="161"/>
      <c r="N29" s="162"/>
      <c r="O29" s="278"/>
      <c r="P29" s="279">
        <f t="shared" si="0"/>
        <v>8</v>
      </c>
      <c r="Z29" s="72"/>
    </row>
    <row r="30" spans="1:26" ht="15" customHeight="1" x14ac:dyDescent="0.35">
      <c r="A30" s="280">
        <v>3022</v>
      </c>
      <c r="B30" s="298" t="s">
        <v>636</v>
      </c>
      <c r="C30" s="299" t="s">
        <v>320</v>
      </c>
      <c r="D30" s="290" t="s">
        <v>111</v>
      </c>
      <c r="E30" s="291">
        <v>41834</v>
      </c>
      <c r="F30" s="292" t="s">
        <v>79</v>
      </c>
      <c r="G30" s="300">
        <v>500</v>
      </c>
      <c r="H30" s="160" t="s">
        <v>273</v>
      </c>
      <c r="I30" s="161">
        <v>7</v>
      </c>
      <c r="J30" s="277" t="s">
        <v>273</v>
      </c>
      <c r="K30" s="304">
        <v>1</v>
      </c>
      <c r="L30" s="160"/>
      <c r="M30" s="161"/>
      <c r="N30" s="162"/>
      <c r="O30" s="278"/>
      <c r="P30" s="279">
        <f t="shared" si="0"/>
        <v>8</v>
      </c>
      <c r="Z30" s="72"/>
    </row>
    <row r="31" spans="1:26" ht="15" customHeight="1" x14ac:dyDescent="0.35">
      <c r="A31" s="280">
        <v>3050</v>
      </c>
      <c r="B31" s="289" t="s">
        <v>281</v>
      </c>
      <c r="C31" s="289" t="s">
        <v>629</v>
      </c>
      <c r="D31" s="290" t="s">
        <v>111</v>
      </c>
      <c r="E31" s="291">
        <v>41607</v>
      </c>
      <c r="F31" s="292" t="s">
        <v>13</v>
      </c>
      <c r="G31" s="293">
        <v>500</v>
      </c>
      <c r="H31" s="160" t="s">
        <v>273</v>
      </c>
      <c r="I31" s="161">
        <v>8</v>
      </c>
      <c r="J31" s="277"/>
      <c r="K31" s="275"/>
      <c r="L31" s="160"/>
      <c r="M31" s="161"/>
      <c r="N31" s="162"/>
      <c r="O31" s="278"/>
      <c r="P31" s="279">
        <f t="shared" si="0"/>
        <v>8</v>
      </c>
      <c r="Z31" s="72"/>
    </row>
    <row r="32" spans="1:26" ht="15" customHeight="1" x14ac:dyDescent="0.35">
      <c r="A32" s="280">
        <v>3068</v>
      </c>
      <c r="B32" s="298" t="s">
        <v>196</v>
      </c>
      <c r="C32" s="299" t="s">
        <v>142</v>
      </c>
      <c r="D32" s="290" t="s">
        <v>111</v>
      </c>
      <c r="E32" s="291">
        <v>41376</v>
      </c>
      <c r="F32" s="292" t="s">
        <v>79</v>
      </c>
      <c r="G32" s="300">
        <v>500</v>
      </c>
      <c r="H32" s="160" t="s">
        <v>273</v>
      </c>
      <c r="I32" s="161">
        <v>8</v>
      </c>
      <c r="J32" s="277"/>
      <c r="K32" s="275"/>
      <c r="L32" s="160"/>
      <c r="M32" s="161"/>
      <c r="N32" s="162"/>
      <c r="O32" s="278"/>
      <c r="P32" s="279">
        <f t="shared" si="0"/>
        <v>8</v>
      </c>
      <c r="Z32" s="72"/>
    </row>
    <row r="33" spans="1:26" ht="15" customHeight="1" x14ac:dyDescent="0.35">
      <c r="A33" s="280">
        <v>3071</v>
      </c>
      <c r="B33" s="289" t="s">
        <v>116</v>
      </c>
      <c r="C33" s="289" t="s">
        <v>255</v>
      </c>
      <c r="D33" s="290" t="s">
        <v>111</v>
      </c>
      <c r="E33" s="291">
        <v>41349</v>
      </c>
      <c r="F33" s="292" t="s">
        <v>13</v>
      </c>
      <c r="G33" s="293">
        <v>500</v>
      </c>
      <c r="H33" s="160" t="s">
        <v>273</v>
      </c>
      <c r="I33" s="161">
        <v>8</v>
      </c>
      <c r="J33" s="277"/>
      <c r="K33" s="275"/>
      <c r="L33" s="160"/>
      <c r="M33" s="161"/>
      <c r="N33" s="162"/>
      <c r="O33" s="278"/>
      <c r="P33" s="279">
        <f t="shared" si="0"/>
        <v>8</v>
      </c>
      <c r="Z33" s="72"/>
    </row>
    <row r="34" spans="1:26" ht="15" customHeight="1" x14ac:dyDescent="0.35">
      <c r="A34" s="280">
        <v>3005</v>
      </c>
      <c r="B34" s="289" t="s">
        <v>332</v>
      </c>
      <c r="C34" s="289" t="s">
        <v>684</v>
      </c>
      <c r="D34" s="290" t="s">
        <v>111</v>
      </c>
      <c r="E34" s="291">
        <v>41979</v>
      </c>
      <c r="F34" s="292" t="s">
        <v>13</v>
      </c>
      <c r="G34" s="293">
        <v>500</v>
      </c>
      <c r="H34" s="160" t="s">
        <v>273</v>
      </c>
      <c r="I34" s="161">
        <v>7</v>
      </c>
      <c r="J34" s="160"/>
      <c r="K34" s="161"/>
      <c r="L34" s="160"/>
      <c r="M34" s="161"/>
      <c r="N34" s="162"/>
      <c r="O34" s="278"/>
      <c r="P34" s="279">
        <f t="shared" si="0"/>
        <v>7</v>
      </c>
      <c r="Z34" s="72"/>
    </row>
    <row r="35" spans="1:26" ht="15" customHeight="1" x14ac:dyDescent="0.35">
      <c r="A35" s="303">
        <v>3138</v>
      </c>
      <c r="B35" s="305" t="s">
        <v>648</v>
      </c>
      <c r="C35" s="305" t="s">
        <v>70</v>
      </c>
      <c r="D35" s="290" t="s">
        <v>111</v>
      </c>
      <c r="E35" s="291">
        <v>41862</v>
      </c>
      <c r="F35" s="292" t="s">
        <v>65</v>
      </c>
      <c r="G35" s="300">
        <v>500</v>
      </c>
      <c r="H35" s="160" t="s">
        <v>273</v>
      </c>
      <c r="I35" s="161">
        <v>7</v>
      </c>
      <c r="J35" s="160"/>
      <c r="K35" s="161"/>
      <c r="L35" s="160" t="s">
        <v>273</v>
      </c>
      <c r="M35" s="161"/>
      <c r="N35" s="162"/>
      <c r="O35" s="278"/>
      <c r="P35" s="279">
        <f t="shared" si="0"/>
        <v>7</v>
      </c>
      <c r="Z35" s="72"/>
    </row>
    <row r="36" spans="1:26" ht="15" customHeight="1" x14ac:dyDescent="0.35">
      <c r="A36" s="303">
        <v>3137</v>
      </c>
      <c r="B36" s="306" t="s">
        <v>686</v>
      </c>
      <c r="C36" s="307" t="s">
        <v>60</v>
      </c>
      <c r="D36" s="290" t="s">
        <v>111</v>
      </c>
      <c r="E36" s="291">
        <v>41862</v>
      </c>
      <c r="F36" s="292" t="s">
        <v>79</v>
      </c>
      <c r="G36" s="300">
        <v>500</v>
      </c>
      <c r="H36" s="160" t="s">
        <v>273</v>
      </c>
      <c r="I36" s="161">
        <v>7</v>
      </c>
      <c r="J36" s="160"/>
      <c r="K36" s="161"/>
      <c r="L36" s="160"/>
      <c r="M36" s="161"/>
      <c r="N36" s="162"/>
      <c r="O36" s="278"/>
      <c r="P36" s="279">
        <f t="shared" si="0"/>
        <v>7</v>
      </c>
      <c r="Z36" s="72"/>
    </row>
    <row r="37" spans="1:26" ht="15" customHeight="1" x14ac:dyDescent="0.35">
      <c r="A37" s="280">
        <v>3020</v>
      </c>
      <c r="B37" s="289" t="s">
        <v>744</v>
      </c>
      <c r="C37" s="289" t="s">
        <v>94</v>
      </c>
      <c r="D37" s="290" t="s">
        <v>111</v>
      </c>
      <c r="E37" s="291">
        <v>41862</v>
      </c>
      <c r="F37" s="292" t="s">
        <v>13</v>
      </c>
      <c r="G37" s="293">
        <v>500</v>
      </c>
      <c r="H37" s="160" t="s">
        <v>273</v>
      </c>
      <c r="I37" s="161">
        <v>7</v>
      </c>
      <c r="J37" s="160"/>
      <c r="K37" s="161"/>
      <c r="L37" s="160"/>
      <c r="M37" s="161"/>
      <c r="N37" s="162"/>
      <c r="O37" s="278"/>
      <c r="P37" s="279">
        <f t="shared" si="0"/>
        <v>7</v>
      </c>
      <c r="Z37" s="72"/>
    </row>
    <row r="38" spans="1:26" ht="15" customHeight="1" x14ac:dyDescent="0.35">
      <c r="A38" s="270">
        <v>3114</v>
      </c>
      <c r="B38" s="295" t="s">
        <v>217</v>
      </c>
      <c r="C38" s="295" t="s">
        <v>218</v>
      </c>
      <c r="D38" s="296" t="s">
        <v>111</v>
      </c>
      <c r="E38" s="297">
        <v>41730</v>
      </c>
      <c r="F38" s="292" t="s">
        <v>9</v>
      </c>
      <c r="G38" s="227">
        <v>576</v>
      </c>
      <c r="H38" s="160"/>
      <c r="I38" s="161"/>
      <c r="J38" s="277" t="s">
        <v>273</v>
      </c>
      <c r="K38" s="275">
        <v>7</v>
      </c>
      <c r="L38" s="160" t="s">
        <v>273</v>
      </c>
      <c r="M38" s="161"/>
      <c r="N38" s="162"/>
      <c r="O38" s="278"/>
      <c r="P38" s="279">
        <f t="shared" si="0"/>
        <v>7</v>
      </c>
      <c r="Z38" s="72"/>
    </row>
    <row r="39" spans="1:26" ht="15" customHeight="1" x14ac:dyDescent="0.35">
      <c r="A39" s="270">
        <v>3097</v>
      </c>
      <c r="B39" s="301" t="s">
        <v>720</v>
      </c>
      <c r="C39" s="301" t="s">
        <v>721</v>
      </c>
      <c r="D39" s="296" t="s">
        <v>111</v>
      </c>
      <c r="E39" s="308">
        <v>41639</v>
      </c>
      <c r="F39" s="292" t="s">
        <v>10</v>
      </c>
      <c r="G39" s="227">
        <v>500</v>
      </c>
      <c r="H39" s="160" t="s">
        <v>273</v>
      </c>
      <c r="I39" s="161">
        <v>7</v>
      </c>
      <c r="J39" s="160"/>
      <c r="K39" s="161"/>
      <c r="L39" s="160"/>
      <c r="M39" s="161"/>
      <c r="N39" s="162"/>
      <c r="O39" s="278"/>
      <c r="P39" s="279">
        <f t="shared" si="0"/>
        <v>7</v>
      </c>
      <c r="Z39" s="72"/>
    </row>
    <row r="40" spans="1:26" ht="15" customHeight="1" x14ac:dyDescent="0.35">
      <c r="A40" s="270">
        <v>3096</v>
      </c>
      <c r="B40" s="301" t="s">
        <v>279</v>
      </c>
      <c r="C40" s="301" t="s">
        <v>429</v>
      </c>
      <c r="D40" s="296" t="s">
        <v>110</v>
      </c>
      <c r="E40" s="308">
        <v>41620</v>
      </c>
      <c r="F40" s="292" t="s">
        <v>10</v>
      </c>
      <c r="G40" s="227">
        <v>575</v>
      </c>
      <c r="H40" s="160"/>
      <c r="I40" s="161"/>
      <c r="J40" s="274" t="s">
        <v>273</v>
      </c>
      <c r="K40" s="275">
        <v>7</v>
      </c>
      <c r="L40" s="160" t="s">
        <v>273</v>
      </c>
      <c r="M40" s="161"/>
      <c r="N40" s="162"/>
      <c r="O40" s="278"/>
      <c r="P40" s="279">
        <f t="shared" ref="P40:P71" si="1">SUM(I40:O40)</f>
        <v>7</v>
      </c>
      <c r="Z40" s="72"/>
    </row>
    <row r="41" spans="1:26" ht="15" customHeight="1" x14ac:dyDescent="0.35">
      <c r="A41" s="280">
        <v>3055</v>
      </c>
      <c r="B41" s="289" t="s">
        <v>634</v>
      </c>
      <c r="C41" s="289" t="s">
        <v>635</v>
      </c>
      <c r="D41" s="290" t="s">
        <v>111</v>
      </c>
      <c r="E41" s="291">
        <v>41482</v>
      </c>
      <c r="F41" s="292" t="s">
        <v>13</v>
      </c>
      <c r="G41" s="293">
        <v>500</v>
      </c>
      <c r="H41" s="160" t="s">
        <v>273</v>
      </c>
      <c r="I41" s="161">
        <v>7</v>
      </c>
      <c r="J41" s="277"/>
      <c r="K41" s="275"/>
      <c r="L41" s="160"/>
      <c r="M41" s="161"/>
      <c r="N41" s="162"/>
      <c r="O41" s="278"/>
      <c r="P41" s="279">
        <f t="shared" si="1"/>
        <v>7</v>
      </c>
      <c r="Z41" s="72"/>
    </row>
    <row r="42" spans="1:26" ht="15" customHeight="1" x14ac:dyDescent="0.35">
      <c r="A42" s="280">
        <v>3134</v>
      </c>
      <c r="B42" s="299" t="s">
        <v>180</v>
      </c>
      <c r="C42" s="299" t="s">
        <v>98</v>
      </c>
      <c r="D42" s="290" t="s">
        <v>111</v>
      </c>
      <c r="E42" s="309">
        <v>41455</v>
      </c>
      <c r="F42" s="292" t="s">
        <v>294</v>
      </c>
      <c r="G42" s="227">
        <v>500</v>
      </c>
      <c r="H42" s="160" t="s">
        <v>273</v>
      </c>
      <c r="I42" s="161">
        <v>7</v>
      </c>
      <c r="J42" s="160"/>
      <c r="K42" s="161"/>
      <c r="L42" s="160"/>
      <c r="M42" s="161"/>
      <c r="N42" s="162"/>
      <c r="O42" s="278"/>
      <c r="P42" s="279">
        <f t="shared" si="1"/>
        <v>7</v>
      </c>
      <c r="Z42" s="72"/>
    </row>
    <row r="43" spans="1:26" ht="15" customHeight="1" x14ac:dyDescent="0.35">
      <c r="A43" s="270">
        <v>3112</v>
      </c>
      <c r="B43" s="295" t="s">
        <v>671</v>
      </c>
      <c r="C43" s="295" t="s">
        <v>672</v>
      </c>
      <c r="D43" s="296" t="s">
        <v>111</v>
      </c>
      <c r="E43" s="297">
        <v>41454</v>
      </c>
      <c r="F43" s="292" t="s">
        <v>9</v>
      </c>
      <c r="G43" s="227">
        <v>500</v>
      </c>
      <c r="H43" s="160"/>
      <c r="I43" s="161"/>
      <c r="J43" s="277" t="s">
        <v>273</v>
      </c>
      <c r="K43" s="275">
        <v>7</v>
      </c>
      <c r="L43" s="160"/>
      <c r="M43" s="161"/>
      <c r="N43" s="162"/>
      <c r="O43" s="278"/>
      <c r="P43" s="279">
        <f t="shared" si="1"/>
        <v>7</v>
      </c>
      <c r="Z43" s="72"/>
    </row>
    <row r="44" spans="1:26" ht="15" customHeight="1" x14ac:dyDescent="0.35">
      <c r="A44" s="270">
        <v>3098</v>
      </c>
      <c r="B44" s="301" t="s">
        <v>667</v>
      </c>
      <c r="C44" s="301" t="s">
        <v>582</v>
      </c>
      <c r="D44" s="296" t="s">
        <v>111</v>
      </c>
      <c r="E44" s="308">
        <v>41280</v>
      </c>
      <c r="F44" s="292" t="s">
        <v>10</v>
      </c>
      <c r="G44" s="227">
        <v>500</v>
      </c>
      <c r="H44" s="160"/>
      <c r="I44" s="161"/>
      <c r="J44" s="284" t="s">
        <v>273</v>
      </c>
      <c r="K44" s="161">
        <v>7</v>
      </c>
      <c r="L44" s="160"/>
      <c r="M44" s="161"/>
      <c r="N44" s="162"/>
      <c r="O44" s="278"/>
      <c r="P44" s="279">
        <f t="shared" si="1"/>
        <v>7</v>
      </c>
      <c r="Z44" s="72"/>
    </row>
    <row r="45" spans="1:26" ht="15" customHeight="1" x14ac:dyDescent="0.35">
      <c r="A45" s="280">
        <v>3132</v>
      </c>
      <c r="B45" s="310" t="s">
        <v>177</v>
      </c>
      <c r="C45" s="299" t="s">
        <v>178</v>
      </c>
      <c r="D45" s="290" t="s">
        <v>111</v>
      </c>
      <c r="E45" s="311"/>
      <c r="F45" s="292" t="s">
        <v>294</v>
      </c>
      <c r="G45" s="227">
        <v>500</v>
      </c>
      <c r="H45" s="160" t="s">
        <v>273</v>
      </c>
      <c r="I45" s="161">
        <v>7</v>
      </c>
      <c r="J45" s="160"/>
      <c r="K45" s="161"/>
      <c r="L45" s="160"/>
      <c r="M45" s="161"/>
      <c r="N45" s="162"/>
      <c r="O45" s="278"/>
      <c r="P45" s="279">
        <f t="shared" si="1"/>
        <v>7</v>
      </c>
      <c r="Z45" s="72"/>
    </row>
    <row r="46" spans="1:26" ht="15" customHeight="1" x14ac:dyDescent="0.35">
      <c r="A46" s="280">
        <v>3006</v>
      </c>
      <c r="B46" s="289" t="s">
        <v>253</v>
      </c>
      <c r="C46" s="289" t="s">
        <v>678</v>
      </c>
      <c r="D46" s="290" t="s">
        <v>111</v>
      </c>
      <c r="E46" s="291">
        <v>41969</v>
      </c>
      <c r="F46" s="292" t="s">
        <v>13</v>
      </c>
      <c r="G46" s="293">
        <v>500</v>
      </c>
      <c r="H46" s="160"/>
      <c r="I46" s="161"/>
      <c r="J46" s="160" t="s">
        <v>273</v>
      </c>
      <c r="K46" s="161">
        <v>6</v>
      </c>
      <c r="L46" s="160"/>
      <c r="M46" s="161"/>
      <c r="N46" s="162"/>
      <c r="O46" s="278"/>
      <c r="P46" s="279">
        <f t="shared" si="1"/>
        <v>6</v>
      </c>
      <c r="Z46" s="72"/>
    </row>
    <row r="47" spans="1:26" ht="15" customHeight="1" x14ac:dyDescent="0.35">
      <c r="A47" s="270">
        <v>3131</v>
      </c>
      <c r="B47" s="312" t="s">
        <v>160</v>
      </c>
      <c r="C47" s="312" t="s">
        <v>85</v>
      </c>
      <c r="D47" s="290" t="s">
        <v>111</v>
      </c>
      <c r="E47" s="313">
        <v>41627</v>
      </c>
      <c r="F47" s="314" t="s">
        <v>10</v>
      </c>
      <c r="G47" s="300">
        <v>500</v>
      </c>
      <c r="H47" s="160"/>
      <c r="I47" s="161"/>
      <c r="J47" s="284" t="s">
        <v>273</v>
      </c>
      <c r="K47" s="161">
        <v>6</v>
      </c>
      <c r="L47" s="160" t="s">
        <v>273</v>
      </c>
      <c r="M47" s="161"/>
      <c r="N47" s="162"/>
      <c r="O47" s="278"/>
      <c r="P47" s="279">
        <f t="shared" si="1"/>
        <v>6</v>
      </c>
      <c r="Z47" s="72"/>
    </row>
    <row r="48" spans="1:26" ht="15" customHeight="1" x14ac:dyDescent="0.35">
      <c r="A48" s="280">
        <v>3070</v>
      </c>
      <c r="B48" s="289" t="s">
        <v>660</v>
      </c>
      <c r="C48" s="289" t="s">
        <v>661</v>
      </c>
      <c r="D48" s="290" t="s">
        <v>111</v>
      </c>
      <c r="E48" s="291">
        <v>41371</v>
      </c>
      <c r="F48" s="292" t="s">
        <v>13</v>
      </c>
      <c r="G48" s="293">
        <v>500</v>
      </c>
      <c r="H48" s="160"/>
      <c r="I48" s="161"/>
      <c r="J48" s="160" t="s">
        <v>273</v>
      </c>
      <c r="K48" s="161">
        <v>6</v>
      </c>
      <c r="L48" s="160" t="s">
        <v>273</v>
      </c>
      <c r="M48" s="161"/>
      <c r="N48" s="162"/>
      <c r="O48" s="278"/>
      <c r="P48" s="279">
        <f t="shared" si="1"/>
        <v>6</v>
      </c>
      <c r="Z48" s="72"/>
    </row>
    <row r="49" spans="1:26" ht="15" customHeight="1" x14ac:dyDescent="0.35">
      <c r="A49" s="280">
        <v>3075</v>
      </c>
      <c r="B49" s="289" t="s">
        <v>654</v>
      </c>
      <c r="C49" s="289" t="s">
        <v>70</v>
      </c>
      <c r="D49" s="290" t="s">
        <v>111</v>
      </c>
      <c r="E49" s="291">
        <v>41313</v>
      </c>
      <c r="F49" s="292" t="s">
        <v>13</v>
      </c>
      <c r="G49" s="293">
        <v>500</v>
      </c>
      <c r="H49" s="160" t="s">
        <v>273</v>
      </c>
      <c r="I49" s="161">
        <v>2</v>
      </c>
      <c r="J49" s="284" t="s">
        <v>273</v>
      </c>
      <c r="K49" s="161">
        <v>4</v>
      </c>
      <c r="L49" s="160" t="s">
        <v>273</v>
      </c>
      <c r="M49" s="161"/>
      <c r="N49" s="162"/>
      <c r="O49" s="278"/>
      <c r="P49" s="279">
        <f t="shared" si="1"/>
        <v>6</v>
      </c>
      <c r="Z49" s="72"/>
    </row>
    <row r="50" spans="1:26" ht="15" customHeight="1" x14ac:dyDescent="0.35">
      <c r="A50" s="280">
        <v>3011</v>
      </c>
      <c r="B50" s="306" t="s">
        <v>334</v>
      </c>
      <c r="C50" s="306" t="s">
        <v>377</v>
      </c>
      <c r="D50" s="290" t="s">
        <v>111</v>
      </c>
      <c r="E50" s="291">
        <v>41927</v>
      </c>
      <c r="F50" s="315" t="s">
        <v>66</v>
      </c>
      <c r="G50" s="316">
        <v>500</v>
      </c>
      <c r="H50" s="160" t="s">
        <v>273</v>
      </c>
      <c r="I50" s="161">
        <v>5</v>
      </c>
      <c r="J50" s="284"/>
      <c r="K50" s="161"/>
      <c r="L50" s="160" t="s">
        <v>273</v>
      </c>
      <c r="M50" s="161"/>
      <c r="N50" s="162"/>
      <c r="O50" s="278"/>
      <c r="P50" s="279">
        <f t="shared" si="1"/>
        <v>5</v>
      </c>
      <c r="Z50" s="72"/>
    </row>
    <row r="51" spans="1:26" ht="15" customHeight="1" x14ac:dyDescent="0.35">
      <c r="A51" s="270">
        <v>3088</v>
      </c>
      <c r="B51" s="301" t="s">
        <v>258</v>
      </c>
      <c r="C51" s="301" t="s">
        <v>844</v>
      </c>
      <c r="D51" s="296" t="s">
        <v>111</v>
      </c>
      <c r="E51" s="302">
        <v>41855</v>
      </c>
      <c r="F51" s="292" t="s">
        <v>77</v>
      </c>
      <c r="G51" s="227">
        <v>500</v>
      </c>
      <c r="H51" s="160" t="s">
        <v>273</v>
      </c>
      <c r="I51" s="161">
        <v>4</v>
      </c>
      <c r="J51" s="160"/>
      <c r="K51" s="161"/>
      <c r="L51" s="160"/>
      <c r="M51" s="161"/>
      <c r="N51" s="162"/>
      <c r="O51" s="278"/>
      <c r="P51" s="279">
        <f t="shared" si="1"/>
        <v>4</v>
      </c>
      <c r="Z51" s="72"/>
    </row>
    <row r="52" spans="1:26" ht="15" customHeight="1" x14ac:dyDescent="0.35">
      <c r="A52" s="280">
        <v>3023</v>
      </c>
      <c r="B52" s="317" t="s">
        <v>695</v>
      </c>
      <c r="C52" s="318" t="s">
        <v>842</v>
      </c>
      <c r="D52" s="290" t="s">
        <v>111</v>
      </c>
      <c r="E52" s="291">
        <v>41828</v>
      </c>
      <c r="F52" s="292" t="s">
        <v>79</v>
      </c>
      <c r="G52" s="300">
        <v>500</v>
      </c>
      <c r="H52" s="160" t="s">
        <v>273</v>
      </c>
      <c r="I52" s="161">
        <v>3</v>
      </c>
      <c r="J52" s="160" t="s">
        <v>273</v>
      </c>
      <c r="K52" s="161">
        <v>1</v>
      </c>
      <c r="L52" s="160"/>
      <c r="M52" s="161"/>
      <c r="N52" s="162"/>
      <c r="O52" s="278"/>
      <c r="P52" s="279">
        <f t="shared" si="1"/>
        <v>4</v>
      </c>
      <c r="Z52" s="72"/>
    </row>
    <row r="53" spans="1:26" ht="15" customHeight="1" x14ac:dyDescent="0.35">
      <c r="A53" s="280">
        <v>3031</v>
      </c>
      <c r="B53" s="306" t="s">
        <v>698</v>
      </c>
      <c r="C53" s="319" t="s">
        <v>82</v>
      </c>
      <c r="D53" s="290" t="s">
        <v>111</v>
      </c>
      <c r="E53" s="291">
        <v>41770</v>
      </c>
      <c r="F53" s="292" t="s">
        <v>294</v>
      </c>
      <c r="G53" s="293">
        <v>500</v>
      </c>
      <c r="H53" s="160" t="s">
        <v>273</v>
      </c>
      <c r="I53" s="161">
        <v>2</v>
      </c>
      <c r="J53" s="284" t="s">
        <v>273</v>
      </c>
      <c r="K53" s="161">
        <v>2</v>
      </c>
      <c r="L53" s="160" t="s">
        <v>273</v>
      </c>
      <c r="M53" s="161"/>
      <c r="N53" s="162"/>
      <c r="O53" s="278"/>
      <c r="P53" s="279">
        <f t="shared" si="1"/>
        <v>4</v>
      </c>
      <c r="Z53" s="72"/>
    </row>
    <row r="54" spans="1:26" ht="15" customHeight="1" x14ac:dyDescent="0.35">
      <c r="A54" s="270">
        <v>3085</v>
      </c>
      <c r="B54" s="301" t="s">
        <v>676</v>
      </c>
      <c r="C54" s="301" t="s">
        <v>677</v>
      </c>
      <c r="D54" s="296" t="s">
        <v>111</v>
      </c>
      <c r="E54" s="320">
        <v>41938</v>
      </c>
      <c r="F54" s="292" t="s">
        <v>77</v>
      </c>
      <c r="G54" s="227">
        <v>500</v>
      </c>
      <c r="H54" s="160" t="s">
        <v>273</v>
      </c>
      <c r="I54" s="161">
        <v>3</v>
      </c>
      <c r="J54" s="277"/>
      <c r="K54" s="275"/>
      <c r="L54" s="160"/>
      <c r="M54" s="161"/>
      <c r="N54" s="162"/>
      <c r="O54" s="278"/>
      <c r="P54" s="279">
        <f t="shared" si="1"/>
        <v>3</v>
      </c>
      <c r="Z54" s="72"/>
    </row>
    <row r="55" spans="1:26" ht="15" customHeight="1" x14ac:dyDescent="0.35">
      <c r="A55" s="270">
        <v>3083</v>
      </c>
      <c r="B55" s="301" t="s">
        <v>655</v>
      </c>
      <c r="C55" s="301" t="s">
        <v>93</v>
      </c>
      <c r="D55" s="296" t="s">
        <v>111</v>
      </c>
      <c r="E55" s="302">
        <v>41691</v>
      </c>
      <c r="F55" s="292" t="s">
        <v>77</v>
      </c>
      <c r="G55" s="227">
        <v>500</v>
      </c>
      <c r="H55" s="160" t="s">
        <v>273</v>
      </c>
      <c r="I55" s="161">
        <v>3</v>
      </c>
      <c r="J55" s="277"/>
      <c r="K55" s="275"/>
      <c r="L55" s="160"/>
      <c r="M55" s="161"/>
      <c r="N55" s="162"/>
      <c r="O55" s="278"/>
      <c r="P55" s="279">
        <f t="shared" si="1"/>
        <v>3</v>
      </c>
      <c r="Z55" s="72"/>
    </row>
    <row r="56" spans="1:26" ht="15" customHeight="1" x14ac:dyDescent="0.35">
      <c r="A56" s="280">
        <v>3044</v>
      </c>
      <c r="B56" s="306" t="s">
        <v>547</v>
      </c>
      <c r="C56" s="306" t="s">
        <v>70</v>
      </c>
      <c r="D56" s="290" t="s">
        <v>111</v>
      </c>
      <c r="E56" s="291">
        <v>41660</v>
      </c>
      <c r="F56" s="315" t="s">
        <v>66</v>
      </c>
      <c r="G56" s="316">
        <v>500</v>
      </c>
      <c r="H56" s="160" t="s">
        <v>273</v>
      </c>
      <c r="I56" s="161">
        <v>3</v>
      </c>
      <c r="J56" s="284"/>
      <c r="K56" s="161"/>
      <c r="L56" s="160" t="s">
        <v>273</v>
      </c>
      <c r="M56" s="161"/>
      <c r="N56" s="162"/>
      <c r="O56" s="278"/>
      <c r="P56" s="279">
        <f t="shared" si="1"/>
        <v>3</v>
      </c>
      <c r="Z56" s="72"/>
    </row>
    <row r="57" spans="1:26" ht="15" customHeight="1" x14ac:dyDescent="0.35">
      <c r="A57" s="280">
        <v>3065</v>
      </c>
      <c r="B57" s="289" t="s">
        <v>725</v>
      </c>
      <c r="C57" s="289" t="s">
        <v>726</v>
      </c>
      <c r="D57" s="290" t="s">
        <v>111</v>
      </c>
      <c r="E57" s="291">
        <v>41404</v>
      </c>
      <c r="F57" s="292" t="s">
        <v>13</v>
      </c>
      <c r="G57" s="293">
        <v>500</v>
      </c>
      <c r="H57" s="160" t="s">
        <v>273</v>
      </c>
      <c r="I57" s="161">
        <v>1</v>
      </c>
      <c r="J57" s="284" t="s">
        <v>273</v>
      </c>
      <c r="K57" s="161">
        <v>2</v>
      </c>
      <c r="L57" s="160" t="s">
        <v>273</v>
      </c>
      <c r="M57" s="161"/>
      <c r="N57" s="162"/>
      <c r="O57" s="278"/>
      <c r="P57" s="279">
        <f t="shared" si="1"/>
        <v>3</v>
      </c>
      <c r="Z57" s="72"/>
    </row>
    <row r="58" spans="1:26" ht="15" customHeight="1" x14ac:dyDescent="0.35">
      <c r="A58" s="303">
        <v>3140</v>
      </c>
      <c r="B58" s="321" t="s">
        <v>563</v>
      </c>
      <c r="C58" s="321" t="s">
        <v>840</v>
      </c>
      <c r="D58" s="290" t="s">
        <v>111</v>
      </c>
      <c r="E58" s="311"/>
      <c r="F58" s="292" t="s">
        <v>13</v>
      </c>
      <c r="G58" s="322"/>
      <c r="H58" s="160"/>
      <c r="I58" s="161"/>
      <c r="J58" s="160" t="s">
        <v>273</v>
      </c>
      <c r="K58" s="161">
        <v>3</v>
      </c>
      <c r="L58" s="160"/>
      <c r="M58" s="161"/>
      <c r="N58" s="162"/>
      <c r="O58" s="278"/>
      <c r="P58" s="279">
        <f t="shared" si="1"/>
        <v>3</v>
      </c>
      <c r="Z58" s="72"/>
    </row>
    <row r="59" spans="1:26" ht="15" customHeight="1" x14ac:dyDescent="0.35">
      <c r="A59" s="280">
        <v>3007</v>
      </c>
      <c r="B59" s="306" t="s">
        <v>680</v>
      </c>
      <c r="C59" s="319" t="s">
        <v>681</v>
      </c>
      <c r="D59" s="290" t="s">
        <v>111</v>
      </c>
      <c r="E59" s="291">
        <v>41956</v>
      </c>
      <c r="F59" s="292" t="s">
        <v>294</v>
      </c>
      <c r="G59" s="293">
        <v>500</v>
      </c>
      <c r="H59" s="160" t="s">
        <v>273</v>
      </c>
      <c r="I59" s="161">
        <v>2</v>
      </c>
      <c r="J59" s="160"/>
      <c r="K59" s="161"/>
      <c r="L59" s="160"/>
      <c r="M59" s="161"/>
      <c r="N59" s="162"/>
      <c r="O59" s="278"/>
      <c r="P59" s="279">
        <f t="shared" si="1"/>
        <v>2</v>
      </c>
      <c r="Z59" s="72"/>
    </row>
    <row r="60" spans="1:26" ht="15" customHeight="1" x14ac:dyDescent="0.35">
      <c r="A60" s="280">
        <v>3014</v>
      </c>
      <c r="B60" s="294" t="s">
        <v>207</v>
      </c>
      <c r="C60" s="294" t="s">
        <v>651</v>
      </c>
      <c r="D60" s="290" t="s">
        <v>111</v>
      </c>
      <c r="E60" s="309">
        <v>41908</v>
      </c>
      <c r="F60" s="296" t="s">
        <v>12</v>
      </c>
      <c r="G60" s="293">
        <v>500</v>
      </c>
      <c r="H60" s="160" t="s">
        <v>273</v>
      </c>
      <c r="I60" s="161">
        <v>1</v>
      </c>
      <c r="J60" s="160" t="s">
        <v>273</v>
      </c>
      <c r="K60" s="161">
        <v>1</v>
      </c>
      <c r="L60" s="160"/>
      <c r="M60" s="161"/>
      <c r="N60" s="162"/>
      <c r="O60" s="278"/>
      <c r="P60" s="279">
        <f t="shared" si="1"/>
        <v>2</v>
      </c>
      <c r="Z60" s="72"/>
    </row>
    <row r="61" spans="1:26" ht="15" customHeight="1" x14ac:dyDescent="0.35">
      <c r="A61" s="303">
        <v>3136</v>
      </c>
      <c r="B61" s="307" t="s">
        <v>717</v>
      </c>
      <c r="C61" s="307" t="s">
        <v>62</v>
      </c>
      <c r="D61" s="290" t="s">
        <v>111</v>
      </c>
      <c r="E61" s="291">
        <v>41862</v>
      </c>
      <c r="F61" s="292" t="s">
        <v>79</v>
      </c>
      <c r="G61" s="300">
        <v>500</v>
      </c>
      <c r="H61" s="160" t="s">
        <v>273</v>
      </c>
      <c r="I61" s="161">
        <v>2</v>
      </c>
      <c r="J61" s="160"/>
      <c r="K61" s="161"/>
      <c r="L61" s="160"/>
      <c r="M61" s="161"/>
      <c r="N61" s="162"/>
      <c r="O61" s="278"/>
      <c r="P61" s="279">
        <f t="shared" si="1"/>
        <v>2</v>
      </c>
      <c r="Z61" s="72"/>
    </row>
    <row r="62" spans="1:26" ht="15" customHeight="1" x14ac:dyDescent="0.35">
      <c r="A62" s="280">
        <v>3034</v>
      </c>
      <c r="B62" s="306" t="s">
        <v>690</v>
      </c>
      <c r="C62" s="306" t="s">
        <v>97</v>
      </c>
      <c r="D62" s="290" t="s">
        <v>111</v>
      </c>
      <c r="E62" s="291">
        <v>41742</v>
      </c>
      <c r="F62" s="315" t="s">
        <v>66</v>
      </c>
      <c r="G62" s="316">
        <v>500</v>
      </c>
      <c r="H62" s="160" t="s">
        <v>273</v>
      </c>
      <c r="I62" s="161">
        <v>1</v>
      </c>
      <c r="J62" s="284" t="s">
        <v>273</v>
      </c>
      <c r="K62" s="161">
        <v>1</v>
      </c>
      <c r="L62" s="160" t="s">
        <v>273</v>
      </c>
      <c r="M62" s="161"/>
      <c r="N62" s="162"/>
      <c r="O62" s="278"/>
      <c r="P62" s="279">
        <f t="shared" si="1"/>
        <v>2</v>
      </c>
      <c r="Z62" s="72"/>
    </row>
    <row r="63" spans="1:26" ht="15" customHeight="1" x14ac:dyDescent="0.35">
      <c r="A63" s="280">
        <v>3048</v>
      </c>
      <c r="B63" s="306" t="s">
        <v>738</v>
      </c>
      <c r="C63" s="319" t="s">
        <v>89</v>
      </c>
      <c r="D63" s="290" t="s">
        <v>111</v>
      </c>
      <c r="E63" s="291">
        <v>41651</v>
      </c>
      <c r="F63" s="292" t="s">
        <v>294</v>
      </c>
      <c r="G63" s="293">
        <v>500</v>
      </c>
      <c r="H63" s="160" t="s">
        <v>273</v>
      </c>
      <c r="I63" s="161">
        <v>1</v>
      </c>
      <c r="J63" s="284" t="s">
        <v>273</v>
      </c>
      <c r="K63" s="161">
        <v>1</v>
      </c>
      <c r="L63" s="160" t="s">
        <v>273</v>
      </c>
      <c r="M63" s="161"/>
      <c r="N63" s="162"/>
      <c r="O63" s="278"/>
      <c r="P63" s="279">
        <f t="shared" si="1"/>
        <v>2</v>
      </c>
      <c r="Z63" s="72"/>
    </row>
    <row r="64" spans="1:26" ht="15" customHeight="1" x14ac:dyDescent="0.35">
      <c r="A64" s="270">
        <v>3130</v>
      </c>
      <c r="B64" s="299" t="s">
        <v>668</v>
      </c>
      <c r="C64" s="299" t="s">
        <v>669</v>
      </c>
      <c r="D64" s="296" t="s">
        <v>111</v>
      </c>
      <c r="E64" s="323">
        <v>41640</v>
      </c>
      <c r="F64" s="292" t="s">
        <v>11</v>
      </c>
      <c r="G64" s="300">
        <v>500</v>
      </c>
      <c r="H64" s="160"/>
      <c r="I64" s="161"/>
      <c r="J64" s="274" t="s">
        <v>273</v>
      </c>
      <c r="K64" s="275">
        <v>2</v>
      </c>
      <c r="L64" s="160"/>
      <c r="M64" s="161"/>
      <c r="N64" s="162"/>
      <c r="O64" s="278"/>
      <c r="P64" s="279">
        <f t="shared" si="1"/>
        <v>2</v>
      </c>
      <c r="Z64" s="72"/>
    </row>
    <row r="65" spans="1:26" ht="15" customHeight="1" x14ac:dyDescent="0.35">
      <c r="A65" s="270">
        <v>3086</v>
      </c>
      <c r="B65" s="301" t="s">
        <v>704</v>
      </c>
      <c r="C65" s="301" t="s">
        <v>248</v>
      </c>
      <c r="D65" s="296" t="s">
        <v>111</v>
      </c>
      <c r="E65" s="302">
        <v>41488</v>
      </c>
      <c r="F65" s="292" t="s">
        <v>77</v>
      </c>
      <c r="G65" s="227">
        <v>500</v>
      </c>
      <c r="H65" s="160" t="s">
        <v>273</v>
      </c>
      <c r="I65" s="161">
        <v>2</v>
      </c>
      <c r="J65" s="160"/>
      <c r="K65" s="161"/>
      <c r="L65" s="160"/>
      <c r="M65" s="161"/>
      <c r="N65" s="162"/>
      <c r="O65" s="278"/>
      <c r="P65" s="279">
        <f t="shared" si="1"/>
        <v>2</v>
      </c>
      <c r="Z65" s="72"/>
    </row>
    <row r="66" spans="1:26" ht="15" customHeight="1" x14ac:dyDescent="0.35">
      <c r="A66" s="280">
        <v>3067</v>
      </c>
      <c r="B66" s="306" t="s">
        <v>729</v>
      </c>
      <c r="C66" s="306" t="s">
        <v>320</v>
      </c>
      <c r="D66" s="290" t="s">
        <v>111</v>
      </c>
      <c r="E66" s="291">
        <v>41378</v>
      </c>
      <c r="F66" s="315" t="s">
        <v>66</v>
      </c>
      <c r="G66" s="316">
        <v>500</v>
      </c>
      <c r="H66" s="160"/>
      <c r="I66" s="161"/>
      <c r="J66" s="284" t="s">
        <v>273</v>
      </c>
      <c r="K66" s="161">
        <v>2</v>
      </c>
      <c r="L66" s="160"/>
      <c r="M66" s="161"/>
      <c r="N66" s="162"/>
      <c r="O66" s="278"/>
      <c r="P66" s="279">
        <f t="shared" si="1"/>
        <v>2</v>
      </c>
      <c r="Z66" s="72"/>
    </row>
    <row r="67" spans="1:26" ht="15" customHeight="1" x14ac:dyDescent="0.35">
      <c r="A67" s="280">
        <v>3069</v>
      </c>
      <c r="B67" s="306" t="s">
        <v>730</v>
      </c>
      <c r="C67" s="319" t="s">
        <v>320</v>
      </c>
      <c r="D67" s="290" t="s">
        <v>111</v>
      </c>
      <c r="E67" s="291">
        <v>41373</v>
      </c>
      <c r="F67" s="292" t="s">
        <v>294</v>
      </c>
      <c r="G67" s="293">
        <v>500</v>
      </c>
      <c r="H67" s="160" t="s">
        <v>273</v>
      </c>
      <c r="I67" s="161">
        <v>2</v>
      </c>
      <c r="J67" s="160"/>
      <c r="K67" s="161"/>
      <c r="L67" s="160"/>
      <c r="M67" s="161"/>
      <c r="N67" s="162"/>
      <c r="O67" s="278"/>
      <c r="P67" s="279">
        <f t="shared" si="1"/>
        <v>2</v>
      </c>
      <c r="Z67" s="72"/>
    </row>
    <row r="68" spans="1:26" ht="15" customHeight="1" x14ac:dyDescent="0.35">
      <c r="A68" s="303">
        <v>3135</v>
      </c>
      <c r="B68" s="306" t="s">
        <v>687</v>
      </c>
      <c r="C68" s="321" t="s">
        <v>688</v>
      </c>
      <c r="D68" s="290" t="s">
        <v>111</v>
      </c>
      <c r="E68" s="291">
        <v>41862</v>
      </c>
      <c r="F68" s="292" t="s">
        <v>9</v>
      </c>
      <c r="G68" s="300">
        <v>500</v>
      </c>
      <c r="H68" s="160" t="s">
        <v>273</v>
      </c>
      <c r="I68" s="161">
        <v>1</v>
      </c>
      <c r="J68" s="160"/>
      <c r="K68" s="161"/>
      <c r="L68" s="160"/>
      <c r="M68" s="161"/>
      <c r="N68" s="162"/>
      <c r="O68" s="278"/>
      <c r="P68" s="279">
        <f t="shared" si="1"/>
        <v>1</v>
      </c>
      <c r="Z68" s="72"/>
    </row>
    <row r="69" spans="1:26" ht="15" customHeight="1" x14ac:dyDescent="0.35">
      <c r="A69" s="280">
        <v>3024</v>
      </c>
      <c r="B69" s="306" t="s">
        <v>403</v>
      </c>
      <c r="C69" s="306" t="s">
        <v>427</v>
      </c>
      <c r="D69" s="290" t="s">
        <v>110</v>
      </c>
      <c r="E69" s="291">
        <v>41828</v>
      </c>
      <c r="F69" s="292" t="s">
        <v>294</v>
      </c>
      <c r="G69" s="293">
        <v>500</v>
      </c>
      <c r="H69" s="160" t="s">
        <v>273</v>
      </c>
      <c r="I69" s="161">
        <v>1</v>
      </c>
      <c r="J69" s="160"/>
      <c r="K69" s="161"/>
      <c r="L69" s="160"/>
      <c r="M69" s="161"/>
      <c r="N69" s="162"/>
      <c r="O69" s="278"/>
      <c r="P69" s="279">
        <f t="shared" si="1"/>
        <v>1</v>
      </c>
      <c r="Z69" s="72"/>
    </row>
    <row r="70" spans="1:26" ht="15" customHeight="1" x14ac:dyDescent="0.35">
      <c r="A70" s="280">
        <v>3030</v>
      </c>
      <c r="B70" s="306" t="s">
        <v>663</v>
      </c>
      <c r="C70" s="319" t="s">
        <v>152</v>
      </c>
      <c r="D70" s="290" t="s">
        <v>111</v>
      </c>
      <c r="E70" s="291">
        <v>41771</v>
      </c>
      <c r="F70" s="292" t="s">
        <v>294</v>
      </c>
      <c r="G70" s="293">
        <v>500</v>
      </c>
      <c r="H70" s="160"/>
      <c r="I70" s="161"/>
      <c r="J70" s="284" t="s">
        <v>273</v>
      </c>
      <c r="K70" s="161">
        <v>1</v>
      </c>
      <c r="L70" s="160"/>
      <c r="M70" s="161"/>
      <c r="N70" s="162"/>
      <c r="O70" s="278"/>
      <c r="P70" s="279">
        <f t="shared" si="1"/>
        <v>1</v>
      </c>
      <c r="Z70" s="72"/>
    </row>
    <row r="71" spans="1:26" ht="15" customHeight="1" x14ac:dyDescent="0.35">
      <c r="A71" s="280">
        <v>3032</v>
      </c>
      <c r="B71" s="289" t="s">
        <v>649</v>
      </c>
      <c r="C71" s="289" t="s">
        <v>136</v>
      </c>
      <c r="D71" s="290" t="s">
        <v>111</v>
      </c>
      <c r="E71" s="291">
        <v>41769</v>
      </c>
      <c r="F71" s="292" t="s">
        <v>13</v>
      </c>
      <c r="G71" s="293">
        <v>500</v>
      </c>
      <c r="H71" s="160" t="s">
        <v>273</v>
      </c>
      <c r="I71" s="161">
        <v>1</v>
      </c>
      <c r="J71" s="160"/>
      <c r="K71" s="161"/>
      <c r="L71" s="160"/>
      <c r="M71" s="161"/>
      <c r="N71" s="162"/>
      <c r="O71" s="278"/>
      <c r="P71" s="279">
        <f t="shared" si="1"/>
        <v>1</v>
      </c>
      <c r="Z71" s="72"/>
    </row>
    <row r="72" spans="1:26" ht="15" customHeight="1" x14ac:dyDescent="0.35">
      <c r="A72" s="270">
        <v>3127</v>
      </c>
      <c r="B72" s="295" t="s">
        <v>739</v>
      </c>
      <c r="C72" s="295" t="s">
        <v>63</v>
      </c>
      <c r="D72" s="296" t="s">
        <v>111</v>
      </c>
      <c r="E72" s="297">
        <v>41696</v>
      </c>
      <c r="F72" s="292" t="s">
        <v>9</v>
      </c>
      <c r="G72" s="227">
        <v>500</v>
      </c>
      <c r="H72" s="160" t="s">
        <v>273</v>
      </c>
      <c r="I72" s="161">
        <v>1</v>
      </c>
      <c r="J72" s="160"/>
      <c r="K72" s="161"/>
      <c r="L72" s="160"/>
      <c r="M72" s="161"/>
      <c r="N72" s="162"/>
      <c r="O72" s="278"/>
      <c r="P72" s="279">
        <f t="shared" ref="P72:P103" si="2">SUM(I72:O72)</f>
        <v>1</v>
      </c>
      <c r="Z72" s="72"/>
    </row>
    <row r="73" spans="1:26" ht="15" customHeight="1" x14ac:dyDescent="0.35">
      <c r="A73" s="280">
        <v>3041</v>
      </c>
      <c r="B73" s="299" t="s">
        <v>393</v>
      </c>
      <c r="C73" s="298" t="s">
        <v>141</v>
      </c>
      <c r="D73" s="290" t="s">
        <v>110</v>
      </c>
      <c r="E73" s="291">
        <v>41694</v>
      </c>
      <c r="F73" s="292" t="s">
        <v>79</v>
      </c>
      <c r="G73" s="300">
        <v>500</v>
      </c>
      <c r="H73" s="160" t="s">
        <v>273</v>
      </c>
      <c r="I73" s="161">
        <v>1</v>
      </c>
      <c r="J73" s="277"/>
      <c r="K73" s="275"/>
      <c r="L73" s="160"/>
      <c r="M73" s="161"/>
      <c r="N73" s="162"/>
      <c r="O73" s="278"/>
      <c r="P73" s="279">
        <f t="shared" si="2"/>
        <v>1</v>
      </c>
      <c r="Z73" s="72"/>
    </row>
    <row r="74" spans="1:26" ht="15" customHeight="1" x14ac:dyDescent="0.35">
      <c r="A74" s="280">
        <v>3042</v>
      </c>
      <c r="B74" s="289" t="s">
        <v>679</v>
      </c>
      <c r="C74" s="289" t="s">
        <v>50</v>
      </c>
      <c r="D74" s="290" t="s">
        <v>111</v>
      </c>
      <c r="E74" s="291">
        <v>41682</v>
      </c>
      <c r="F74" s="292" t="s">
        <v>13</v>
      </c>
      <c r="G74" s="293">
        <v>500</v>
      </c>
      <c r="H74" s="160" t="s">
        <v>273</v>
      </c>
      <c r="I74" s="161">
        <v>1</v>
      </c>
      <c r="J74" s="277"/>
      <c r="K74" s="275"/>
      <c r="L74" s="160"/>
      <c r="M74" s="161"/>
      <c r="N74" s="162"/>
      <c r="O74" s="278"/>
      <c r="P74" s="279">
        <f t="shared" si="2"/>
        <v>1</v>
      </c>
      <c r="Z74" s="72"/>
    </row>
    <row r="75" spans="1:26" ht="15" customHeight="1" x14ac:dyDescent="0.35">
      <c r="A75" s="280">
        <v>3051</v>
      </c>
      <c r="B75" s="306" t="s">
        <v>650</v>
      </c>
      <c r="C75" s="319" t="s">
        <v>60</v>
      </c>
      <c r="D75" s="290" t="s">
        <v>111</v>
      </c>
      <c r="E75" s="291">
        <v>41567</v>
      </c>
      <c r="F75" s="292" t="s">
        <v>294</v>
      </c>
      <c r="G75" s="293">
        <v>500</v>
      </c>
      <c r="H75" s="160"/>
      <c r="I75" s="161"/>
      <c r="J75" s="274" t="s">
        <v>273</v>
      </c>
      <c r="K75" s="275">
        <v>1</v>
      </c>
      <c r="L75" s="160" t="s">
        <v>273</v>
      </c>
      <c r="M75" s="161"/>
      <c r="N75" s="162"/>
      <c r="O75" s="278"/>
      <c r="P75" s="279">
        <f t="shared" si="2"/>
        <v>1</v>
      </c>
      <c r="Z75" s="72"/>
    </row>
    <row r="76" spans="1:26" ht="15" customHeight="1" x14ac:dyDescent="0.35">
      <c r="A76" s="270">
        <v>3119</v>
      </c>
      <c r="B76" s="295" t="s">
        <v>390</v>
      </c>
      <c r="C76" s="295" t="s">
        <v>414</v>
      </c>
      <c r="D76" s="296" t="s">
        <v>110</v>
      </c>
      <c r="E76" s="297">
        <v>41529</v>
      </c>
      <c r="F76" s="292" t="s">
        <v>9</v>
      </c>
      <c r="G76" s="227">
        <v>500</v>
      </c>
      <c r="H76" s="160" t="s">
        <v>273</v>
      </c>
      <c r="I76" s="161">
        <v>1</v>
      </c>
      <c r="J76" s="160"/>
      <c r="K76" s="161"/>
      <c r="L76" s="160"/>
      <c r="M76" s="161"/>
      <c r="N76" s="162"/>
      <c r="O76" s="278"/>
      <c r="P76" s="279">
        <f t="shared" si="2"/>
        <v>1</v>
      </c>
      <c r="Z76" s="72"/>
    </row>
    <row r="77" spans="1:26" ht="15" customHeight="1" x14ac:dyDescent="0.35">
      <c r="A77" s="280">
        <v>3061</v>
      </c>
      <c r="B77" s="289" t="s">
        <v>638</v>
      </c>
      <c r="C77" s="289" t="s">
        <v>91</v>
      </c>
      <c r="D77" s="290" t="s">
        <v>111</v>
      </c>
      <c r="E77" s="291">
        <v>41424</v>
      </c>
      <c r="F77" s="292" t="s">
        <v>13</v>
      </c>
      <c r="G77" s="293">
        <v>500</v>
      </c>
      <c r="H77" s="160" t="s">
        <v>273</v>
      </c>
      <c r="I77" s="161">
        <v>1</v>
      </c>
      <c r="J77" s="277"/>
      <c r="K77" s="275"/>
      <c r="L77" s="160"/>
      <c r="M77" s="161"/>
      <c r="N77" s="162"/>
      <c r="O77" s="278"/>
      <c r="P77" s="279">
        <f t="shared" si="2"/>
        <v>1</v>
      </c>
      <c r="Z77" s="72"/>
    </row>
    <row r="78" spans="1:26" ht="15" customHeight="1" x14ac:dyDescent="0.35">
      <c r="A78" s="280">
        <v>3074</v>
      </c>
      <c r="B78" s="294" t="s">
        <v>637</v>
      </c>
      <c r="C78" s="294" t="s">
        <v>93</v>
      </c>
      <c r="D78" s="290" t="s">
        <v>111</v>
      </c>
      <c r="E78" s="291">
        <v>41316</v>
      </c>
      <c r="F78" s="292" t="s">
        <v>37</v>
      </c>
      <c r="G78" s="293">
        <v>500</v>
      </c>
      <c r="H78" s="160" t="s">
        <v>273</v>
      </c>
      <c r="I78" s="161">
        <v>1</v>
      </c>
      <c r="J78" s="277"/>
      <c r="K78" s="324"/>
      <c r="L78" s="160"/>
      <c r="M78" s="161"/>
      <c r="N78" s="162"/>
      <c r="O78" s="278"/>
      <c r="P78" s="279">
        <f t="shared" si="2"/>
        <v>1</v>
      </c>
      <c r="Z78" s="72"/>
    </row>
    <row r="79" spans="1:26" ht="15" customHeight="1" x14ac:dyDescent="0.35">
      <c r="A79" s="280">
        <v>3000</v>
      </c>
      <c r="B79" s="289" t="s">
        <v>727</v>
      </c>
      <c r="C79" s="289" t="s">
        <v>728</v>
      </c>
      <c r="D79" s="290" t="s">
        <v>111</v>
      </c>
      <c r="E79" s="291">
        <v>42003</v>
      </c>
      <c r="F79" s="292" t="s">
        <v>13</v>
      </c>
      <c r="G79" s="293" t="s">
        <v>126</v>
      </c>
      <c r="H79" s="160"/>
      <c r="I79" s="161"/>
      <c r="J79" s="160"/>
      <c r="K79" s="161"/>
      <c r="L79" s="160"/>
      <c r="M79" s="161"/>
      <c r="N79" s="162"/>
      <c r="O79" s="278"/>
      <c r="P79" s="279">
        <f t="shared" si="2"/>
        <v>0</v>
      </c>
      <c r="Z79" s="72"/>
    </row>
    <row r="80" spans="1:26" ht="15" customHeight="1" x14ac:dyDescent="0.35">
      <c r="A80" s="280">
        <v>3001</v>
      </c>
      <c r="B80" s="317" t="s">
        <v>383</v>
      </c>
      <c r="C80" s="318" t="s">
        <v>208</v>
      </c>
      <c r="D80" s="290" t="s">
        <v>111</v>
      </c>
      <c r="E80" s="291">
        <v>41992</v>
      </c>
      <c r="F80" s="292" t="s">
        <v>79</v>
      </c>
      <c r="G80" s="300">
        <v>500</v>
      </c>
      <c r="H80" s="160"/>
      <c r="I80" s="161"/>
      <c r="J80" s="160"/>
      <c r="K80" s="161"/>
      <c r="L80" s="160"/>
      <c r="M80" s="161"/>
      <c r="N80" s="162"/>
      <c r="O80" s="278"/>
      <c r="P80" s="279">
        <f t="shared" si="2"/>
        <v>0</v>
      </c>
      <c r="Z80" s="72"/>
    </row>
    <row r="81" spans="1:26" ht="15" customHeight="1" x14ac:dyDescent="0.35">
      <c r="A81" s="280">
        <v>3003</v>
      </c>
      <c r="B81" s="298" t="s">
        <v>402</v>
      </c>
      <c r="C81" s="299" t="s">
        <v>845</v>
      </c>
      <c r="D81" s="290" t="s">
        <v>110</v>
      </c>
      <c r="E81" s="291">
        <v>41984</v>
      </c>
      <c r="F81" s="292" t="s">
        <v>79</v>
      </c>
      <c r="G81" s="300">
        <v>500</v>
      </c>
      <c r="H81" s="160"/>
      <c r="I81" s="161"/>
      <c r="J81" s="277"/>
      <c r="K81" s="275"/>
      <c r="L81" s="160"/>
      <c r="M81" s="161"/>
      <c r="N81" s="162"/>
      <c r="O81" s="278"/>
      <c r="P81" s="279">
        <f t="shared" si="2"/>
        <v>0</v>
      </c>
      <c r="Z81" s="72"/>
    </row>
    <row r="82" spans="1:26" ht="15" customHeight="1" x14ac:dyDescent="0.35">
      <c r="A82" s="280">
        <v>3004</v>
      </c>
      <c r="B82" s="289" t="s">
        <v>716</v>
      </c>
      <c r="C82" s="289" t="s">
        <v>814</v>
      </c>
      <c r="D82" s="290" t="s">
        <v>111</v>
      </c>
      <c r="E82" s="291">
        <v>41984</v>
      </c>
      <c r="F82" s="292" t="s">
        <v>13</v>
      </c>
      <c r="G82" s="325" t="s">
        <v>126</v>
      </c>
      <c r="H82" s="160"/>
      <c r="I82" s="161"/>
      <c r="J82" s="160"/>
      <c r="K82" s="161"/>
      <c r="L82" s="160" t="s">
        <v>273</v>
      </c>
      <c r="M82" s="161"/>
      <c r="N82" s="162"/>
      <c r="O82" s="278"/>
      <c r="P82" s="279">
        <f t="shared" si="2"/>
        <v>0</v>
      </c>
      <c r="Z82" s="72"/>
    </row>
    <row r="83" spans="1:26" ht="15" customHeight="1" x14ac:dyDescent="0.35">
      <c r="A83" s="270">
        <v>3117</v>
      </c>
      <c r="B83" s="295" t="s">
        <v>170</v>
      </c>
      <c r="C83" s="295" t="s">
        <v>173</v>
      </c>
      <c r="D83" s="296" t="s">
        <v>111</v>
      </c>
      <c r="E83" s="297">
        <v>41983</v>
      </c>
      <c r="F83" s="292" t="s">
        <v>9</v>
      </c>
      <c r="G83" s="227">
        <v>500</v>
      </c>
      <c r="H83" s="160"/>
      <c r="I83" s="161"/>
      <c r="J83" s="160"/>
      <c r="K83" s="161"/>
      <c r="L83" s="160"/>
      <c r="M83" s="161"/>
      <c r="N83" s="162"/>
      <c r="O83" s="278"/>
      <c r="P83" s="279">
        <f t="shared" si="2"/>
        <v>0</v>
      </c>
      <c r="Z83" s="72"/>
    </row>
    <row r="84" spans="1:26" ht="15" customHeight="1" x14ac:dyDescent="0.35">
      <c r="A84" s="270">
        <v>3116</v>
      </c>
      <c r="B84" s="295" t="s">
        <v>691</v>
      </c>
      <c r="C84" s="295" t="s">
        <v>692</v>
      </c>
      <c r="D84" s="296" t="s">
        <v>111</v>
      </c>
      <c r="E84" s="297">
        <v>41963</v>
      </c>
      <c r="F84" s="292" t="s">
        <v>9</v>
      </c>
      <c r="G84" s="227">
        <v>500</v>
      </c>
      <c r="H84" s="160"/>
      <c r="I84" s="161"/>
      <c r="J84" s="277"/>
      <c r="K84" s="275"/>
      <c r="L84" s="160"/>
      <c r="M84" s="161"/>
      <c r="N84" s="162"/>
      <c r="O84" s="278"/>
      <c r="P84" s="279">
        <f t="shared" si="2"/>
        <v>0</v>
      </c>
      <c r="Z84" s="72"/>
    </row>
    <row r="85" spans="1:26" ht="15" customHeight="1" x14ac:dyDescent="0.35">
      <c r="A85" s="280">
        <v>3008</v>
      </c>
      <c r="B85" s="306" t="s">
        <v>659</v>
      </c>
      <c r="C85" s="319" t="s">
        <v>60</v>
      </c>
      <c r="D85" s="290" t="s">
        <v>111</v>
      </c>
      <c r="E85" s="291">
        <v>41953</v>
      </c>
      <c r="F85" s="292" t="s">
        <v>294</v>
      </c>
      <c r="G85" s="293">
        <v>500</v>
      </c>
      <c r="H85" s="160"/>
      <c r="I85" s="161"/>
      <c r="J85" s="277"/>
      <c r="K85" s="275"/>
      <c r="L85" s="160"/>
      <c r="M85" s="161"/>
      <c r="N85" s="162"/>
      <c r="O85" s="278"/>
      <c r="P85" s="279">
        <f t="shared" si="2"/>
        <v>0</v>
      </c>
      <c r="Z85" s="72"/>
    </row>
    <row r="86" spans="1:26" ht="15" customHeight="1" x14ac:dyDescent="0.35">
      <c r="A86" s="280">
        <v>3009</v>
      </c>
      <c r="B86" s="306" t="s">
        <v>723</v>
      </c>
      <c r="C86" s="319" t="s">
        <v>724</v>
      </c>
      <c r="D86" s="290" t="s">
        <v>111</v>
      </c>
      <c r="E86" s="291">
        <v>41949</v>
      </c>
      <c r="F86" s="292" t="s">
        <v>294</v>
      </c>
      <c r="G86" s="293" t="s">
        <v>126</v>
      </c>
      <c r="H86" s="160"/>
      <c r="I86" s="161"/>
      <c r="J86" s="160"/>
      <c r="K86" s="161"/>
      <c r="L86" s="160"/>
      <c r="M86" s="161"/>
      <c r="N86" s="162"/>
      <c r="O86" s="278"/>
      <c r="P86" s="279">
        <f t="shared" si="2"/>
        <v>0</v>
      </c>
      <c r="Z86" s="72"/>
    </row>
    <row r="87" spans="1:26" ht="15" customHeight="1" x14ac:dyDescent="0.35">
      <c r="A87" s="280">
        <v>3012</v>
      </c>
      <c r="B87" s="306" t="s">
        <v>710</v>
      </c>
      <c r="C87" s="319" t="s">
        <v>711</v>
      </c>
      <c r="D87" s="290" t="s">
        <v>111</v>
      </c>
      <c r="E87" s="291">
        <v>41919</v>
      </c>
      <c r="F87" s="292" t="s">
        <v>294</v>
      </c>
      <c r="G87" s="293">
        <v>500</v>
      </c>
      <c r="H87" s="160"/>
      <c r="I87" s="161"/>
      <c r="J87" s="160"/>
      <c r="K87" s="161"/>
      <c r="L87" s="160"/>
      <c r="M87" s="161"/>
      <c r="N87" s="162"/>
      <c r="O87" s="278"/>
      <c r="P87" s="279">
        <f t="shared" si="2"/>
        <v>0</v>
      </c>
      <c r="Z87" s="72"/>
    </row>
    <row r="88" spans="1:26" ht="15" customHeight="1" x14ac:dyDescent="0.35">
      <c r="A88" s="280">
        <v>3015</v>
      </c>
      <c r="B88" s="289" t="s">
        <v>714</v>
      </c>
      <c r="C88" s="289" t="s">
        <v>152</v>
      </c>
      <c r="D88" s="290" t="s">
        <v>111</v>
      </c>
      <c r="E88" s="291">
        <v>41906</v>
      </c>
      <c r="F88" s="292" t="s">
        <v>13</v>
      </c>
      <c r="G88" s="325" t="s">
        <v>126</v>
      </c>
      <c r="H88" s="160"/>
      <c r="I88" s="161"/>
      <c r="J88" s="160"/>
      <c r="K88" s="161"/>
      <c r="L88" s="160"/>
      <c r="M88" s="161"/>
      <c r="N88" s="162"/>
      <c r="O88" s="278"/>
      <c r="P88" s="279">
        <f t="shared" si="2"/>
        <v>0</v>
      </c>
      <c r="Z88" s="72"/>
    </row>
    <row r="89" spans="1:26" ht="15" customHeight="1" x14ac:dyDescent="0.35">
      <c r="A89" s="280">
        <v>3016</v>
      </c>
      <c r="B89" s="294" t="s">
        <v>657</v>
      </c>
      <c r="C89" s="294" t="s">
        <v>658</v>
      </c>
      <c r="D89" s="290" t="s">
        <v>111</v>
      </c>
      <c r="E89" s="309">
        <v>41902</v>
      </c>
      <c r="F89" s="296" t="s">
        <v>12</v>
      </c>
      <c r="G89" s="293">
        <v>500</v>
      </c>
      <c r="H89" s="160"/>
      <c r="I89" s="161"/>
      <c r="J89" s="160"/>
      <c r="K89" s="161"/>
      <c r="L89" s="160"/>
      <c r="M89" s="161"/>
      <c r="N89" s="162"/>
      <c r="O89" s="278"/>
      <c r="P89" s="279">
        <f t="shared" si="2"/>
        <v>0</v>
      </c>
      <c r="Z89" s="72"/>
    </row>
    <row r="90" spans="1:26" ht="15" customHeight="1" x14ac:dyDescent="0.35">
      <c r="A90" s="280">
        <v>3017</v>
      </c>
      <c r="B90" s="306" t="s">
        <v>705</v>
      </c>
      <c r="C90" s="319" t="s">
        <v>706</v>
      </c>
      <c r="D90" s="290" t="s">
        <v>111</v>
      </c>
      <c r="E90" s="291">
        <v>41875</v>
      </c>
      <c r="F90" s="292" t="s">
        <v>294</v>
      </c>
      <c r="G90" s="293">
        <v>500</v>
      </c>
      <c r="H90" s="160"/>
      <c r="I90" s="161"/>
      <c r="J90" s="160"/>
      <c r="K90" s="161"/>
      <c r="L90" s="160"/>
      <c r="M90" s="161"/>
      <c r="N90" s="162"/>
      <c r="O90" s="278"/>
      <c r="P90" s="279">
        <f t="shared" si="2"/>
        <v>0</v>
      </c>
      <c r="Z90" s="72"/>
    </row>
    <row r="91" spans="1:26" ht="15" customHeight="1" x14ac:dyDescent="0.35">
      <c r="A91" s="280">
        <v>3018</v>
      </c>
      <c r="B91" s="289" t="s">
        <v>689</v>
      </c>
      <c r="C91" s="289" t="s">
        <v>62</v>
      </c>
      <c r="D91" s="290" t="s">
        <v>111</v>
      </c>
      <c r="E91" s="291">
        <v>41874</v>
      </c>
      <c r="F91" s="292" t="s">
        <v>13</v>
      </c>
      <c r="G91" s="293">
        <v>500</v>
      </c>
      <c r="H91" s="160"/>
      <c r="I91" s="161"/>
      <c r="J91" s="160"/>
      <c r="K91" s="161"/>
      <c r="L91" s="160"/>
      <c r="M91" s="161"/>
      <c r="N91" s="162"/>
      <c r="O91" s="278"/>
      <c r="P91" s="279">
        <f t="shared" si="2"/>
        <v>0</v>
      </c>
      <c r="Z91" s="72"/>
    </row>
    <row r="92" spans="1:26" ht="15" customHeight="1" x14ac:dyDescent="0.35">
      <c r="A92" s="280">
        <v>3019</v>
      </c>
      <c r="B92" s="294" t="s">
        <v>632</v>
      </c>
      <c r="C92" s="294" t="s">
        <v>53</v>
      </c>
      <c r="D92" s="290" t="s">
        <v>111</v>
      </c>
      <c r="E92" s="309">
        <v>41863</v>
      </c>
      <c r="F92" s="296" t="s">
        <v>12</v>
      </c>
      <c r="G92" s="293">
        <v>500</v>
      </c>
      <c r="H92" s="160"/>
      <c r="I92" s="161"/>
      <c r="J92" s="160"/>
      <c r="K92" s="161"/>
      <c r="L92" s="160"/>
      <c r="M92" s="161"/>
      <c r="N92" s="162"/>
      <c r="O92" s="278"/>
      <c r="P92" s="279">
        <f t="shared" si="2"/>
        <v>0</v>
      </c>
      <c r="Z92" s="72"/>
    </row>
    <row r="93" spans="1:26" ht="15" customHeight="1" x14ac:dyDescent="0.35">
      <c r="A93" s="280">
        <v>3021</v>
      </c>
      <c r="B93" s="294" t="s">
        <v>683</v>
      </c>
      <c r="C93" s="294" t="s">
        <v>115</v>
      </c>
      <c r="D93" s="290" t="s">
        <v>111</v>
      </c>
      <c r="E93" s="309">
        <v>41839</v>
      </c>
      <c r="F93" s="296" t="s">
        <v>12</v>
      </c>
      <c r="G93" s="293">
        <v>500</v>
      </c>
      <c r="H93" s="160"/>
      <c r="I93" s="161"/>
      <c r="J93" s="160"/>
      <c r="K93" s="161"/>
      <c r="L93" s="160"/>
      <c r="M93" s="161"/>
      <c r="N93" s="162"/>
      <c r="O93" s="278"/>
      <c r="P93" s="279">
        <f t="shared" si="2"/>
        <v>0</v>
      </c>
      <c r="Z93" s="72"/>
    </row>
    <row r="94" spans="1:26" ht="15" customHeight="1" x14ac:dyDescent="0.35">
      <c r="A94" s="270">
        <v>3124</v>
      </c>
      <c r="B94" s="295" t="s">
        <v>373</v>
      </c>
      <c r="C94" s="295" t="s">
        <v>843</v>
      </c>
      <c r="D94" s="296" t="s">
        <v>110</v>
      </c>
      <c r="E94" s="297">
        <v>41809</v>
      </c>
      <c r="F94" s="292" t="s">
        <v>9</v>
      </c>
      <c r="G94" s="227">
        <v>500</v>
      </c>
      <c r="H94" s="160"/>
      <c r="I94" s="161"/>
      <c r="J94" s="160"/>
      <c r="K94" s="161"/>
      <c r="L94" s="160"/>
      <c r="M94" s="161"/>
      <c r="N94" s="162"/>
      <c r="O94" s="278"/>
      <c r="P94" s="279">
        <f t="shared" si="2"/>
        <v>0</v>
      </c>
      <c r="Z94" s="72"/>
    </row>
    <row r="95" spans="1:26" ht="15" customHeight="1" x14ac:dyDescent="0.35">
      <c r="A95" s="280">
        <v>3025</v>
      </c>
      <c r="B95" s="298" t="s">
        <v>685</v>
      </c>
      <c r="C95" s="299" t="s">
        <v>47</v>
      </c>
      <c r="D95" s="290" t="s">
        <v>111</v>
      </c>
      <c r="E95" s="291">
        <v>41802</v>
      </c>
      <c r="F95" s="292" t="s">
        <v>79</v>
      </c>
      <c r="G95" s="300">
        <v>500</v>
      </c>
      <c r="H95" s="160"/>
      <c r="I95" s="161"/>
      <c r="J95" s="160"/>
      <c r="K95" s="161"/>
      <c r="L95" s="160"/>
      <c r="M95" s="161"/>
      <c r="N95" s="162"/>
      <c r="O95" s="278"/>
      <c r="P95" s="279">
        <f t="shared" si="2"/>
        <v>0</v>
      </c>
      <c r="Z95" s="72"/>
    </row>
    <row r="96" spans="1:26" ht="15" customHeight="1" x14ac:dyDescent="0.35">
      <c r="A96" s="270">
        <v>3115</v>
      </c>
      <c r="B96" s="295" t="s">
        <v>219</v>
      </c>
      <c r="C96" s="295" t="s">
        <v>152</v>
      </c>
      <c r="D96" s="296" t="s">
        <v>111</v>
      </c>
      <c r="E96" s="297">
        <v>41800</v>
      </c>
      <c r="F96" s="292" t="s">
        <v>9</v>
      </c>
      <c r="G96" s="227">
        <v>815</v>
      </c>
      <c r="H96" s="160"/>
      <c r="I96" s="161"/>
      <c r="J96" s="160"/>
      <c r="K96" s="161"/>
      <c r="L96" s="160"/>
      <c r="M96" s="161"/>
      <c r="N96" s="162"/>
      <c r="O96" s="278"/>
      <c r="P96" s="279">
        <f t="shared" si="2"/>
        <v>0</v>
      </c>
      <c r="Z96" s="72"/>
    </row>
    <row r="97" spans="1:26" ht="15" customHeight="1" x14ac:dyDescent="0.35">
      <c r="A97" s="270">
        <v>3110</v>
      </c>
      <c r="B97" s="295" t="s">
        <v>216</v>
      </c>
      <c r="C97" s="295" t="s">
        <v>165</v>
      </c>
      <c r="D97" s="296" t="s">
        <v>111</v>
      </c>
      <c r="E97" s="297">
        <v>41798</v>
      </c>
      <c r="F97" s="292" t="s">
        <v>9</v>
      </c>
      <c r="G97" s="227">
        <v>851</v>
      </c>
      <c r="H97" s="160"/>
      <c r="I97" s="161"/>
      <c r="J97" s="160"/>
      <c r="K97" s="161"/>
      <c r="L97" s="160"/>
      <c r="M97" s="161"/>
      <c r="N97" s="162"/>
      <c r="O97" s="278"/>
      <c r="P97" s="279">
        <f t="shared" si="2"/>
        <v>0</v>
      </c>
      <c r="Z97" s="72"/>
    </row>
    <row r="98" spans="1:26" ht="15" customHeight="1" x14ac:dyDescent="0.35">
      <c r="A98" s="270">
        <v>3092</v>
      </c>
      <c r="B98" s="301" t="s">
        <v>702</v>
      </c>
      <c r="C98" s="301" t="s">
        <v>115</v>
      </c>
      <c r="D98" s="296" t="s">
        <v>111</v>
      </c>
      <c r="E98" s="308">
        <v>41793</v>
      </c>
      <c r="F98" s="292" t="s">
        <v>10</v>
      </c>
      <c r="G98" s="227">
        <v>500</v>
      </c>
      <c r="H98" s="160"/>
      <c r="I98" s="161"/>
      <c r="J98" s="160"/>
      <c r="K98" s="161"/>
      <c r="L98" s="160"/>
      <c r="M98" s="161"/>
      <c r="N98" s="162"/>
      <c r="O98" s="278"/>
      <c r="P98" s="279">
        <f t="shared" si="2"/>
        <v>0</v>
      </c>
      <c r="Z98" s="72"/>
    </row>
    <row r="99" spans="1:26" ht="15" customHeight="1" x14ac:dyDescent="0.35">
      <c r="A99" s="270">
        <v>3082</v>
      </c>
      <c r="B99" s="301" t="s">
        <v>652</v>
      </c>
      <c r="C99" s="301" t="s">
        <v>90</v>
      </c>
      <c r="D99" s="296" t="s">
        <v>111</v>
      </c>
      <c r="E99" s="302">
        <v>41792</v>
      </c>
      <c r="F99" s="292" t="s">
        <v>77</v>
      </c>
      <c r="G99" s="227">
        <v>500</v>
      </c>
      <c r="H99" s="160"/>
      <c r="I99" s="161"/>
      <c r="J99" s="277"/>
      <c r="K99" s="275"/>
      <c r="L99" s="160"/>
      <c r="M99" s="161"/>
      <c r="N99" s="162"/>
      <c r="O99" s="278"/>
      <c r="P99" s="279">
        <f t="shared" si="2"/>
        <v>0</v>
      </c>
      <c r="Z99" s="72"/>
    </row>
    <row r="100" spans="1:26" ht="15" customHeight="1" x14ac:dyDescent="0.35">
      <c r="A100" s="270">
        <v>3106</v>
      </c>
      <c r="B100" s="295" t="s">
        <v>404</v>
      </c>
      <c r="C100" s="295" t="s">
        <v>366</v>
      </c>
      <c r="D100" s="296" t="s">
        <v>110</v>
      </c>
      <c r="E100" s="297">
        <v>41787</v>
      </c>
      <c r="F100" s="292" t="s">
        <v>9</v>
      </c>
      <c r="G100" s="227">
        <v>500</v>
      </c>
      <c r="H100" s="160"/>
      <c r="I100" s="161"/>
      <c r="J100" s="277"/>
      <c r="K100" s="275"/>
      <c r="L100" s="160"/>
      <c r="M100" s="161"/>
      <c r="N100" s="162"/>
      <c r="O100" s="278"/>
      <c r="P100" s="279">
        <f t="shared" si="2"/>
        <v>0</v>
      </c>
    </row>
    <row r="101" spans="1:26" ht="15" customHeight="1" x14ac:dyDescent="0.35">
      <c r="A101" s="280">
        <v>3026</v>
      </c>
      <c r="B101" s="294" t="s">
        <v>662</v>
      </c>
      <c r="C101" s="294" t="s">
        <v>140</v>
      </c>
      <c r="D101" s="290" t="s">
        <v>111</v>
      </c>
      <c r="E101" s="291">
        <v>41786</v>
      </c>
      <c r="F101" s="292" t="s">
        <v>37</v>
      </c>
      <c r="G101" s="293">
        <v>500</v>
      </c>
      <c r="H101" s="160"/>
      <c r="I101" s="161"/>
      <c r="J101" s="160"/>
      <c r="K101" s="161"/>
      <c r="L101" s="160"/>
      <c r="M101" s="161"/>
      <c r="N101" s="162"/>
      <c r="O101" s="278"/>
      <c r="P101" s="279">
        <f t="shared" si="2"/>
        <v>0</v>
      </c>
    </row>
    <row r="102" spans="1:26" ht="15" customHeight="1" x14ac:dyDescent="0.35">
      <c r="A102" s="270">
        <v>3090</v>
      </c>
      <c r="B102" s="301" t="s">
        <v>633</v>
      </c>
      <c r="C102" s="301" t="s">
        <v>159</v>
      </c>
      <c r="D102" s="296" t="s">
        <v>111</v>
      </c>
      <c r="E102" s="308">
        <v>41783</v>
      </c>
      <c r="F102" s="292" t="s">
        <v>10</v>
      </c>
      <c r="G102" s="227">
        <v>500</v>
      </c>
      <c r="H102" s="160"/>
      <c r="I102" s="161"/>
      <c r="J102" s="160"/>
      <c r="K102" s="161"/>
      <c r="L102" s="160"/>
      <c r="M102" s="161"/>
      <c r="N102" s="162"/>
      <c r="O102" s="278"/>
      <c r="P102" s="279">
        <f t="shared" si="2"/>
        <v>0</v>
      </c>
    </row>
    <row r="103" spans="1:26" ht="15" customHeight="1" x14ac:dyDescent="0.35">
      <c r="A103" s="280">
        <v>3029</v>
      </c>
      <c r="B103" s="289" t="s">
        <v>119</v>
      </c>
      <c r="C103" s="289" t="s">
        <v>120</v>
      </c>
      <c r="D103" s="290" t="s">
        <v>110</v>
      </c>
      <c r="E103" s="291">
        <v>41772</v>
      </c>
      <c r="F103" s="292" t="s">
        <v>13</v>
      </c>
      <c r="G103" s="325" t="s">
        <v>126</v>
      </c>
      <c r="H103" s="160"/>
      <c r="I103" s="161"/>
      <c r="J103" s="160"/>
      <c r="K103" s="161"/>
      <c r="L103" s="160"/>
      <c r="M103" s="161"/>
      <c r="N103" s="162"/>
      <c r="O103" s="278"/>
      <c r="P103" s="279">
        <f t="shared" si="2"/>
        <v>0</v>
      </c>
    </row>
    <row r="104" spans="1:26" ht="15" customHeight="1" x14ac:dyDescent="0.35">
      <c r="A104" s="270">
        <v>3084</v>
      </c>
      <c r="B104" s="301" t="s">
        <v>656</v>
      </c>
      <c r="C104" s="301" t="s">
        <v>112</v>
      </c>
      <c r="D104" s="296" t="s">
        <v>111</v>
      </c>
      <c r="E104" s="302">
        <v>41762</v>
      </c>
      <c r="F104" s="292" t="s">
        <v>77</v>
      </c>
      <c r="G104" s="227">
        <v>500</v>
      </c>
      <c r="H104" s="160"/>
      <c r="I104" s="161"/>
      <c r="J104" s="160"/>
      <c r="K104" s="161"/>
      <c r="L104" s="160"/>
      <c r="M104" s="161"/>
      <c r="N104" s="162"/>
      <c r="O104" s="278"/>
      <c r="P104" s="279">
        <f t="shared" ref="P104:P135" si="3">SUM(I104:O104)</f>
        <v>0</v>
      </c>
      <c r="Z104" s="72"/>
    </row>
    <row r="105" spans="1:26" ht="15" customHeight="1" x14ac:dyDescent="0.35">
      <c r="A105" s="280">
        <v>3033</v>
      </c>
      <c r="B105" s="289" t="s">
        <v>736</v>
      </c>
      <c r="C105" s="289" t="s">
        <v>737</v>
      </c>
      <c r="D105" s="290" t="s">
        <v>111</v>
      </c>
      <c r="E105" s="291">
        <v>41762</v>
      </c>
      <c r="F105" s="292" t="s">
        <v>13</v>
      </c>
      <c r="G105" s="293" t="s">
        <v>126</v>
      </c>
      <c r="H105" s="160"/>
      <c r="I105" s="161"/>
      <c r="J105" s="160"/>
      <c r="K105" s="161"/>
      <c r="L105" s="160"/>
      <c r="M105" s="161"/>
      <c r="N105" s="162"/>
      <c r="O105" s="278"/>
      <c r="P105" s="279">
        <f t="shared" si="3"/>
        <v>0</v>
      </c>
      <c r="Z105" s="72"/>
    </row>
    <row r="106" spans="1:26" ht="15" customHeight="1" x14ac:dyDescent="0.35">
      <c r="A106" s="270">
        <v>3101</v>
      </c>
      <c r="B106" s="295" t="s">
        <v>642</v>
      </c>
      <c r="C106" s="295" t="s">
        <v>826</v>
      </c>
      <c r="D106" s="296" t="s">
        <v>111</v>
      </c>
      <c r="E106" s="297">
        <v>41757</v>
      </c>
      <c r="F106" s="292" t="s">
        <v>9</v>
      </c>
      <c r="G106" s="227">
        <v>500</v>
      </c>
      <c r="H106" s="160"/>
      <c r="I106" s="161"/>
      <c r="J106" s="277"/>
      <c r="K106" s="275"/>
      <c r="L106" s="160"/>
      <c r="M106" s="161"/>
      <c r="N106" s="162"/>
      <c r="O106" s="278"/>
      <c r="P106" s="279">
        <f t="shared" si="3"/>
        <v>0</v>
      </c>
    </row>
    <row r="107" spans="1:26" ht="15" customHeight="1" x14ac:dyDescent="0.35">
      <c r="A107" s="280">
        <v>3035</v>
      </c>
      <c r="B107" s="289" t="s">
        <v>643</v>
      </c>
      <c r="C107" s="289" t="s">
        <v>377</v>
      </c>
      <c r="D107" s="290" t="s">
        <v>111</v>
      </c>
      <c r="E107" s="291">
        <v>41739</v>
      </c>
      <c r="F107" s="292" t="s">
        <v>13</v>
      </c>
      <c r="G107" s="325" t="s">
        <v>126</v>
      </c>
      <c r="H107" s="326"/>
      <c r="I107" s="161"/>
      <c r="J107" s="160"/>
      <c r="K107" s="161"/>
      <c r="L107" s="160"/>
      <c r="M107" s="161"/>
      <c r="N107" s="162"/>
      <c r="O107" s="278"/>
      <c r="P107" s="279">
        <f t="shared" si="3"/>
        <v>0</v>
      </c>
    </row>
    <row r="108" spans="1:26" ht="15" customHeight="1" x14ac:dyDescent="0.35">
      <c r="A108" s="280">
        <v>3036</v>
      </c>
      <c r="B108" s="289" t="s">
        <v>630</v>
      </c>
      <c r="C108" s="289" t="s">
        <v>631</v>
      </c>
      <c r="D108" s="290" t="s">
        <v>111</v>
      </c>
      <c r="E108" s="291">
        <v>41736</v>
      </c>
      <c r="F108" s="292" t="s">
        <v>13</v>
      </c>
      <c r="G108" s="325" t="s">
        <v>126</v>
      </c>
      <c r="H108" s="160"/>
      <c r="I108" s="161"/>
      <c r="J108" s="277"/>
      <c r="K108" s="275"/>
      <c r="L108" s="160" t="s">
        <v>273</v>
      </c>
      <c r="M108" s="161"/>
      <c r="N108" s="162"/>
      <c r="O108" s="278"/>
      <c r="P108" s="279">
        <f t="shared" si="3"/>
        <v>0</v>
      </c>
    </row>
    <row r="109" spans="1:26" ht="15" customHeight="1" x14ac:dyDescent="0.35">
      <c r="A109" s="270">
        <v>3091</v>
      </c>
      <c r="B109" s="301" t="s">
        <v>693</v>
      </c>
      <c r="C109" s="301" t="s">
        <v>52</v>
      </c>
      <c r="D109" s="296" t="s">
        <v>111</v>
      </c>
      <c r="E109" s="308">
        <v>41725</v>
      </c>
      <c r="F109" s="292" t="s">
        <v>10</v>
      </c>
      <c r="G109" s="227">
        <v>500</v>
      </c>
      <c r="H109" s="160"/>
      <c r="I109" s="161"/>
      <c r="J109" s="160"/>
      <c r="K109" s="161"/>
      <c r="L109" s="160"/>
      <c r="M109" s="161"/>
      <c r="N109" s="162"/>
      <c r="O109" s="278"/>
      <c r="P109" s="279">
        <f t="shared" si="3"/>
        <v>0</v>
      </c>
    </row>
    <row r="110" spans="1:26" ht="15" customHeight="1" x14ac:dyDescent="0.35">
      <c r="A110" s="270">
        <v>3087</v>
      </c>
      <c r="B110" s="301" t="s">
        <v>712</v>
      </c>
      <c r="C110" s="301" t="s">
        <v>713</v>
      </c>
      <c r="D110" s="296" t="s">
        <v>111</v>
      </c>
      <c r="E110" s="302">
        <v>41715</v>
      </c>
      <c r="F110" s="292" t="s">
        <v>77</v>
      </c>
      <c r="G110" s="227">
        <v>500</v>
      </c>
      <c r="H110" s="160"/>
      <c r="I110" s="161"/>
      <c r="J110" s="160"/>
      <c r="K110" s="161"/>
      <c r="L110" s="160"/>
      <c r="M110" s="161"/>
      <c r="N110" s="162"/>
      <c r="O110" s="278"/>
      <c r="P110" s="279">
        <f t="shared" si="3"/>
        <v>0</v>
      </c>
    </row>
    <row r="111" spans="1:26" ht="15" customHeight="1" x14ac:dyDescent="0.35">
      <c r="A111" s="280">
        <v>3038</v>
      </c>
      <c r="B111" s="294" t="s">
        <v>205</v>
      </c>
      <c r="C111" s="294" t="s">
        <v>204</v>
      </c>
      <c r="D111" s="290" t="s">
        <v>111</v>
      </c>
      <c r="E111" s="309">
        <v>41714</v>
      </c>
      <c r="F111" s="296" t="s">
        <v>12</v>
      </c>
      <c r="G111" s="293">
        <v>500</v>
      </c>
      <c r="H111" s="160"/>
      <c r="I111" s="161"/>
      <c r="J111" s="160"/>
      <c r="K111" s="161"/>
      <c r="L111" s="160"/>
      <c r="M111" s="161"/>
      <c r="N111" s="162"/>
      <c r="O111" s="278"/>
      <c r="P111" s="279">
        <f t="shared" si="3"/>
        <v>0</v>
      </c>
    </row>
    <row r="112" spans="1:26" ht="15" customHeight="1" x14ac:dyDescent="0.35">
      <c r="A112" s="280">
        <v>3039</v>
      </c>
      <c r="B112" s="289" t="s">
        <v>715</v>
      </c>
      <c r="C112" s="289" t="s">
        <v>45</v>
      </c>
      <c r="D112" s="290" t="s">
        <v>111</v>
      </c>
      <c r="E112" s="291">
        <v>41711</v>
      </c>
      <c r="F112" s="292" t="s">
        <v>13</v>
      </c>
      <c r="G112" s="325" t="s">
        <v>126</v>
      </c>
      <c r="H112" s="160"/>
      <c r="I112" s="161"/>
      <c r="J112" s="160"/>
      <c r="K112" s="161"/>
      <c r="L112" s="160"/>
      <c r="M112" s="161"/>
      <c r="N112" s="162"/>
      <c r="O112" s="278"/>
      <c r="P112" s="279">
        <f t="shared" si="3"/>
        <v>0</v>
      </c>
    </row>
    <row r="113" spans="1:16" ht="15" customHeight="1" x14ac:dyDescent="0.35">
      <c r="A113" s="280">
        <v>3040</v>
      </c>
      <c r="B113" s="289" t="s">
        <v>733</v>
      </c>
      <c r="C113" s="289" t="s">
        <v>684</v>
      </c>
      <c r="D113" s="290" t="s">
        <v>111</v>
      </c>
      <c r="E113" s="291">
        <v>41705</v>
      </c>
      <c r="F113" s="292" t="s">
        <v>13</v>
      </c>
      <c r="G113" s="293" t="s">
        <v>126</v>
      </c>
      <c r="H113" s="160"/>
      <c r="I113" s="161"/>
      <c r="J113" s="160"/>
      <c r="K113" s="161"/>
      <c r="L113" s="160"/>
      <c r="M113" s="161"/>
      <c r="N113" s="162"/>
      <c r="O113" s="278"/>
      <c r="P113" s="279">
        <f t="shared" si="3"/>
        <v>0</v>
      </c>
    </row>
    <row r="114" spans="1:16" ht="15" customHeight="1" x14ac:dyDescent="0.35">
      <c r="A114" s="270">
        <v>3100</v>
      </c>
      <c r="B114" s="295" t="s">
        <v>640</v>
      </c>
      <c r="C114" s="295" t="s">
        <v>44</v>
      </c>
      <c r="D114" s="296" t="s">
        <v>111</v>
      </c>
      <c r="E114" s="297">
        <v>41694</v>
      </c>
      <c r="F114" s="292" t="s">
        <v>9</v>
      </c>
      <c r="G114" s="227">
        <v>500</v>
      </c>
      <c r="H114" s="160"/>
      <c r="I114" s="161"/>
      <c r="J114" s="277"/>
      <c r="K114" s="275"/>
      <c r="L114" s="160"/>
      <c r="M114" s="161"/>
      <c r="N114" s="162"/>
      <c r="O114" s="278"/>
      <c r="P114" s="279">
        <f t="shared" si="3"/>
        <v>0</v>
      </c>
    </row>
    <row r="115" spans="1:16" ht="15" customHeight="1" x14ac:dyDescent="0.35">
      <c r="A115" s="270">
        <v>3128</v>
      </c>
      <c r="B115" s="295" t="s">
        <v>742</v>
      </c>
      <c r="C115" s="295" t="s">
        <v>743</v>
      </c>
      <c r="D115" s="296" t="s">
        <v>111</v>
      </c>
      <c r="E115" s="297">
        <v>41678</v>
      </c>
      <c r="F115" s="292" t="s">
        <v>9</v>
      </c>
      <c r="G115" s="227">
        <v>500</v>
      </c>
      <c r="H115" s="160"/>
      <c r="I115" s="161"/>
      <c r="J115" s="160"/>
      <c r="K115" s="161"/>
      <c r="L115" s="160"/>
      <c r="M115" s="161"/>
      <c r="N115" s="162"/>
      <c r="O115" s="278"/>
      <c r="P115" s="279">
        <f t="shared" si="3"/>
        <v>0</v>
      </c>
    </row>
    <row r="116" spans="1:16" ht="15" customHeight="1" x14ac:dyDescent="0.35">
      <c r="A116" s="270">
        <v>3093</v>
      </c>
      <c r="B116" s="301" t="s">
        <v>707</v>
      </c>
      <c r="C116" s="301" t="s">
        <v>53</v>
      </c>
      <c r="D116" s="296" t="s">
        <v>111</v>
      </c>
      <c r="E116" s="308">
        <v>41667</v>
      </c>
      <c r="F116" s="292" t="s">
        <v>10</v>
      </c>
      <c r="G116" s="227">
        <v>515</v>
      </c>
      <c r="H116" s="160"/>
      <c r="I116" s="161"/>
      <c r="J116" s="160"/>
      <c r="K116" s="161"/>
      <c r="L116" s="160"/>
      <c r="M116" s="161"/>
      <c r="N116" s="162"/>
      <c r="O116" s="278"/>
      <c r="P116" s="279">
        <f t="shared" si="3"/>
        <v>0</v>
      </c>
    </row>
    <row r="117" spans="1:16" ht="15" customHeight="1" x14ac:dyDescent="0.35">
      <c r="A117" s="280">
        <v>3045</v>
      </c>
      <c r="B117" s="306" t="s">
        <v>405</v>
      </c>
      <c r="C117" s="306" t="s">
        <v>428</v>
      </c>
      <c r="D117" s="290" t="s">
        <v>110</v>
      </c>
      <c r="E117" s="291">
        <v>41657</v>
      </c>
      <c r="F117" s="292" t="s">
        <v>294</v>
      </c>
      <c r="G117" s="293">
        <v>500</v>
      </c>
      <c r="H117" s="160"/>
      <c r="I117" s="161"/>
      <c r="J117" s="277"/>
      <c r="K117" s="275"/>
      <c r="L117" s="160"/>
      <c r="M117" s="161"/>
      <c r="N117" s="162"/>
      <c r="O117" s="278"/>
      <c r="P117" s="279">
        <f t="shared" si="3"/>
        <v>0</v>
      </c>
    </row>
    <row r="118" spans="1:16" ht="15" customHeight="1" x14ac:dyDescent="0.35">
      <c r="A118" s="280">
        <v>3046</v>
      </c>
      <c r="B118" s="289" t="s">
        <v>665</v>
      </c>
      <c r="C118" s="289" t="s">
        <v>666</v>
      </c>
      <c r="D118" s="290" t="s">
        <v>111</v>
      </c>
      <c r="E118" s="291">
        <v>41652</v>
      </c>
      <c r="F118" s="292" t="s">
        <v>13</v>
      </c>
      <c r="G118" s="293">
        <v>500</v>
      </c>
      <c r="H118" s="160"/>
      <c r="I118" s="161"/>
      <c r="J118" s="160"/>
      <c r="K118" s="161"/>
      <c r="L118" s="160"/>
      <c r="M118" s="161"/>
      <c r="N118" s="162"/>
      <c r="O118" s="278"/>
      <c r="P118" s="279">
        <f t="shared" si="3"/>
        <v>0</v>
      </c>
    </row>
    <row r="119" spans="1:16" ht="15" customHeight="1" x14ac:dyDescent="0.35">
      <c r="A119" s="280">
        <v>3047</v>
      </c>
      <c r="B119" s="289" t="s">
        <v>718</v>
      </c>
      <c r="C119" s="289" t="s">
        <v>719</v>
      </c>
      <c r="D119" s="290" t="s">
        <v>111</v>
      </c>
      <c r="E119" s="291">
        <v>41652</v>
      </c>
      <c r="F119" s="292" t="s">
        <v>13</v>
      </c>
      <c r="G119" s="325" t="s">
        <v>126</v>
      </c>
      <c r="H119" s="160"/>
      <c r="I119" s="161"/>
      <c r="J119" s="160"/>
      <c r="K119" s="161"/>
      <c r="L119" s="160"/>
      <c r="M119" s="161"/>
      <c r="N119" s="162"/>
      <c r="O119" s="278"/>
      <c r="P119" s="279">
        <f t="shared" si="3"/>
        <v>0</v>
      </c>
    </row>
    <row r="120" spans="1:16" ht="15" customHeight="1" x14ac:dyDescent="0.35">
      <c r="A120" s="280">
        <v>3049</v>
      </c>
      <c r="B120" s="289" t="s">
        <v>701</v>
      </c>
      <c r="C120" s="289" t="s">
        <v>619</v>
      </c>
      <c r="D120" s="290" t="s">
        <v>111</v>
      </c>
      <c r="E120" s="291">
        <v>41650</v>
      </c>
      <c r="F120" s="292" t="s">
        <v>13</v>
      </c>
      <c r="G120" s="293">
        <v>500</v>
      </c>
      <c r="H120" s="160"/>
      <c r="I120" s="161"/>
      <c r="J120" s="160"/>
      <c r="K120" s="161"/>
      <c r="L120" s="160"/>
      <c r="M120" s="161"/>
      <c r="N120" s="162"/>
      <c r="O120" s="278"/>
      <c r="P120" s="279">
        <f t="shared" si="3"/>
        <v>0</v>
      </c>
    </row>
    <row r="121" spans="1:16" ht="15" customHeight="1" x14ac:dyDescent="0.35">
      <c r="A121" s="270">
        <v>3081</v>
      </c>
      <c r="B121" s="301" t="s">
        <v>646</v>
      </c>
      <c r="C121" s="301" t="s">
        <v>84</v>
      </c>
      <c r="D121" s="296" t="s">
        <v>111</v>
      </c>
      <c r="E121" s="327">
        <v>41637</v>
      </c>
      <c r="F121" s="292" t="s">
        <v>77</v>
      </c>
      <c r="G121" s="227">
        <v>500</v>
      </c>
      <c r="H121" s="160"/>
      <c r="I121" s="161"/>
      <c r="J121" s="277"/>
      <c r="K121" s="275"/>
      <c r="L121" s="160"/>
      <c r="M121" s="161"/>
      <c r="N121" s="162"/>
      <c r="O121" s="278"/>
      <c r="P121" s="279">
        <f t="shared" si="3"/>
        <v>0</v>
      </c>
    </row>
    <row r="122" spans="1:16" ht="15" customHeight="1" x14ac:dyDescent="0.35">
      <c r="A122" s="270">
        <v>3111</v>
      </c>
      <c r="B122" s="295" t="s">
        <v>670</v>
      </c>
      <c r="C122" s="295" t="s">
        <v>185</v>
      </c>
      <c r="D122" s="296" t="s">
        <v>111</v>
      </c>
      <c r="E122" s="297">
        <v>41602</v>
      </c>
      <c r="F122" s="292" t="s">
        <v>9</v>
      </c>
      <c r="G122" s="227">
        <v>500</v>
      </c>
      <c r="H122" s="160"/>
      <c r="I122" s="161"/>
      <c r="J122" s="160"/>
      <c r="K122" s="161"/>
      <c r="L122" s="160"/>
      <c r="M122" s="161"/>
      <c r="N122" s="162"/>
      <c r="O122" s="278"/>
      <c r="P122" s="279">
        <f t="shared" si="3"/>
        <v>0</v>
      </c>
    </row>
    <row r="123" spans="1:16" ht="14.25" customHeight="1" x14ac:dyDescent="0.35">
      <c r="A123" s="270">
        <v>3102</v>
      </c>
      <c r="B123" s="295" t="s">
        <v>227</v>
      </c>
      <c r="C123" s="295" t="s">
        <v>228</v>
      </c>
      <c r="D123" s="296" t="s">
        <v>110</v>
      </c>
      <c r="E123" s="297">
        <v>41563</v>
      </c>
      <c r="F123" s="292" t="s">
        <v>9</v>
      </c>
      <c r="G123" s="227">
        <v>737</v>
      </c>
      <c r="H123" s="160"/>
      <c r="I123" s="161"/>
      <c r="J123" s="160"/>
      <c r="K123" s="161"/>
      <c r="L123" s="160"/>
      <c r="M123" s="161"/>
      <c r="N123" s="162"/>
      <c r="O123" s="278"/>
      <c r="P123" s="279">
        <f t="shared" si="3"/>
        <v>0</v>
      </c>
    </row>
    <row r="124" spans="1:16" ht="14.25" customHeight="1" x14ac:dyDescent="0.35">
      <c r="A124" s="270">
        <v>3103</v>
      </c>
      <c r="B124" s="295" t="s">
        <v>227</v>
      </c>
      <c r="C124" s="295" t="s">
        <v>430</v>
      </c>
      <c r="D124" s="296" t="s">
        <v>110</v>
      </c>
      <c r="E124" s="297">
        <v>41563</v>
      </c>
      <c r="F124" s="292" t="s">
        <v>9</v>
      </c>
      <c r="G124" s="227">
        <v>697</v>
      </c>
      <c r="H124" s="160"/>
      <c r="I124" s="161"/>
      <c r="J124" s="160"/>
      <c r="K124" s="161"/>
      <c r="L124" s="160"/>
      <c r="M124" s="161"/>
      <c r="N124" s="162"/>
      <c r="O124" s="278"/>
      <c r="P124" s="279">
        <f t="shared" si="3"/>
        <v>0</v>
      </c>
    </row>
    <row r="125" spans="1:16" ht="14.25" customHeight="1" x14ac:dyDescent="0.35">
      <c r="A125" s="280">
        <v>3052</v>
      </c>
      <c r="B125" s="289" t="s">
        <v>641</v>
      </c>
      <c r="C125" s="289" t="s">
        <v>678</v>
      </c>
      <c r="D125" s="290" t="s">
        <v>111</v>
      </c>
      <c r="E125" s="291">
        <v>41543</v>
      </c>
      <c r="F125" s="292" t="s">
        <v>13</v>
      </c>
      <c r="G125" s="325" t="s">
        <v>126</v>
      </c>
      <c r="H125" s="160"/>
      <c r="I125" s="161"/>
      <c r="J125" s="277"/>
      <c r="K125" s="275"/>
      <c r="L125" s="160"/>
      <c r="M125" s="161"/>
      <c r="N125" s="162"/>
      <c r="O125" s="278"/>
      <c r="P125" s="279">
        <f t="shared" si="3"/>
        <v>0</v>
      </c>
    </row>
    <row r="126" spans="1:16" ht="15" customHeight="1" x14ac:dyDescent="0.35">
      <c r="A126" s="280">
        <v>3053</v>
      </c>
      <c r="B126" s="294" t="s">
        <v>167</v>
      </c>
      <c r="C126" s="294" t="s">
        <v>73</v>
      </c>
      <c r="D126" s="290" t="s">
        <v>111</v>
      </c>
      <c r="E126" s="291">
        <v>41540</v>
      </c>
      <c r="F126" s="292" t="s">
        <v>65</v>
      </c>
      <c r="G126" s="293" t="s">
        <v>126</v>
      </c>
      <c r="H126" s="160"/>
      <c r="I126" s="161"/>
      <c r="J126" s="160"/>
      <c r="K126" s="161"/>
      <c r="L126" s="160"/>
      <c r="M126" s="161"/>
      <c r="N126" s="162"/>
      <c r="O126" s="278"/>
      <c r="P126" s="279">
        <f t="shared" si="3"/>
        <v>0</v>
      </c>
    </row>
    <row r="127" spans="1:16" ht="15" customHeight="1" x14ac:dyDescent="0.35">
      <c r="A127" s="280">
        <v>3054</v>
      </c>
      <c r="B127" s="306" t="s">
        <v>673</v>
      </c>
      <c r="C127" s="319" t="s">
        <v>674</v>
      </c>
      <c r="D127" s="290" t="s">
        <v>111</v>
      </c>
      <c r="E127" s="291">
        <v>41533</v>
      </c>
      <c r="F127" s="292" t="s">
        <v>294</v>
      </c>
      <c r="G127" s="293">
        <v>500</v>
      </c>
      <c r="H127" s="160"/>
      <c r="I127" s="161"/>
      <c r="J127" s="277"/>
      <c r="K127" s="275"/>
      <c r="L127" s="160"/>
      <c r="M127" s="161"/>
      <c r="N127" s="162"/>
      <c r="O127" s="278"/>
      <c r="P127" s="279">
        <f t="shared" si="3"/>
        <v>0</v>
      </c>
    </row>
    <row r="128" spans="1:16" ht="15" customHeight="1" x14ac:dyDescent="0.35">
      <c r="A128" s="270">
        <v>3108</v>
      </c>
      <c r="B128" s="295" t="s">
        <v>664</v>
      </c>
      <c r="C128" s="295" t="s">
        <v>52</v>
      </c>
      <c r="D128" s="296" t="s">
        <v>111</v>
      </c>
      <c r="E128" s="297">
        <v>41507</v>
      </c>
      <c r="F128" s="292" t="s">
        <v>9</v>
      </c>
      <c r="G128" s="227">
        <v>500</v>
      </c>
      <c r="H128" s="277"/>
      <c r="I128" s="275"/>
      <c r="J128" s="277"/>
      <c r="K128" s="275"/>
      <c r="L128" s="160"/>
      <c r="M128" s="161"/>
      <c r="N128" s="162"/>
      <c r="O128" s="278"/>
      <c r="P128" s="279">
        <f t="shared" si="3"/>
        <v>0</v>
      </c>
    </row>
    <row r="129" spans="1:16" ht="15" customHeight="1" x14ac:dyDescent="0.35">
      <c r="A129" s="270">
        <v>3113</v>
      </c>
      <c r="B129" s="295" t="s">
        <v>682</v>
      </c>
      <c r="C129" s="295" t="s">
        <v>124</v>
      </c>
      <c r="D129" s="296" t="s">
        <v>111</v>
      </c>
      <c r="E129" s="297">
        <v>41476</v>
      </c>
      <c r="F129" s="292" t="s">
        <v>9</v>
      </c>
      <c r="G129" s="227">
        <v>500</v>
      </c>
      <c r="H129" s="160"/>
      <c r="I129" s="161"/>
      <c r="J129" s="277"/>
      <c r="K129" s="275"/>
      <c r="L129" s="160"/>
      <c r="M129" s="161"/>
      <c r="N129" s="162"/>
      <c r="O129" s="278"/>
      <c r="P129" s="279">
        <f t="shared" si="3"/>
        <v>0</v>
      </c>
    </row>
    <row r="130" spans="1:16" ht="14.25" customHeight="1" x14ac:dyDescent="0.35">
      <c r="A130" s="280">
        <v>3057</v>
      </c>
      <c r="B130" s="306" t="s">
        <v>647</v>
      </c>
      <c r="C130" s="319" t="s">
        <v>48</v>
      </c>
      <c r="D130" s="290" t="s">
        <v>111</v>
      </c>
      <c r="E130" s="291">
        <v>41466</v>
      </c>
      <c r="F130" s="292" t="s">
        <v>294</v>
      </c>
      <c r="G130" s="293">
        <v>500</v>
      </c>
      <c r="H130" s="160"/>
      <c r="I130" s="161"/>
      <c r="J130" s="160"/>
      <c r="K130" s="161"/>
      <c r="L130" s="160"/>
      <c r="M130" s="161"/>
      <c r="N130" s="162"/>
      <c r="O130" s="278"/>
      <c r="P130" s="279">
        <f t="shared" si="3"/>
        <v>0</v>
      </c>
    </row>
    <row r="131" spans="1:16" ht="14.25" customHeight="1" x14ac:dyDescent="0.35">
      <c r="A131" s="270">
        <v>3104</v>
      </c>
      <c r="B131" s="295" t="s">
        <v>653</v>
      </c>
      <c r="C131" s="295" t="s">
        <v>155</v>
      </c>
      <c r="D131" s="296" t="s">
        <v>111</v>
      </c>
      <c r="E131" s="297">
        <v>41465</v>
      </c>
      <c r="F131" s="292" t="s">
        <v>9</v>
      </c>
      <c r="G131" s="227">
        <v>500</v>
      </c>
      <c r="H131" s="160"/>
      <c r="I131" s="161"/>
      <c r="J131" s="277"/>
      <c r="K131" s="275"/>
      <c r="L131" s="160"/>
      <c r="M131" s="161"/>
      <c r="N131" s="162"/>
      <c r="O131" s="278"/>
      <c r="P131" s="279">
        <f t="shared" si="3"/>
        <v>0</v>
      </c>
    </row>
    <row r="132" spans="1:16" ht="14.25" customHeight="1" x14ac:dyDescent="0.35">
      <c r="A132" s="280">
        <v>3058</v>
      </c>
      <c r="B132" s="298" t="s">
        <v>195</v>
      </c>
      <c r="C132" s="299" t="s">
        <v>60</v>
      </c>
      <c r="D132" s="290" t="s">
        <v>111</v>
      </c>
      <c r="E132" s="291">
        <v>41462</v>
      </c>
      <c r="F132" s="292" t="s">
        <v>79</v>
      </c>
      <c r="G132" s="300">
        <v>500</v>
      </c>
      <c r="H132" s="160"/>
      <c r="I132" s="161"/>
      <c r="J132" s="160"/>
      <c r="K132" s="161"/>
      <c r="L132" s="160"/>
      <c r="M132" s="161"/>
      <c r="N132" s="162"/>
      <c r="O132" s="278"/>
      <c r="P132" s="279">
        <f t="shared" si="3"/>
        <v>0</v>
      </c>
    </row>
    <row r="133" spans="1:16" ht="14.25" customHeight="1" x14ac:dyDescent="0.35">
      <c r="A133" s="280">
        <v>3059</v>
      </c>
      <c r="B133" s="294" t="s">
        <v>201</v>
      </c>
      <c r="C133" s="294" t="s">
        <v>186</v>
      </c>
      <c r="D133" s="290" t="s">
        <v>111</v>
      </c>
      <c r="E133" s="291">
        <v>41455</v>
      </c>
      <c r="F133" s="292" t="s">
        <v>37</v>
      </c>
      <c r="G133" s="293">
        <v>500</v>
      </c>
      <c r="H133" s="160"/>
      <c r="I133" s="161"/>
      <c r="J133" s="160"/>
      <c r="K133" s="161"/>
      <c r="L133" s="160"/>
      <c r="M133" s="161"/>
      <c r="N133" s="162"/>
      <c r="O133" s="278"/>
      <c r="P133" s="279">
        <f t="shared" si="3"/>
        <v>0</v>
      </c>
    </row>
    <row r="134" spans="1:16" ht="15" customHeight="1" x14ac:dyDescent="0.35">
      <c r="A134" s="270">
        <v>3118</v>
      </c>
      <c r="B134" s="295" t="s">
        <v>694</v>
      </c>
      <c r="C134" s="295" t="s">
        <v>92</v>
      </c>
      <c r="D134" s="296" t="s">
        <v>111</v>
      </c>
      <c r="E134" s="297">
        <v>41435</v>
      </c>
      <c r="F134" s="292" t="s">
        <v>9</v>
      </c>
      <c r="G134" s="227">
        <v>500</v>
      </c>
      <c r="H134" s="160"/>
      <c r="I134" s="161"/>
      <c r="J134" s="160"/>
      <c r="K134" s="161"/>
      <c r="L134" s="160" t="s">
        <v>273</v>
      </c>
      <c r="M134" s="161"/>
      <c r="N134" s="162"/>
      <c r="O134" s="278"/>
      <c r="P134" s="279">
        <f t="shared" si="3"/>
        <v>0</v>
      </c>
    </row>
    <row r="135" spans="1:16" ht="15" customHeight="1" x14ac:dyDescent="0.35">
      <c r="A135" s="270">
        <v>3120</v>
      </c>
      <c r="B135" s="295" t="s">
        <v>703</v>
      </c>
      <c r="C135" s="295" t="s">
        <v>190</v>
      </c>
      <c r="D135" s="296" t="s">
        <v>111</v>
      </c>
      <c r="E135" s="297">
        <v>41431</v>
      </c>
      <c r="F135" s="292" t="s">
        <v>9</v>
      </c>
      <c r="G135" s="227">
        <v>500</v>
      </c>
      <c r="H135" s="160"/>
      <c r="I135" s="161"/>
      <c r="J135" s="160"/>
      <c r="K135" s="161"/>
      <c r="L135" s="160"/>
      <c r="M135" s="161"/>
      <c r="N135" s="162"/>
      <c r="O135" s="278"/>
      <c r="P135" s="279">
        <f t="shared" si="3"/>
        <v>0</v>
      </c>
    </row>
    <row r="136" spans="1:16" ht="14.25" customHeight="1" x14ac:dyDescent="0.35">
      <c r="A136" s="280">
        <v>3062</v>
      </c>
      <c r="B136" s="289" t="s">
        <v>254</v>
      </c>
      <c r="C136" s="289" t="s">
        <v>732</v>
      </c>
      <c r="D136" s="290" t="s">
        <v>111</v>
      </c>
      <c r="E136" s="291">
        <v>41422</v>
      </c>
      <c r="F136" s="292" t="s">
        <v>13</v>
      </c>
      <c r="G136" s="293" t="s">
        <v>126</v>
      </c>
      <c r="H136" s="160"/>
      <c r="I136" s="161"/>
      <c r="J136" s="160"/>
      <c r="K136" s="161"/>
      <c r="L136" s="160"/>
      <c r="M136" s="161"/>
      <c r="N136" s="162"/>
      <c r="O136" s="278"/>
      <c r="P136" s="279">
        <f t="shared" ref="P136:P162" si="4">SUM(I136:O136)</f>
        <v>0</v>
      </c>
    </row>
    <row r="137" spans="1:16" ht="15" customHeight="1" x14ac:dyDescent="0.35">
      <c r="A137" s="280">
        <v>3063</v>
      </c>
      <c r="B137" s="289" t="s">
        <v>740</v>
      </c>
      <c r="C137" s="289" t="s">
        <v>741</v>
      </c>
      <c r="D137" s="290" t="s">
        <v>111</v>
      </c>
      <c r="E137" s="291">
        <v>41418</v>
      </c>
      <c r="F137" s="292" t="s">
        <v>13</v>
      </c>
      <c r="G137" s="293" t="s">
        <v>126</v>
      </c>
      <c r="H137" s="160"/>
      <c r="I137" s="161"/>
      <c r="J137" s="160"/>
      <c r="K137" s="161"/>
      <c r="L137" s="160"/>
      <c r="M137" s="161"/>
      <c r="N137" s="162"/>
      <c r="O137" s="278"/>
      <c r="P137" s="279">
        <f t="shared" si="4"/>
        <v>0</v>
      </c>
    </row>
    <row r="138" spans="1:16" ht="14.25" customHeight="1" x14ac:dyDescent="0.35">
      <c r="A138" s="280">
        <v>3064</v>
      </c>
      <c r="B138" s="298" t="s">
        <v>708</v>
      </c>
      <c r="C138" s="299" t="s">
        <v>709</v>
      </c>
      <c r="D138" s="290" t="s">
        <v>111</v>
      </c>
      <c r="E138" s="291">
        <v>41415</v>
      </c>
      <c r="F138" s="292" t="s">
        <v>79</v>
      </c>
      <c r="G138" s="300">
        <v>500</v>
      </c>
      <c r="H138" s="160"/>
      <c r="I138" s="161"/>
      <c r="J138" s="160"/>
      <c r="K138" s="161"/>
      <c r="L138" s="160"/>
      <c r="M138" s="161"/>
      <c r="N138" s="162"/>
      <c r="O138" s="278"/>
      <c r="P138" s="279">
        <f t="shared" si="4"/>
        <v>0</v>
      </c>
    </row>
    <row r="139" spans="1:16" ht="15" customHeight="1" x14ac:dyDescent="0.35">
      <c r="A139" s="270">
        <v>3109</v>
      </c>
      <c r="B139" s="295" t="s">
        <v>166</v>
      </c>
      <c r="C139" s="295" t="s">
        <v>86</v>
      </c>
      <c r="D139" s="296" t="s">
        <v>111</v>
      </c>
      <c r="E139" s="297">
        <v>41412</v>
      </c>
      <c r="F139" s="292" t="s">
        <v>9</v>
      </c>
      <c r="G139" s="227">
        <v>1456</v>
      </c>
      <c r="H139" s="160"/>
      <c r="I139" s="161"/>
      <c r="J139" s="277"/>
      <c r="K139" s="275"/>
      <c r="L139" s="160"/>
      <c r="M139" s="161"/>
      <c r="N139" s="162"/>
      <c r="O139" s="278"/>
      <c r="P139" s="279">
        <f t="shared" si="4"/>
        <v>0</v>
      </c>
    </row>
    <row r="140" spans="1:16" ht="14.25" customHeight="1" x14ac:dyDescent="0.35">
      <c r="A140" s="280">
        <v>3066</v>
      </c>
      <c r="B140" s="306" t="s">
        <v>699</v>
      </c>
      <c r="C140" s="319" t="s">
        <v>60</v>
      </c>
      <c r="D140" s="290" t="s">
        <v>111</v>
      </c>
      <c r="E140" s="291">
        <v>41389</v>
      </c>
      <c r="F140" s="292" t="s">
        <v>294</v>
      </c>
      <c r="G140" s="293">
        <v>500</v>
      </c>
      <c r="H140" s="160"/>
      <c r="I140" s="161"/>
      <c r="J140" s="160"/>
      <c r="K140" s="161"/>
      <c r="L140" s="160"/>
      <c r="M140" s="161"/>
      <c r="N140" s="162"/>
      <c r="O140" s="278"/>
      <c r="P140" s="279">
        <f t="shared" si="4"/>
        <v>0</v>
      </c>
    </row>
    <row r="141" spans="1:16" ht="14.25" customHeight="1" x14ac:dyDescent="0.35">
      <c r="A141" s="270">
        <v>3122</v>
      </c>
      <c r="B141" s="295" t="s">
        <v>236</v>
      </c>
      <c r="C141" s="295" t="s">
        <v>47</v>
      </c>
      <c r="D141" s="296" t="s">
        <v>111</v>
      </c>
      <c r="E141" s="297">
        <v>41375</v>
      </c>
      <c r="F141" s="292" t="s">
        <v>9</v>
      </c>
      <c r="G141" s="227">
        <v>512</v>
      </c>
      <c r="H141" s="160"/>
      <c r="I141" s="161"/>
      <c r="J141" s="160"/>
      <c r="K141" s="161"/>
      <c r="L141" s="160"/>
      <c r="M141" s="161"/>
      <c r="N141" s="162"/>
      <c r="O141" s="278"/>
      <c r="P141" s="279">
        <f t="shared" si="4"/>
        <v>0</v>
      </c>
    </row>
    <row r="142" spans="1:16" ht="15" customHeight="1" x14ac:dyDescent="0.35">
      <c r="A142" s="280">
        <v>3072</v>
      </c>
      <c r="B142" s="306" t="s">
        <v>731</v>
      </c>
      <c r="C142" s="319" t="s">
        <v>595</v>
      </c>
      <c r="D142" s="290" t="s">
        <v>111</v>
      </c>
      <c r="E142" s="291">
        <v>41345</v>
      </c>
      <c r="F142" s="292" t="s">
        <v>294</v>
      </c>
      <c r="G142" s="293" t="s">
        <v>126</v>
      </c>
      <c r="H142" s="160"/>
      <c r="I142" s="161"/>
      <c r="J142" s="160"/>
      <c r="K142" s="161"/>
      <c r="L142" s="160"/>
      <c r="M142" s="161"/>
      <c r="N142" s="162"/>
      <c r="O142" s="278"/>
      <c r="P142" s="279">
        <f t="shared" si="4"/>
        <v>0</v>
      </c>
    </row>
    <row r="143" spans="1:16" ht="14.25" customHeight="1" x14ac:dyDescent="0.35">
      <c r="A143" s="280">
        <v>3073</v>
      </c>
      <c r="B143" s="294" t="s">
        <v>628</v>
      </c>
      <c r="C143" s="294" t="s">
        <v>112</v>
      </c>
      <c r="D143" s="290" t="s">
        <v>111</v>
      </c>
      <c r="E143" s="309">
        <v>41339</v>
      </c>
      <c r="F143" s="292" t="s">
        <v>12</v>
      </c>
      <c r="G143" s="293">
        <v>500</v>
      </c>
      <c r="H143" s="160"/>
      <c r="I143" s="161"/>
      <c r="J143" s="277"/>
      <c r="K143" s="275"/>
      <c r="L143" s="160"/>
      <c r="M143" s="161"/>
      <c r="N143" s="162"/>
      <c r="O143" s="278"/>
      <c r="P143" s="279">
        <f t="shared" si="4"/>
        <v>0</v>
      </c>
    </row>
    <row r="144" spans="1:16" ht="14.25" customHeight="1" x14ac:dyDescent="0.35">
      <c r="A144" s="280">
        <v>3076</v>
      </c>
      <c r="B144" s="289" t="s">
        <v>242</v>
      </c>
      <c r="C144" s="289" t="s">
        <v>94</v>
      </c>
      <c r="D144" s="290" t="s">
        <v>111</v>
      </c>
      <c r="E144" s="291">
        <v>41304</v>
      </c>
      <c r="F144" s="292" t="s">
        <v>13</v>
      </c>
      <c r="G144" s="325" t="s">
        <v>126</v>
      </c>
      <c r="H144" s="160"/>
      <c r="I144" s="161"/>
      <c r="J144" s="277"/>
      <c r="K144" s="275"/>
      <c r="L144" s="160"/>
      <c r="M144" s="161"/>
      <c r="N144" s="162"/>
      <c r="O144" s="278"/>
      <c r="P144" s="279">
        <f t="shared" si="4"/>
        <v>0</v>
      </c>
    </row>
    <row r="145" spans="1:26" ht="15" customHeight="1" x14ac:dyDescent="0.35">
      <c r="A145" s="280">
        <v>3077</v>
      </c>
      <c r="B145" s="294" t="s">
        <v>156</v>
      </c>
      <c r="C145" s="294" t="s">
        <v>48</v>
      </c>
      <c r="D145" s="290" t="s">
        <v>111</v>
      </c>
      <c r="E145" s="291">
        <v>41292</v>
      </c>
      <c r="F145" s="292" t="s">
        <v>65</v>
      </c>
      <c r="G145" s="293">
        <v>523</v>
      </c>
      <c r="H145" s="160"/>
      <c r="I145" s="161"/>
      <c r="J145" s="160"/>
      <c r="K145" s="161"/>
      <c r="L145" s="160"/>
      <c r="M145" s="161"/>
      <c r="N145" s="162"/>
      <c r="O145" s="278"/>
      <c r="P145" s="279">
        <f t="shared" si="4"/>
        <v>0</v>
      </c>
    </row>
    <row r="146" spans="1:26" ht="15" customHeight="1" x14ac:dyDescent="0.35">
      <c r="A146" s="280">
        <v>3078</v>
      </c>
      <c r="B146" s="294" t="s">
        <v>696</v>
      </c>
      <c r="C146" s="294" t="s">
        <v>697</v>
      </c>
      <c r="D146" s="290" t="s">
        <v>111</v>
      </c>
      <c r="E146" s="309">
        <v>41288</v>
      </c>
      <c r="F146" s="292" t="s">
        <v>12</v>
      </c>
      <c r="G146" s="293">
        <v>500</v>
      </c>
      <c r="H146" s="160"/>
      <c r="I146" s="161"/>
      <c r="J146" s="160"/>
      <c r="K146" s="161"/>
      <c r="L146" s="160"/>
      <c r="M146" s="161"/>
      <c r="N146" s="162"/>
      <c r="O146" s="278"/>
      <c r="P146" s="279">
        <f t="shared" si="4"/>
        <v>0</v>
      </c>
    </row>
    <row r="147" spans="1:26" ht="15" customHeight="1" x14ac:dyDescent="0.35">
      <c r="A147" s="280">
        <v>3079</v>
      </c>
      <c r="B147" s="306" t="s">
        <v>176</v>
      </c>
      <c r="C147" s="319" t="s">
        <v>46</v>
      </c>
      <c r="D147" s="290" t="s">
        <v>111</v>
      </c>
      <c r="E147" s="291">
        <v>41286</v>
      </c>
      <c r="F147" s="292" t="s">
        <v>294</v>
      </c>
      <c r="G147" s="293" t="s">
        <v>126</v>
      </c>
      <c r="H147" s="160"/>
      <c r="I147" s="161"/>
      <c r="J147" s="160"/>
      <c r="K147" s="161"/>
      <c r="L147" s="160"/>
      <c r="M147" s="161"/>
      <c r="N147" s="162"/>
      <c r="O147" s="278"/>
      <c r="P147" s="279">
        <f t="shared" si="4"/>
        <v>0</v>
      </c>
    </row>
    <row r="148" spans="1:26" ht="15" customHeight="1" x14ac:dyDescent="0.35">
      <c r="A148" s="625">
        <v>3141</v>
      </c>
      <c r="B148" s="177" t="s">
        <v>862</v>
      </c>
      <c r="C148" s="547" t="s">
        <v>863</v>
      </c>
      <c r="D148" s="156" t="s">
        <v>111</v>
      </c>
      <c r="E148" s="195">
        <v>41275</v>
      </c>
      <c r="F148" s="180" t="s">
        <v>10</v>
      </c>
      <c r="G148" s="628"/>
      <c r="H148" s="235"/>
      <c r="I148" s="183"/>
      <c r="J148" s="235"/>
      <c r="K148" s="468"/>
      <c r="L148" s="621"/>
      <c r="M148" s="183"/>
      <c r="N148" s="182"/>
      <c r="O148" s="220"/>
      <c r="P148" s="276">
        <v>0</v>
      </c>
      <c r="Z148" s="72"/>
    </row>
    <row r="149" spans="1:26" ht="15" customHeight="1" x14ac:dyDescent="0.35">
      <c r="A149" s="625">
        <v>3142</v>
      </c>
      <c r="B149" s="177" t="s">
        <v>864</v>
      </c>
      <c r="C149" s="547" t="s">
        <v>865</v>
      </c>
      <c r="D149" s="156" t="s">
        <v>110</v>
      </c>
      <c r="E149" s="195">
        <v>41275</v>
      </c>
      <c r="F149" s="180" t="s">
        <v>13</v>
      </c>
      <c r="G149" s="628"/>
      <c r="H149" s="235"/>
      <c r="I149" s="183"/>
      <c r="J149" s="235"/>
      <c r="K149" s="183"/>
      <c r="L149" s="621" t="s">
        <v>273</v>
      </c>
      <c r="M149" s="183"/>
      <c r="N149" s="182"/>
      <c r="O149" s="220"/>
      <c r="P149" s="276">
        <v>0</v>
      </c>
      <c r="Z149" s="72"/>
    </row>
    <row r="150" spans="1:26" ht="15" customHeight="1" x14ac:dyDescent="0.35">
      <c r="A150" s="328"/>
      <c r="B150" s="329"/>
      <c r="C150" s="295"/>
      <c r="D150" s="330"/>
      <c r="E150" s="331"/>
      <c r="F150" s="296" t="s">
        <v>65</v>
      </c>
      <c r="G150" s="300"/>
      <c r="H150" s="160"/>
      <c r="I150" s="161"/>
      <c r="J150" s="160"/>
      <c r="K150" s="161"/>
      <c r="L150" s="160"/>
      <c r="M150" s="161"/>
      <c r="N150" s="162"/>
      <c r="O150" s="278"/>
      <c r="P150" s="279">
        <f t="shared" si="4"/>
        <v>0</v>
      </c>
    </row>
    <row r="151" spans="1:26" ht="15" customHeight="1" x14ac:dyDescent="0.35">
      <c r="A151" s="328"/>
      <c r="B151" s="329"/>
      <c r="C151" s="295"/>
      <c r="D151" s="330"/>
      <c r="E151" s="331"/>
      <c r="F151" s="296" t="s">
        <v>79</v>
      </c>
      <c r="G151" s="300"/>
      <c r="H151" s="160"/>
      <c r="I151" s="161"/>
      <c r="J151" s="160"/>
      <c r="K151" s="161"/>
      <c r="L151" s="160"/>
      <c r="M151" s="161"/>
      <c r="N151" s="162"/>
      <c r="O151" s="278"/>
      <c r="P151" s="279">
        <f t="shared" si="4"/>
        <v>0</v>
      </c>
    </row>
    <row r="152" spans="1:26" ht="15" customHeight="1" x14ac:dyDescent="0.35">
      <c r="A152" s="328"/>
      <c r="B152" s="295"/>
      <c r="C152" s="295"/>
      <c r="D152" s="330"/>
      <c r="E152" s="331"/>
      <c r="F152" s="296" t="s">
        <v>13</v>
      </c>
      <c r="G152" s="300"/>
      <c r="H152" s="160"/>
      <c r="I152" s="161"/>
      <c r="J152" s="160"/>
      <c r="K152" s="161"/>
      <c r="L152" s="160"/>
      <c r="M152" s="161"/>
      <c r="N152" s="162"/>
      <c r="O152" s="278"/>
      <c r="P152" s="279">
        <f t="shared" si="4"/>
        <v>0</v>
      </c>
    </row>
    <row r="153" spans="1:26" ht="15" customHeight="1" x14ac:dyDescent="0.35">
      <c r="A153" s="328"/>
      <c r="B153" s="295"/>
      <c r="C153" s="295"/>
      <c r="D153" s="330"/>
      <c r="E153" s="331"/>
      <c r="F153" s="296" t="s">
        <v>37</v>
      </c>
      <c r="G153" s="300"/>
      <c r="H153" s="160"/>
      <c r="I153" s="161"/>
      <c r="J153" s="160"/>
      <c r="K153" s="161"/>
      <c r="L153" s="160"/>
      <c r="M153" s="161"/>
      <c r="N153" s="162"/>
      <c r="O153" s="278"/>
      <c r="P153" s="279">
        <f t="shared" si="4"/>
        <v>0</v>
      </c>
    </row>
    <row r="154" spans="1:26" ht="15" customHeight="1" x14ac:dyDescent="0.35">
      <c r="A154" s="332"/>
      <c r="B154" s="333"/>
      <c r="C154" s="333"/>
      <c r="D154" s="243"/>
      <c r="E154" s="331"/>
      <c r="F154" s="334" t="s">
        <v>12</v>
      </c>
      <c r="G154" s="233"/>
      <c r="H154" s="160"/>
      <c r="I154" s="161"/>
      <c r="J154" s="160"/>
      <c r="K154" s="161"/>
      <c r="L154" s="160"/>
      <c r="M154" s="161"/>
      <c r="N154" s="162"/>
      <c r="O154" s="278"/>
      <c r="P154" s="276">
        <f t="shared" si="4"/>
        <v>0</v>
      </c>
    </row>
    <row r="155" spans="1:26" ht="15" customHeight="1" x14ac:dyDescent="0.35">
      <c r="A155" s="332"/>
      <c r="B155" s="295"/>
      <c r="C155" s="295"/>
      <c r="D155" s="330"/>
      <c r="E155" s="331"/>
      <c r="F155" s="296" t="s">
        <v>294</v>
      </c>
      <c r="G155" s="233"/>
      <c r="H155" s="160"/>
      <c r="I155" s="161"/>
      <c r="J155" s="160"/>
      <c r="K155" s="161"/>
      <c r="L155" s="160"/>
      <c r="M155" s="161"/>
      <c r="N155" s="162"/>
      <c r="O155" s="278"/>
      <c r="P155" s="276">
        <f t="shared" si="4"/>
        <v>0</v>
      </c>
    </row>
    <row r="156" spans="1:26" ht="15" customHeight="1" x14ac:dyDescent="0.35">
      <c r="A156" s="332"/>
      <c r="B156" s="295"/>
      <c r="C156" s="295"/>
      <c r="D156" s="330"/>
      <c r="E156" s="331"/>
      <c r="F156" s="296" t="s">
        <v>66</v>
      </c>
      <c r="G156" s="233"/>
      <c r="H156" s="160"/>
      <c r="I156" s="161"/>
      <c r="J156" s="160"/>
      <c r="K156" s="161"/>
      <c r="L156" s="160"/>
      <c r="M156" s="161"/>
      <c r="N156" s="162"/>
      <c r="O156" s="278"/>
      <c r="P156" s="276">
        <f t="shared" si="4"/>
        <v>0</v>
      </c>
    </row>
    <row r="157" spans="1:26" ht="15" customHeight="1" x14ac:dyDescent="0.35">
      <c r="A157" s="332"/>
      <c r="B157" s="295"/>
      <c r="C157" s="295"/>
      <c r="D157" s="330"/>
      <c r="E157" s="331"/>
      <c r="F157" s="296" t="s">
        <v>10</v>
      </c>
      <c r="G157" s="233"/>
      <c r="H157" s="160"/>
      <c r="I157" s="161"/>
      <c r="J157" s="160"/>
      <c r="K157" s="161"/>
      <c r="L157" s="160"/>
      <c r="M157" s="161"/>
      <c r="N157" s="162"/>
      <c r="O157" s="278"/>
      <c r="P157" s="276">
        <f t="shared" si="4"/>
        <v>0</v>
      </c>
    </row>
    <row r="158" spans="1:26" ht="15" customHeight="1" x14ac:dyDescent="0.35">
      <c r="A158" s="332"/>
      <c r="B158" s="295"/>
      <c r="C158" s="295"/>
      <c r="D158" s="330"/>
      <c r="E158" s="331"/>
      <c r="F158" s="296" t="s">
        <v>77</v>
      </c>
      <c r="G158" s="335"/>
      <c r="H158" s="160"/>
      <c r="I158" s="161"/>
      <c r="J158" s="160"/>
      <c r="K158" s="161"/>
      <c r="L158" s="160"/>
      <c r="M158" s="161"/>
      <c r="N158" s="162"/>
      <c r="O158" s="278"/>
      <c r="P158" s="276">
        <f t="shared" si="4"/>
        <v>0</v>
      </c>
    </row>
    <row r="159" spans="1:26" ht="15" customHeight="1" x14ac:dyDescent="0.35">
      <c r="A159" s="328"/>
      <c r="B159" s="336"/>
      <c r="C159" s="173"/>
      <c r="D159" s="337"/>
      <c r="E159" s="287"/>
      <c r="F159" s="180"/>
      <c r="G159" s="159"/>
      <c r="H159" s="160"/>
      <c r="I159" s="161"/>
      <c r="J159" s="160"/>
      <c r="K159" s="161"/>
      <c r="L159" s="160"/>
      <c r="M159" s="161"/>
      <c r="N159" s="162"/>
      <c r="O159" s="278"/>
      <c r="P159" s="279">
        <f t="shared" si="4"/>
        <v>0</v>
      </c>
    </row>
    <row r="160" spans="1:26" ht="15" customHeight="1" x14ac:dyDescent="0.35">
      <c r="A160" s="328"/>
      <c r="B160" s="336"/>
      <c r="C160" s="173"/>
      <c r="D160" s="337"/>
      <c r="E160" s="287"/>
      <c r="F160" s="180"/>
      <c r="G160" s="159"/>
      <c r="H160" s="160"/>
      <c r="I160" s="161"/>
      <c r="J160" s="160"/>
      <c r="K160" s="161"/>
      <c r="L160" s="160"/>
      <c r="M160" s="161"/>
      <c r="N160" s="162"/>
      <c r="O160" s="278"/>
      <c r="P160" s="279">
        <f t="shared" si="4"/>
        <v>0</v>
      </c>
    </row>
    <row r="161" spans="1:16" ht="15" customHeight="1" x14ac:dyDescent="0.35">
      <c r="A161" s="328"/>
      <c r="B161" s="336"/>
      <c r="C161" s="173"/>
      <c r="D161" s="337"/>
      <c r="E161" s="287"/>
      <c r="F161" s="180"/>
      <c r="G161" s="159"/>
      <c r="H161" s="160"/>
      <c r="I161" s="161"/>
      <c r="J161" s="160"/>
      <c r="K161" s="161"/>
      <c r="L161" s="160"/>
      <c r="M161" s="161"/>
      <c r="N161" s="162"/>
      <c r="O161" s="278"/>
      <c r="P161" s="279">
        <f t="shared" si="4"/>
        <v>0</v>
      </c>
    </row>
    <row r="162" spans="1:16" ht="15" customHeight="1" x14ac:dyDescent="0.35">
      <c r="A162" s="328"/>
      <c r="B162" s="336"/>
      <c r="C162" s="173"/>
      <c r="D162" s="337"/>
      <c r="E162" s="287"/>
      <c r="F162" s="180"/>
      <c r="G162" s="159"/>
      <c r="H162" s="160"/>
      <c r="I162" s="161"/>
      <c r="J162" s="160"/>
      <c r="K162" s="161"/>
      <c r="L162" s="160"/>
      <c r="M162" s="161"/>
      <c r="N162" s="162"/>
      <c r="O162" s="278"/>
      <c r="P162" s="279">
        <f t="shared" si="4"/>
        <v>0</v>
      </c>
    </row>
    <row r="163" spans="1:16" ht="15" customHeight="1" x14ac:dyDescent="0.35">
      <c r="A163" s="328"/>
      <c r="B163" s="336"/>
      <c r="C163" s="173"/>
      <c r="D163" s="337"/>
      <c r="E163" s="287"/>
      <c r="F163" s="180"/>
      <c r="G163" s="159"/>
      <c r="H163" s="160"/>
      <c r="I163" s="161"/>
      <c r="J163" s="160"/>
      <c r="K163" s="161"/>
      <c r="L163" s="160"/>
      <c r="M163" s="161"/>
      <c r="N163" s="162"/>
      <c r="O163" s="278"/>
      <c r="P163" s="279">
        <f t="shared" ref="P163:P171" si="5">SUM(I163:O163)</f>
        <v>0</v>
      </c>
    </row>
    <row r="164" spans="1:16" ht="15" customHeight="1" x14ac:dyDescent="0.35">
      <c r="A164" s="328"/>
      <c r="B164" s="336"/>
      <c r="C164" s="173"/>
      <c r="D164" s="337"/>
      <c r="E164" s="287"/>
      <c r="F164" s="180"/>
      <c r="G164" s="159"/>
      <c r="H164" s="160"/>
      <c r="I164" s="161"/>
      <c r="J164" s="160"/>
      <c r="K164" s="161"/>
      <c r="L164" s="160"/>
      <c r="M164" s="161"/>
      <c r="N164" s="162"/>
      <c r="O164" s="278"/>
      <c r="P164" s="279">
        <f t="shared" si="5"/>
        <v>0</v>
      </c>
    </row>
    <row r="165" spans="1:16" ht="15" customHeight="1" x14ac:dyDescent="0.35">
      <c r="A165" s="328"/>
      <c r="B165" s="336"/>
      <c r="C165" s="173"/>
      <c r="D165" s="337"/>
      <c r="E165" s="287"/>
      <c r="F165" s="180"/>
      <c r="G165" s="159"/>
      <c r="H165" s="160"/>
      <c r="I165" s="161"/>
      <c r="J165" s="160"/>
      <c r="K165" s="161"/>
      <c r="L165" s="160"/>
      <c r="M165" s="161"/>
      <c r="N165" s="162"/>
      <c r="O165" s="278"/>
      <c r="P165" s="279">
        <f t="shared" si="5"/>
        <v>0</v>
      </c>
    </row>
    <row r="166" spans="1:16" ht="15" customHeight="1" x14ac:dyDescent="0.35">
      <c r="A166" s="328"/>
      <c r="B166" s="336"/>
      <c r="C166" s="173"/>
      <c r="D166" s="337"/>
      <c r="E166" s="287"/>
      <c r="F166" s="180"/>
      <c r="G166" s="159"/>
      <c r="H166" s="160"/>
      <c r="I166" s="161"/>
      <c r="J166" s="160"/>
      <c r="K166" s="161"/>
      <c r="L166" s="160"/>
      <c r="M166" s="161"/>
      <c r="N166" s="162"/>
      <c r="O166" s="278"/>
      <c r="P166" s="279">
        <f t="shared" si="5"/>
        <v>0</v>
      </c>
    </row>
    <row r="167" spans="1:16" ht="15" customHeight="1" x14ac:dyDescent="0.35">
      <c r="A167" s="328"/>
      <c r="B167" s="336"/>
      <c r="C167" s="173"/>
      <c r="D167" s="337"/>
      <c r="E167" s="287"/>
      <c r="F167" s="180"/>
      <c r="G167" s="159"/>
      <c r="H167" s="160"/>
      <c r="I167" s="161"/>
      <c r="J167" s="160"/>
      <c r="K167" s="161"/>
      <c r="L167" s="160"/>
      <c r="M167" s="161"/>
      <c r="N167" s="162"/>
      <c r="O167" s="278"/>
      <c r="P167" s="279">
        <f t="shared" si="5"/>
        <v>0</v>
      </c>
    </row>
    <row r="168" spans="1:16" ht="15" customHeight="1" x14ac:dyDescent="0.35">
      <c r="A168" s="328"/>
      <c r="B168" s="336"/>
      <c r="C168" s="173"/>
      <c r="D168" s="337"/>
      <c r="E168" s="287"/>
      <c r="F168" s="180"/>
      <c r="G168" s="159"/>
      <c r="H168" s="160"/>
      <c r="I168" s="161"/>
      <c r="J168" s="160"/>
      <c r="K168" s="161"/>
      <c r="L168" s="160"/>
      <c r="M168" s="161"/>
      <c r="N168" s="162"/>
      <c r="O168" s="278"/>
      <c r="P168" s="279">
        <f t="shared" si="5"/>
        <v>0</v>
      </c>
    </row>
    <row r="169" spans="1:16" ht="15" customHeight="1" x14ac:dyDescent="0.35">
      <c r="A169" s="328"/>
      <c r="B169" s="336"/>
      <c r="C169" s="173"/>
      <c r="D169" s="337"/>
      <c r="E169" s="287"/>
      <c r="F169" s="180"/>
      <c r="G169" s="159"/>
      <c r="H169" s="160"/>
      <c r="I169" s="161"/>
      <c r="J169" s="160"/>
      <c r="K169" s="161"/>
      <c r="L169" s="160"/>
      <c r="M169" s="161"/>
      <c r="N169" s="162"/>
      <c r="O169" s="278"/>
      <c r="P169" s="279">
        <f t="shared" si="5"/>
        <v>0</v>
      </c>
    </row>
    <row r="170" spans="1:16" ht="15" customHeight="1" x14ac:dyDescent="0.35">
      <c r="A170" s="328"/>
      <c r="B170" s="336"/>
      <c r="C170" s="173"/>
      <c r="D170" s="337"/>
      <c r="E170" s="287"/>
      <c r="F170" s="180"/>
      <c r="G170" s="159"/>
      <c r="H170" s="160"/>
      <c r="I170" s="161"/>
      <c r="J170" s="160"/>
      <c r="K170" s="161"/>
      <c r="L170" s="160"/>
      <c r="M170" s="161"/>
      <c r="N170" s="162"/>
      <c r="O170" s="278"/>
      <c r="P170" s="279">
        <f t="shared" si="5"/>
        <v>0</v>
      </c>
    </row>
    <row r="171" spans="1:16" ht="15" customHeight="1" x14ac:dyDescent="0.35">
      <c r="A171" s="328"/>
      <c r="B171" s="336"/>
      <c r="C171" s="173"/>
      <c r="D171" s="337"/>
      <c r="E171" s="287"/>
      <c r="F171" s="180"/>
      <c r="G171" s="159"/>
      <c r="H171" s="160"/>
      <c r="I171" s="161"/>
      <c r="J171" s="160"/>
      <c r="K171" s="161"/>
      <c r="L171" s="160"/>
      <c r="M171" s="161"/>
      <c r="N171" s="162"/>
      <c r="O171" s="278"/>
      <c r="P171" s="279">
        <f t="shared" si="5"/>
        <v>0</v>
      </c>
    </row>
    <row r="172" spans="1:16" ht="15" customHeight="1" x14ac:dyDescent="0.35">
      <c r="A172" s="328"/>
      <c r="B172" s="336"/>
      <c r="C172" s="173"/>
      <c r="D172" s="337"/>
      <c r="E172" s="287"/>
      <c r="F172" s="180"/>
      <c r="G172" s="159"/>
      <c r="H172" s="160"/>
      <c r="I172" s="161"/>
      <c r="J172" s="160"/>
      <c r="K172" s="161"/>
      <c r="L172" s="160"/>
      <c r="M172" s="161"/>
      <c r="N172" s="162"/>
      <c r="O172" s="278"/>
      <c r="P172" s="279">
        <f t="shared" ref="P172:P174" si="6">SUM(I172:O172)</f>
        <v>0</v>
      </c>
    </row>
    <row r="173" spans="1:16" ht="15" customHeight="1" x14ac:dyDescent="0.35">
      <c r="A173" s="328"/>
      <c r="B173" s="336"/>
      <c r="C173" s="173"/>
      <c r="D173" s="337"/>
      <c r="E173" s="287"/>
      <c r="F173" s="180"/>
      <c r="G173" s="159"/>
      <c r="H173" s="160"/>
      <c r="I173" s="161"/>
      <c r="J173" s="160"/>
      <c r="K173" s="161"/>
      <c r="L173" s="160"/>
      <c r="M173" s="161"/>
      <c r="N173" s="162"/>
      <c r="O173" s="278"/>
      <c r="P173" s="279">
        <f t="shared" si="6"/>
        <v>0</v>
      </c>
    </row>
    <row r="174" spans="1:16" ht="15" thickBot="1" x14ac:dyDescent="0.4">
      <c r="A174" s="338"/>
      <c r="B174" s="339"/>
      <c r="C174" s="340"/>
      <c r="D174" s="341"/>
      <c r="E174" s="342"/>
      <c r="F174" s="343"/>
      <c r="G174" s="344"/>
      <c r="H174" s="345"/>
      <c r="I174" s="346"/>
      <c r="J174" s="345"/>
      <c r="K174" s="346"/>
      <c r="L174" s="345"/>
      <c r="M174" s="346"/>
      <c r="N174" s="347"/>
      <c r="O174" s="348"/>
      <c r="P174" s="261">
        <f t="shared" si="6"/>
        <v>0</v>
      </c>
    </row>
    <row r="175" spans="1:16" ht="14.25" customHeight="1" x14ac:dyDescent="0.35">
      <c r="C175" s="39"/>
      <c r="D175" s="39"/>
      <c r="F175" s="73"/>
      <c r="G175" s="35" t="s">
        <v>30</v>
      </c>
      <c r="H175" s="75">
        <f>COUNTA(H8:H174)</f>
        <v>58</v>
      </c>
      <c r="I175" s="1"/>
      <c r="J175" s="75">
        <f>COUNTA(J8:J174)</f>
        <v>39</v>
      </c>
      <c r="K175" s="1" t="s">
        <v>31</v>
      </c>
      <c r="L175" s="1">
        <f>COUNTA(L8:L174)</f>
        <v>32</v>
      </c>
      <c r="M175" s="1"/>
      <c r="N175" s="1">
        <f>COUNTA(N8:N174)</f>
        <v>0</v>
      </c>
      <c r="O175" s="1"/>
      <c r="P175" s="76">
        <f>COUNTIF(P8:P174,"&gt;0")</f>
        <v>71</v>
      </c>
    </row>
    <row r="176" spans="1:16" ht="15.5" x14ac:dyDescent="0.35">
      <c r="K176" s="42"/>
      <c r="M176" s="42"/>
    </row>
    <row r="177" spans="11:16" ht="15.5" x14ac:dyDescent="0.35">
      <c r="K177" s="42"/>
      <c r="P177"/>
    </row>
    <row r="178" spans="11:16" ht="15.5" x14ac:dyDescent="0.35">
      <c r="K178" s="42"/>
      <c r="P178"/>
    </row>
    <row r="179" spans="11:16" ht="15.5" x14ac:dyDescent="0.35">
      <c r="K179" s="42"/>
      <c r="P179"/>
    </row>
    <row r="180" spans="11:16" ht="15.5" x14ac:dyDescent="0.35">
      <c r="K180" s="42"/>
      <c r="P180"/>
    </row>
    <row r="181" spans="11:16" ht="15.5" x14ac:dyDescent="0.35">
      <c r="K181" s="42"/>
      <c r="P181"/>
    </row>
    <row r="182" spans="11:16" ht="15.5" x14ac:dyDescent="0.35">
      <c r="K182" s="42"/>
      <c r="P182"/>
    </row>
    <row r="183" spans="11:16" ht="15.5" x14ac:dyDescent="0.35">
      <c r="K183" s="42"/>
      <c r="P183"/>
    </row>
    <row r="184" spans="11:16" ht="15.5" x14ac:dyDescent="0.35">
      <c r="K184" s="42"/>
      <c r="P184"/>
    </row>
    <row r="185" spans="11:16" ht="15.5" x14ac:dyDescent="0.35">
      <c r="K185" s="42"/>
      <c r="P185"/>
    </row>
    <row r="186" spans="11:16" ht="15.5" x14ac:dyDescent="0.35">
      <c r="K186" s="42"/>
      <c r="P186"/>
    </row>
    <row r="187" spans="11:16" ht="15.5" x14ac:dyDescent="0.35">
      <c r="K187" s="42"/>
      <c r="P187"/>
    </row>
    <row r="188" spans="11:16" ht="15.5" x14ac:dyDescent="0.35">
      <c r="K188" s="42"/>
      <c r="P188"/>
    </row>
    <row r="189" spans="11:16" ht="15.5" x14ac:dyDescent="0.35">
      <c r="K189" s="42"/>
      <c r="P189"/>
    </row>
    <row r="190" spans="11:16" ht="15.5" x14ac:dyDescent="0.35">
      <c r="K190" s="42"/>
      <c r="P190"/>
    </row>
    <row r="191" spans="11:16" ht="15.5" x14ac:dyDescent="0.35">
      <c r="K191" s="42"/>
      <c r="P191"/>
    </row>
    <row r="192" spans="11:16" ht="15.5" x14ac:dyDescent="0.35">
      <c r="K192" s="42"/>
      <c r="P192"/>
    </row>
    <row r="193" spans="6:16" ht="15.5" x14ac:dyDescent="0.35">
      <c r="K193" s="42"/>
      <c r="P193"/>
    </row>
    <row r="194" spans="6:16" ht="15.5" x14ac:dyDescent="0.35">
      <c r="K194" s="42"/>
      <c r="P194"/>
    </row>
    <row r="195" spans="6:16" ht="15.5" x14ac:dyDescent="0.35">
      <c r="K195" s="42"/>
      <c r="P195"/>
    </row>
    <row r="196" spans="6:16" ht="15.5" x14ac:dyDescent="0.35">
      <c r="K196" s="42"/>
      <c r="P196"/>
    </row>
    <row r="197" spans="6:16" x14ac:dyDescent="0.3">
      <c r="P197"/>
    </row>
    <row r="198" spans="6:16" x14ac:dyDescent="0.3">
      <c r="P198"/>
    </row>
    <row r="199" spans="6:16" x14ac:dyDescent="0.3">
      <c r="P199"/>
    </row>
    <row r="200" spans="6:16" x14ac:dyDescent="0.3">
      <c r="P200"/>
    </row>
    <row r="201" spans="6:16" x14ac:dyDescent="0.3">
      <c r="P201"/>
    </row>
    <row r="202" spans="6:16" x14ac:dyDescent="0.3">
      <c r="P202"/>
    </row>
    <row r="203" spans="6:16" x14ac:dyDescent="0.3">
      <c r="F203"/>
      <c r="G203"/>
      <c r="H203"/>
      <c r="J203"/>
      <c r="P203"/>
    </row>
    <row r="204" spans="6:16" x14ac:dyDescent="0.3">
      <c r="F204"/>
      <c r="G204"/>
      <c r="H204"/>
      <c r="J204"/>
      <c r="P204"/>
    </row>
    <row r="205" spans="6:16" x14ac:dyDescent="0.3">
      <c r="F205"/>
      <c r="G205"/>
      <c r="H205"/>
      <c r="J205"/>
      <c r="P205"/>
    </row>
    <row r="206" spans="6:16" x14ac:dyDescent="0.3">
      <c r="F206"/>
      <c r="G206"/>
      <c r="H206"/>
      <c r="J206"/>
      <c r="P206"/>
    </row>
    <row r="207" spans="6:16" x14ac:dyDescent="0.3">
      <c r="F207"/>
      <c r="G207"/>
      <c r="H207"/>
      <c r="J207"/>
      <c r="P207"/>
    </row>
    <row r="208" spans="6:16" x14ac:dyDescent="0.3">
      <c r="F208"/>
      <c r="G208"/>
      <c r="H208"/>
      <c r="J208"/>
      <c r="P208"/>
    </row>
    <row r="209" spans="6:16" x14ac:dyDescent="0.3">
      <c r="F209"/>
      <c r="G209"/>
      <c r="H209"/>
      <c r="J209"/>
      <c r="P209"/>
    </row>
    <row r="210" spans="6:16" x14ac:dyDescent="0.3">
      <c r="F210"/>
      <c r="G210"/>
      <c r="H210"/>
      <c r="J210"/>
      <c r="P210"/>
    </row>
    <row r="211" spans="6:16" x14ac:dyDescent="0.3">
      <c r="F211"/>
      <c r="G211"/>
      <c r="H211"/>
      <c r="J211"/>
      <c r="P211"/>
    </row>
    <row r="212" spans="6:16" x14ac:dyDescent="0.3">
      <c r="F212"/>
      <c r="G212"/>
      <c r="H212"/>
      <c r="J212"/>
      <c r="P212"/>
    </row>
    <row r="213" spans="6:16" x14ac:dyDescent="0.3">
      <c r="F213"/>
      <c r="G213"/>
      <c r="H213"/>
      <c r="J213"/>
      <c r="P213"/>
    </row>
    <row r="214" spans="6:16" x14ac:dyDescent="0.3">
      <c r="F214"/>
      <c r="G214"/>
      <c r="H214"/>
      <c r="J214"/>
      <c r="P214"/>
    </row>
    <row r="215" spans="6:16" x14ac:dyDescent="0.3">
      <c r="F215"/>
      <c r="G215"/>
      <c r="H215"/>
      <c r="J215"/>
      <c r="P215"/>
    </row>
    <row r="216" spans="6:16" x14ac:dyDescent="0.3">
      <c r="F216"/>
      <c r="G216"/>
      <c r="H216"/>
      <c r="J216"/>
      <c r="P216"/>
    </row>
    <row r="217" spans="6:16" x14ac:dyDescent="0.3">
      <c r="F217"/>
      <c r="G217"/>
      <c r="H217"/>
      <c r="J217"/>
      <c r="P217"/>
    </row>
    <row r="218" spans="6:16" x14ac:dyDescent="0.3">
      <c r="F218"/>
      <c r="G218"/>
      <c r="H218"/>
      <c r="J218"/>
      <c r="P218"/>
    </row>
    <row r="219" spans="6:16" x14ac:dyDescent="0.3">
      <c r="F219"/>
      <c r="G219"/>
      <c r="H219"/>
      <c r="J219"/>
      <c r="P219"/>
    </row>
    <row r="220" spans="6:16" x14ac:dyDescent="0.3">
      <c r="F220"/>
      <c r="G220"/>
      <c r="H220"/>
      <c r="J220"/>
      <c r="P220"/>
    </row>
    <row r="221" spans="6:16" x14ac:dyDescent="0.3">
      <c r="F221"/>
      <c r="G221"/>
      <c r="H221"/>
      <c r="J221"/>
      <c r="P221"/>
    </row>
    <row r="222" spans="6:16" x14ac:dyDescent="0.3">
      <c r="F222"/>
      <c r="G222"/>
      <c r="H222"/>
      <c r="J222"/>
      <c r="P222"/>
    </row>
    <row r="223" spans="6:16" x14ac:dyDescent="0.3">
      <c r="F223"/>
      <c r="G223"/>
      <c r="H223"/>
      <c r="J223"/>
      <c r="P223"/>
    </row>
    <row r="224" spans="6:16" x14ac:dyDescent="0.3">
      <c r="F224"/>
      <c r="G224"/>
      <c r="H224"/>
      <c r="J224"/>
      <c r="P224"/>
    </row>
    <row r="225" spans="6:16" x14ac:dyDescent="0.3">
      <c r="F225"/>
      <c r="G225"/>
      <c r="H225"/>
      <c r="J225"/>
      <c r="P225"/>
    </row>
    <row r="226" spans="6:16" x14ac:dyDescent="0.3">
      <c r="F226"/>
      <c r="G226"/>
      <c r="H226"/>
      <c r="J226"/>
      <c r="P226"/>
    </row>
    <row r="227" spans="6:16" x14ac:dyDescent="0.3">
      <c r="F227"/>
      <c r="G227"/>
      <c r="H227"/>
      <c r="J227"/>
      <c r="P227"/>
    </row>
    <row r="228" spans="6:16" x14ac:dyDescent="0.3">
      <c r="F228"/>
      <c r="G228"/>
      <c r="H228"/>
      <c r="J228"/>
      <c r="P228"/>
    </row>
    <row r="229" spans="6:16" x14ac:dyDescent="0.3">
      <c r="F229"/>
      <c r="G229"/>
      <c r="H229"/>
      <c r="J229"/>
      <c r="P229"/>
    </row>
    <row r="230" spans="6:16" x14ac:dyDescent="0.3">
      <c r="F230"/>
      <c r="G230"/>
      <c r="H230"/>
      <c r="J230"/>
      <c r="P230"/>
    </row>
    <row r="231" spans="6:16" x14ac:dyDescent="0.3">
      <c r="F231"/>
      <c r="G231"/>
      <c r="H231"/>
      <c r="J231"/>
      <c r="P231"/>
    </row>
    <row r="232" spans="6:16" x14ac:dyDescent="0.3">
      <c r="F232"/>
      <c r="G232"/>
      <c r="H232"/>
      <c r="J232"/>
      <c r="P232"/>
    </row>
    <row r="233" spans="6:16" x14ac:dyDescent="0.3">
      <c r="F233"/>
      <c r="G233"/>
      <c r="H233"/>
      <c r="J233"/>
      <c r="P233"/>
    </row>
    <row r="234" spans="6:16" x14ac:dyDescent="0.3">
      <c r="F234"/>
      <c r="G234"/>
      <c r="H234"/>
      <c r="J234"/>
      <c r="P234"/>
    </row>
    <row r="235" spans="6:16" x14ac:dyDescent="0.3">
      <c r="F235"/>
      <c r="G235"/>
      <c r="H235"/>
      <c r="J235"/>
      <c r="P235"/>
    </row>
    <row r="236" spans="6:16" x14ac:dyDescent="0.3">
      <c r="F236"/>
      <c r="G236"/>
      <c r="H236"/>
      <c r="J236"/>
      <c r="P236"/>
    </row>
    <row r="237" spans="6:16" x14ac:dyDescent="0.3">
      <c r="F237"/>
      <c r="G237"/>
      <c r="H237"/>
      <c r="J237"/>
      <c r="P237"/>
    </row>
    <row r="238" spans="6:16" x14ac:dyDescent="0.3">
      <c r="F238"/>
      <c r="G238"/>
      <c r="H238"/>
      <c r="J238"/>
      <c r="P238"/>
    </row>
    <row r="239" spans="6:16" x14ac:dyDescent="0.3">
      <c r="F239"/>
      <c r="G239"/>
      <c r="H239"/>
      <c r="J239"/>
      <c r="P239"/>
    </row>
    <row r="240" spans="6:16" x14ac:dyDescent="0.3">
      <c r="F240"/>
      <c r="G240"/>
      <c r="H240"/>
      <c r="J240"/>
      <c r="P240"/>
    </row>
    <row r="241" spans="6:16" x14ac:dyDescent="0.3">
      <c r="F241"/>
      <c r="G241"/>
      <c r="H241"/>
      <c r="J241"/>
      <c r="P241"/>
    </row>
    <row r="242" spans="6:16" x14ac:dyDescent="0.3">
      <c r="F242"/>
      <c r="G242"/>
      <c r="H242"/>
      <c r="J242"/>
      <c r="P242"/>
    </row>
    <row r="243" spans="6:16" x14ac:dyDescent="0.3">
      <c r="F243"/>
      <c r="G243"/>
      <c r="H243"/>
      <c r="J243"/>
      <c r="P243"/>
    </row>
    <row r="244" spans="6:16" x14ac:dyDescent="0.3">
      <c r="F244"/>
      <c r="G244"/>
      <c r="H244"/>
      <c r="J244"/>
      <c r="P244"/>
    </row>
    <row r="245" spans="6:16" x14ac:dyDescent="0.3">
      <c r="F245"/>
      <c r="G245"/>
      <c r="H245"/>
      <c r="J245"/>
      <c r="P245"/>
    </row>
    <row r="246" spans="6:16" x14ac:dyDescent="0.3">
      <c r="F246"/>
      <c r="G246"/>
      <c r="H246"/>
      <c r="J246"/>
      <c r="P246"/>
    </row>
    <row r="247" spans="6:16" x14ac:dyDescent="0.3">
      <c r="F247"/>
      <c r="G247"/>
      <c r="H247"/>
      <c r="J247"/>
      <c r="P247"/>
    </row>
    <row r="248" spans="6:16" x14ac:dyDescent="0.3">
      <c r="F248"/>
      <c r="G248"/>
      <c r="H248"/>
      <c r="J248"/>
      <c r="P248"/>
    </row>
    <row r="249" spans="6:16" x14ac:dyDescent="0.3">
      <c r="F249"/>
      <c r="G249"/>
      <c r="H249"/>
      <c r="J249"/>
      <c r="P249"/>
    </row>
    <row r="250" spans="6:16" x14ac:dyDescent="0.3">
      <c r="F250"/>
      <c r="G250"/>
      <c r="H250"/>
      <c r="J250"/>
      <c r="P250"/>
    </row>
    <row r="251" spans="6:16" x14ac:dyDescent="0.3">
      <c r="F251"/>
      <c r="G251"/>
      <c r="H251"/>
      <c r="J251"/>
      <c r="P251"/>
    </row>
    <row r="252" spans="6:16" x14ac:dyDescent="0.3">
      <c r="F252"/>
      <c r="G252"/>
      <c r="H252"/>
      <c r="J252"/>
      <c r="P252"/>
    </row>
    <row r="253" spans="6:16" x14ac:dyDescent="0.3">
      <c r="F253"/>
      <c r="G253"/>
      <c r="H253"/>
      <c r="J253"/>
      <c r="P253"/>
    </row>
    <row r="254" spans="6:16" x14ac:dyDescent="0.3">
      <c r="F254"/>
      <c r="G254"/>
      <c r="H254"/>
      <c r="J254"/>
      <c r="P254"/>
    </row>
    <row r="255" spans="6:16" x14ac:dyDescent="0.3">
      <c r="F255"/>
      <c r="G255"/>
      <c r="H255"/>
      <c r="J255"/>
      <c r="P255"/>
    </row>
    <row r="256" spans="6:16" x14ac:dyDescent="0.3">
      <c r="F256"/>
      <c r="G256"/>
      <c r="H256"/>
      <c r="J256"/>
      <c r="P256"/>
    </row>
    <row r="257" spans="6:16" x14ac:dyDescent="0.3">
      <c r="F257"/>
      <c r="G257"/>
      <c r="H257"/>
      <c r="J257"/>
      <c r="P257"/>
    </row>
    <row r="258" spans="6:16" x14ac:dyDescent="0.3">
      <c r="F258"/>
      <c r="G258"/>
      <c r="H258"/>
      <c r="J258"/>
      <c r="P258"/>
    </row>
    <row r="259" spans="6:16" x14ac:dyDescent="0.3">
      <c r="F259"/>
      <c r="G259"/>
      <c r="H259"/>
      <c r="J259"/>
      <c r="P259"/>
    </row>
    <row r="260" spans="6:16" x14ac:dyDescent="0.3">
      <c r="F260"/>
      <c r="G260"/>
      <c r="H260"/>
      <c r="J260"/>
      <c r="P260"/>
    </row>
    <row r="261" spans="6:16" x14ac:dyDescent="0.3">
      <c r="F261"/>
      <c r="G261"/>
      <c r="H261"/>
      <c r="J261"/>
      <c r="P261"/>
    </row>
    <row r="262" spans="6:16" x14ac:dyDescent="0.3">
      <c r="F262"/>
      <c r="G262"/>
      <c r="H262"/>
      <c r="J262"/>
      <c r="P262"/>
    </row>
    <row r="263" spans="6:16" x14ac:dyDescent="0.3">
      <c r="F263"/>
      <c r="G263"/>
      <c r="H263"/>
      <c r="J263"/>
      <c r="P263"/>
    </row>
    <row r="264" spans="6:16" x14ac:dyDescent="0.3">
      <c r="F264"/>
      <c r="G264"/>
      <c r="H264"/>
      <c r="J264"/>
      <c r="P264"/>
    </row>
    <row r="265" spans="6:16" x14ac:dyDescent="0.3">
      <c r="F265"/>
      <c r="G265"/>
      <c r="H265"/>
      <c r="J265"/>
      <c r="P265"/>
    </row>
    <row r="266" spans="6:16" x14ac:dyDescent="0.3">
      <c r="F266"/>
      <c r="G266"/>
      <c r="H266"/>
      <c r="J266"/>
      <c r="P266"/>
    </row>
    <row r="267" spans="6:16" x14ac:dyDescent="0.3">
      <c r="F267"/>
      <c r="G267"/>
      <c r="H267"/>
      <c r="J267"/>
      <c r="P267"/>
    </row>
    <row r="268" spans="6:16" x14ac:dyDescent="0.3">
      <c r="F268"/>
      <c r="G268"/>
      <c r="H268"/>
      <c r="J268"/>
      <c r="P268"/>
    </row>
    <row r="269" spans="6:16" x14ac:dyDescent="0.3">
      <c r="F269"/>
      <c r="G269"/>
      <c r="H269"/>
      <c r="J269"/>
      <c r="P269"/>
    </row>
    <row r="270" spans="6:16" x14ac:dyDescent="0.3">
      <c r="F270"/>
      <c r="G270"/>
      <c r="H270"/>
      <c r="J270"/>
      <c r="P270"/>
    </row>
    <row r="271" spans="6:16" x14ac:dyDescent="0.3">
      <c r="F271"/>
      <c r="G271"/>
      <c r="H271"/>
      <c r="J271"/>
      <c r="P271"/>
    </row>
    <row r="272" spans="6:16" x14ac:dyDescent="0.3">
      <c r="F272"/>
      <c r="G272"/>
      <c r="H272"/>
      <c r="J272"/>
      <c r="P272"/>
    </row>
    <row r="273" spans="6:16" x14ac:dyDescent="0.3">
      <c r="F273"/>
      <c r="G273"/>
      <c r="H273"/>
      <c r="J273"/>
      <c r="P273"/>
    </row>
    <row r="274" spans="6:16" x14ac:dyDescent="0.3">
      <c r="F274"/>
      <c r="G274"/>
      <c r="H274"/>
      <c r="J274"/>
      <c r="P274"/>
    </row>
    <row r="275" spans="6:16" x14ac:dyDescent="0.3">
      <c r="F275"/>
      <c r="G275"/>
      <c r="H275"/>
      <c r="J275"/>
      <c r="P275"/>
    </row>
    <row r="276" spans="6:16" x14ac:dyDescent="0.3">
      <c r="F276"/>
      <c r="G276"/>
      <c r="H276"/>
      <c r="J276"/>
      <c r="P276"/>
    </row>
    <row r="277" spans="6:16" x14ac:dyDescent="0.3">
      <c r="F277"/>
      <c r="G277"/>
      <c r="H277"/>
      <c r="J277"/>
      <c r="P277"/>
    </row>
    <row r="278" spans="6:16" x14ac:dyDescent="0.3">
      <c r="F278"/>
      <c r="G278"/>
      <c r="H278"/>
      <c r="J278"/>
      <c r="P278"/>
    </row>
    <row r="279" spans="6:16" x14ac:dyDescent="0.3">
      <c r="F279"/>
      <c r="G279"/>
      <c r="H279"/>
      <c r="J279"/>
      <c r="P279"/>
    </row>
    <row r="280" spans="6:16" x14ac:dyDescent="0.3">
      <c r="F280"/>
      <c r="G280"/>
      <c r="H280"/>
      <c r="J280"/>
      <c r="P280"/>
    </row>
    <row r="281" spans="6:16" x14ac:dyDescent="0.3">
      <c r="F281"/>
      <c r="G281"/>
      <c r="H281"/>
      <c r="J281"/>
      <c r="P281"/>
    </row>
    <row r="282" spans="6:16" x14ac:dyDescent="0.3">
      <c r="F282"/>
      <c r="G282"/>
      <c r="H282"/>
      <c r="J282"/>
      <c r="P282"/>
    </row>
    <row r="283" spans="6:16" x14ac:dyDescent="0.3">
      <c r="F283"/>
      <c r="G283"/>
      <c r="H283"/>
      <c r="J283"/>
      <c r="P283"/>
    </row>
    <row r="284" spans="6:16" x14ac:dyDescent="0.3">
      <c r="F284"/>
      <c r="G284"/>
      <c r="H284"/>
      <c r="J284"/>
      <c r="P284"/>
    </row>
    <row r="285" spans="6:16" x14ac:dyDescent="0.3">
      <c r="F285"/>
      <c r="G285"/>
      <c r="H285"/>
      <c r="J285"/>
      <c r="P285"/>
    </row>
    <row r="286" spans="6:16" x14ac:dyDescent="0.3">
      <c r="F286"/>
      <c r="G286"/>
      <c r="H286"/>
      <c r="J286"/>
      <c r="P286"/>
    </row>
    <row r="287" spans="6:16" x14ac:dyDescent="0.3">
      <c r="F287"/>
      <c r="G287"/>
      <c r="H287"/>
      <c r="J287"/>
      <c r="P287"/>
    </row>
    <row r="288" spans="6:16" x14ac:dyDescent="0.3">
      <c r="F288"/>
      <c r="G288"/>
      <c r="H288"/>
      <c r="J288"/>
      <c r="P288"/>
    </row>
    <row r="289" spans="6:16" x14ac:dyDescent="0.3">
      <c r="F289"/>
      <c r="G289"/>
      <c r="H289"/>
      <c r="J289"/>
      <c r="P289"/>
    </row>
    <row r="290" spans="6:16" x14ac:dyDescent="0.3">
      <c r="F290"/>
      <c r="G290"/>
      <c r="H290"/>
      <c r="J290"/>
      <c r="P290"/>
    </row>
    <row r="291" spans="6:16" x14ac:dyDescent="0.3">
      <c r="F291"/>
      <c r="G291"/>
      <c r="H291"/>
      <c r="J291"/>
      <c r="P291"/>
    </row>
    <row r="292" spans="6:16" x14ac:dyDescent="0.3">
      <c r="F292"/>
      <c r="G292"/>
      <c r="H292"/>
      <c r="J292"/>
      <c r="P292"/>
    </row>
    <row r="293" spans="6:16" x14ac:dyDescent="0.3">
      <c r="F293"/>
      <c r="G293"/>
      <c r="H293"/>
      <c r="J293"/>
      <c r="P293"/>
    </row>
    <row r="294" spans="6:16" x14ac:dyDescent="0.3">
      <c r="F294"/>
      <c r="G294"/>
      <c r="H294"/>
      <c r="J294"/>
      <c r="P294"/>
    </row>
    <row r="295" spans="6:16" x14ac:dyDescent="0.3">
      <c r="F295"/>
      <c r="G295"/>
      <c r="H295"/>
      <c r="J295"/>
      <c r="P295"/>
    </row>
    <row r="296" spans="6:16" x14ac:dyDescent="0.3">
      <c r="F296"/>
      <c r="G296"/>
      <c r="H296"/>
      <c r="J296"/>
      <c r="P296"/>
    </row>
    <row r="297" spans="6:16" x14ac:dyDescent="0.3">
      <c r="F297"/>
      <c r="G297"/>
      <c r="H297"/>
      <c r="J297"/>
      <c r="P297"/>
    </row>
    <row r="298" spans="6:16" x14ac:dyDescent="0.3">
      <c r="F298"/>
      <c r="G298"/>
      <c r="H298"/>
      <c r="J298"/>
      <c r="P298"/>
    </row>
    <row r="299" spans="6:16" x14ac:dyDescent="0.3">
      <c r="F299"/>
      <c r="G299"/>
      <c r="H299"/>
      <c r="J299"/>
      <c r="P299"/>
    </row>
    <row r="300" spans="6:16" x14ac:dyDescent="0.3">
      <c r="F300"/>
      <c r="G300"/>
      <c r="H300"/>
      <c r="J300"/>
      <c r="P300"/>
    </row>
    <row r="301" spans="6:16" x14ac:dyDescent="0.3">
      <c r="F301"/>
      <c r="G301"/>
      <c r="H301"/>
      <c r="J301"/>
      <c r="P301"/>
    </row>
    <row r="302" spans="6:16" x14ac:dyDescent="0.3">
      <c r="F302"/>
      <c r="G302"/>
      <c r="H302"/>
      <c r="J302"/>
      <c r="P302"/>
    </row>
    <row r="303" spans="6:16" x14ac:dyDescent="0.3">
      <c r="F303"/>
      <c r="G303"/>
      <c r="H303"/>
      <c r="J303"/>
      <c r="P303"/>
    </row>
    <row r="304" spans="6:16" x14ac:dyDescent="0.3">
      <c r="F304"/>
      <c r="G304"/>
      <c r="H304"/>
      <c r="J304"/>
      <c r="P304"/>
    </row>
    <row r="305" spans="6:16" x14ac:dyDescent="0.3">
      <c r="F305"/>
      <c r="G305"/>
      <c r="H305"/>
      <c r="J305"/>
      <c r="P305"/>
    </row>
    <row r="306" spans="6:16" x14ac:dyDescent="0.3">
      <c r="F306"/>
      <c r="G306"/>
      <c r="H306"/>
      <c r="J306"/>
      <c r="P306"/>
    </row>
    <row r="307" spans="6:16" x14ac:dyDescent="0.3">
      <c r="F307"/>
      <c r="G307"/>
      <c r="H307"/>
      <c r="J307"/>
      <c r="P307"/>
    </row>
    <row r="308" spans="6:16" x14ac:dyDescent="0.3">
      <c r="F308"/>
      <c r="G308"/>
      <c r="H308"/>
      <c r="J308"/>
      <c r="P308"/>
    </row>
    <row r="309" spans="6:16" x14ac:dyDescent="0.3">
      <c r="F309"/>
      <c r="G309"/>
      <c r="H309"/>
      <c r="J309"/>
      <c r="P309"/>
    </row>
    <row r="310" spans="6:16" x14ac:dyDescent="0.3">
      <c r="F310"/>
      <c r="G310"/>
      <c r="H310"/>
      <c r="J310"/>
      <c r="P310"/>
    </row>
    <row r="311" spans="6:16" x14ac:dyDescent="0.3">
      <c r="F311"/>
      <c r="G311"/>
      <c r="H311"/>
      <c r="J311"/>
      <c r="P311"/>
    </row>
    <row r="312" spans="6:16" x14ac:dyDescent="0.3">
      <c r="F312"/>
      <c r="G312"/>
      <c r="H312"/>
      <c r="J312"/>
      <c r="P312"/>
    </row>
    <row r="313" spans="6:16" x14ac:dyDescent="0.3">
      <c r="F313"/>
      <c r="G313"/>
      <c r="H313"/>
      <c r="J313"/>
      <c r="P313"/>
    </row>
    <row r="314" spans="6:16" x14ac:dyDescent="0.3">
      <c r="F314"/>
      <c r="G314"/>
      <c r="H314"/>
      <c r="J314"/>
      <c r="P314"/>
    </row>
    <row r="315" spans="6:16" x14ac:dyDescent="0.3">
      <c r="F315"/>
      <c r="G315"/>
      <c r="H315"/>
      <c r="J315"/>
      <c r="P315"/>
    </row>
    <row r="316" spans="6:16" x14ac:dyDescent="0.3">
      <c r="F316"/>
      <c r="G316"/>
      <c r="H316"/>
      <c r="J316"/>
      <c r="P316"/>
    </row>
    <row r="317" spans="6:16" x14ac:dyDescent="0.3">
      <c r="F317"/>
      <c r="G317"/>
      <c r="H317"/>
      <c r="J317"/>
      <c r="P317"/>
    </row>
    <row r="318" spans="6:16" x14ac:dyDescent="0.3">
      <c r="F318"/>
      <c r="G318"/>
      <c r="H318"/>
      <c r="J318"/>
      <c r="P318"/>
    </row>
    <row r="319" spans="6:16" x14ac:dyDescent="0.3">
      <c r="F319"/>
      <c r="G319"/>
      <c r="H319"/>
      <c r="J319"/>
      <c r="P319"/>
    </row>
    <row r="320" spans="6:16" x14ac:dyDescent="0.3">
      <c r="F320"/>
      <c r="G320"/>
      <c r="H320"/>
      <c r="J320"/>
      <c r="P320"/>
    </row>
    <row r="321" spans="6:16" x14ac:dyDescent="0.3">
      <c r="F321"/>
      <c r="G321"/>
      <c r="H321"/>
      <c r="J321"/>
      <c r="P321"/>
    </row>
    <row r="322" spans="6:16" x14ac:dyDescent="0.3">
      <c r="F322"/>
      <c r="G322"/>
      <c r="H322"/>
      <c r="J322"/>
      <c r="P322"/>
    </row>
    <row r="323" spans="6:16" x14ac:dyDescent="0.3">
      <c r="F323"/>
      <c r="G323"/>
      <c r="H323"/>
      <c r="J323"/>
      <c r="P323"/>
    </row>
    <row r="324" spans="6:16" x14ac:dyDescent="0.3">
      <c r="F324"/>
      <c r="G324"/>
      <c r="H324"/>
      <c r="J324"/>
      <c r="P324"/>
    </row>
    <row r="325" spans="6:16" x14ac:dyDescent="0.3">
      <c r="F325"/>
      <c r="G325"/>
      <c r="H325"/>
      <c r="J325"/>
      <c r="P325"/>
    </row>
    <row r="326" spans="6:16" x14ac:dyDescent="0.3">
      <c r="F326"/>
      <c r="G326"/>
      <c r="H326"/>
      <c r="J326"/>
      <c r="P326"/>
    </row>
    <row r="327" spans="6:16" x14ac:dyDescent="0.3">
      <c r="F327"/>
      <c r="G327"/>
      <c r="H327"/>
      <c r="J327"/>
      <c r="P327"/>
    </row>
    <row r="328" spans="6:16" x14ac:dyDescent="0.3">
      <c r="F328"/>
      <c r="G328"/>
      <c r="H328"/>
      <c r="J328"/>
      <c r="P328"/>
    </row>
    <row r="329" spans="6:16" x14ac:dyDescent="0.3">
      <c r="F329"/>
      <c r="G329"/>
      <c r="H329"/>
      <c r="J329"/>
      <c r="P329"/>
    </row>
    <row r="330" spans="6:16" x14ac:dyDescent="0.3">
      <c r="F330"/>
      <c r="G330"/>
      <c r="H330"/>
      <c r="J330"/>
      <c r="P330"/>
    </row>
    <row r="331" spans="6:16" x14ac:dyDescent="0.3">
      <c r="F331"/>
      <c r="G331"/>
      <c r="H331"/>
      <c r="J331"/>
      <c r="P331"/>
    </row>
    <row r="332" spans="6:16" x14ac:dyDescent="0.3">
      <c r="F332"/>
      <c r="G332"/>
      <c r="H332"/>
      <c r="J332"/>
      <c r="P332"/>
    </row>
    <row r="333" spans="6:16" x14ac:dyDescent="0.3">
      <c r="F333"/>
      <c r="G333"/>
      <c r="H333"/>
      <c r="J333"/>
      <c r="P333"/>
    </row>
    <row r="334" spans="6:16" x14ac:dyDescent="0.3">
      <c r="F334"/>
      <c r="G334"/>
      <c r="H334"/>
      <c r="J334"/>
      <c r="P334"/>
    </row>
    <row r="335" spans="6:16" x14ac:dyDescent="0.3">
      <c r="F335"/>
      <c r="G335"/>
      <c r="H335"/>
      <c r="J335"/>
      <c r="P335"/>
    </row>
    <row r="336" spans="6:16" x14ac:dyDescent="0.3">
      <c r="F336"/>
      <c r="G336"/>
      <c r="H336"/>
      <c r="J336"/>
      <c r="P336"/>
    </row>
    <row r="337" spans="6:16" x14ac:dyDescent="0.3">
      <c r="F337"/>
      <c r="G337"/>
      <c r="H337"/>
      <c r="J337"/>
      <c r="P337"/>
    </row>
    <row r="338" spans="6:16" x14ac:dyDescent="0.3">
      <c r="F338"/>
      <c r="G338"/>
      <c r="H338"/>
      <c r="J338"/>
      <c r="P338"/>
    </row>
    <row r="339" spans="6:16" x14ac:dyDescent="0.3">
      <c r="F339"/>
      <c r="G339"/>
      <c r="H339"/>
      <c r="J339"/>
      <c r="P339"/>
    </row>
    <row r="340" spans="6:16" x14ac:dyDescent="0.3">
      <c r="F340"/>
      <c r="G340"/>
      <c r="H340"/>
      <c r="J340"/>
      <c r="P340"/>
    </row>
    <row r="341" spans="6:16" x14ac:dyDescent="0.3">
      <c r="F341"/>
      <c r="G341"/>
      <c r="H341"/>
      <c r="J341"/>
      <c r="P341"/>
    </row>
    <row r="342" spans="6:16" x14ac:dyDescent="0.3">
      <c r="F342"/>
      <c r="G342"/>
      <c r="H342"/>
      <c r="J342"/>
      <c r="P342"/>
    </row>
    <row r="343" spans="6:16" x14ac:dyDescent="0.3">
      <c r="F343"/>
      <c r="G343"/>
      <c r="H343"/>
      <c r="J343"/>
      <c r="P343"/>
    </row>
    <row r="344" spans="6:16" x14ac:dyDescent="0.3">
      <c r="F344"/>
      <c r="G344"/>
      <c r="H344"/>
      <c r="J344"/>
      <c r="P344"/>
    </row>
    <row r="345" spans="6:16" x14ac:dyDescent="0.3">
      <c r="F345"/>
      <c r="G345"/>
      <c r="H345"/>
      <c r="J345"/>
      <c r="P345"/>
    </row>
    <row r="346" spans="6:16" x14ac:dyDescent="0.3">
      <c r="F346"/>
      <c r="G346"/>
      <c r="H346"/>
      <c r="J346"/>
      <c r="P346"/>
    </row>
    <row r="347" spans="6:16" x14ac:dyDescent="0.3">
      <c r="F347"/>
      <c r="G347"/>
      <c r="H347"/>
      <c r="J347"/>
      <c r="P347"/>
    </row>
    <row r="348" spans="6:16" x14ac:dyDescent="0.3">
      <c r="F348"/>
      <c r="G348"/>
      <c r="H348"/>
      <c r="J348"/>
      <c r="P348"/>
    </row>
    <row r="349" spans="6:16" x14ac:dyDescent="0.3">
      <c r="F349"/>
      <c r="G349"/>
      <c r="H349"/>
      <c r="J349"/>
      <c r="P349"/>
    </row>
  </sheetData>
  <autoFilter ref="B7:P175" xr:uid="{00000000-0009-0000-0000-000002000000}">
    <sortState xmlns:xlrd2="http://schemas.microsoft.com/office/spreadsheetml/2017/richdata2" ref="B12:P175">
      <sortCondition ref="B7:B175"/>
    </sortState>
  </autoFilter>
  <sortState xmlns:xlrd2="http://schemas.microsoft.com/office/spreadsheetml/2017/richdata2" ref="A8:P161">
    <sortCondition descending="1" ref="P8:P161"/>
    <sortCondition descending="1" ref="E8:E161"/>
  </sortState>
  <dataConsolidate/>
  <mergeCells count="8">
    <mergeCell ref="H5:I5"/>
    <mergeCell ref="J5:K5"/>
    <mergeCell ref="L5:M5"/>
    <mergeCell ref="N5:O5"/>
    <mergeCell ref="H4:I4"/>
    <mergeCell ref="J4:K4"/>
    <mergeCell ref="L4:M4"/>
    <mergeCell ref="N4:O4"/>
  </mergeCells>
  <phoneticPr fontId="0" type="noConversion"/>
  <conditionalFormatting sqref="A19:A147 A150:A158">
    <cfRule type="duplicateValues" dxfId="298" priority="16"/>
  </conditionalFormatting>
  <conditionalFormatting sqref="A98:A117">
    <cfRule type="duplicateValues" dxfId="297" priority="26"/>
  </conditionalFormatting>
  <conditionalFormatting sqref="A118:A146">
    <cfRule type="duplicateValues" dxfId="296" priority="25"/>
  </conditionalFormatting>
  <conditionalFormatting sqref="A147">
    <cfRule type="duplicateValues" dxfId="295" priority="22"/>
  </conditionalFormatting>
  <conditionalFormatting sqref="A148:A149">
    <cfRule type="duplicateValues" dxfId="294" priority="3"/>
  </conditionalFormatting>
  <conditionalFormatting sqref="A150:A152">
    <cfRule type="duplicateValues" dxfId="293" priority="18"/>
  </conditionalFormatting>
  <conditionalFormatting sqref="A153:A158">
    <cfRule type="duplicateValues" dxfId="292" priority="28"/>
    <cfRule type="duplicateValues" dxfId="291" priority="29"/>
  </conditionalFormatting>
  <conditionalFormatting sqref="B19:B113 B115:B147 B150:B157">
    <cfRule type="duplicateValues" dxfId="290" priority="34"/>
  </conditionalFormatting>
  <conditionalFormatting sqref="B19:B113 B115:B147 B150:B158">
    <cfRule type="duplicateValues" dxfId="289" priority="15"/>
  </conditionalFormatting>
  <conditionalFormatting sqref="B114">
    <cfRule type="duplicateValues" dxfId="288" priority="9"/>
    <cfRule type="duplicateValues" dxfId="287" priority="10"/>
    <cfRule type="duplicateValues" dxfId="286" priority="11"/>
  </conditionalFormatting>
  <conditionalFormatting sqref="B148:B149">
    <cfRule type="duplicateValues" dxfId="285" priority="2"/>
    <cfRule type="duplicateValues" dxfId="284" priority="6"/>
  </conditionalFormatting>
  <conditionalFormatting sqref="B153:B158">
    <cfRule type="duplicateValues" dxfId="283" priority="30"/>
    <cfRule type="duplicateValues" dxfId="282" priority="31"/>
    <cfRule type="duplicateValues" dxfId="281" priority="33"/>
  </conditionalFormatting>
  <conditionalFormatting sqref="B159:E174 G159:P174">
    <cfRule type="expression" dxfId="280" priority="38" stopIfTrue="1">
      <formula>$F159=$E$5</formula>
    </cfRule>
  </conditionalFormatting>
  <conditionalFormatting sqref="B8:P18">
    <cfRule type="expression" dxfId="279" priority="35" stopIfTrue="1">
      <formula>$F8=$E$5</formula>
    </cfRule>
  </conditionalFormatting>
  <conditionalFormatting sqref="D19:D113 D115:D146 F19:F113 F115:F146 F153:F158">
    <cfRule type="expression" dxfId="278" priority="24">
      <formula>$F19=$E$5</formula>
    </cfRule>
  </conditionalFormatting>
  <conditionalFormatting sqref="D19:D113 D115:D146">
    <cfRule type="expression" dxfId="277" priority="23">
      <formula>#REF!=$E$5</formula>
    </cfRule>
  </conditionalFormatting>
  <conditionalFormatting sqref="D19:D147">
    <cfRule type="cellIs" dxfId="276" priority="13" operator="equal">
      <formula>"F"</formula>
    </cfRule>
  </conditionalFormatting>
  <conditionalFormatting sqref="D114 F114">
    <cfRule type="expression" dxfId="275" priority="14">
      <formula>$F114=#REF!</formula>
    </cfRule>
  </conditionalFormatting>
  <conditionalFormatting sqref="D114">
    <cfRule type="expression" dxfId="274" priority="12">
      <formula>#REF!=#REF!</formula>
    </cfRule>
  </conditionalFormatting>
  <conditionalFormatting sqref="D147 D150:D152">
    <cfRule type="expression" dxfId="273" priority="20">
      <formula>$F147=$E$5</formula>
    </cfRule>
    <cfRule type="expression" dxfId="272" priority="19">
      <formula>#REF!=$E$5</formula>
    </cfRule>
  </conditionalFormatting>
  <conditionalFormatting sqref="D148:D149 H19:K158 F148:F149">
    <cfRule type="expression" dxfId="271" priority="5">
      <formula>$F19=$E$5</formula>
    </cfRule>
  </conditionalFormatting>
  <conditionalFormatting sqref="D148:D149">
    <cfRule type="expression" dxfId="270" priority="4">
      <formula>#REF!=$E$5</formula>
    </cfRule>
  </conditionalFormatting>
  <conditionalFormatting sqref="D148:D158">
    <cfRule type="cellIs" dxfId="269" priority="1" operator="equal">
      <formula>"F"</formula>
    </cfRule>
  </conditionalFormatting>
  <conditionalFormatting sqref="D153:D158">
    <cfRule type="expression" dxfId="268" priority="27">
      <formula>#REF!=$E$5</formula>
    </cfRule>
    <cfRule type="expression" dxfId="267" priority="32">
      <formula>$F119=$E$5</formula>
    </cfRule>
  </conditionalFormatting>
  <conditionalFormatting sqref="E9:E18">
    <cfRule type="expression" dxfId="266" priority="37" stopIfTrue="1">
      <formula>$F9=$E$5</formula>
    </cfRule>
  </conditionalFormatting>
  <conditionalFormatting sqref="H9:H18">
    <cfRule type="expression" dxfId="265" priority="40" stopIfTrue="1">
      <formula>$F9=$E$5</formula>
    </cfRule>
  </conditionalFormatting>
  <conditionalFormatting sqref="L19:P158">
    <cfRule type="expression" dxfId="264" priority="7" stopIfTrue="1">
      <formula>$F19=$E$5</formula>
    </cfRule>
  </conditionalFormatting>
  <dataValidations count="6">
    <dataValidation type="list" showInputMessage="1" showErrorMessage="1" sqref="E5" xr:uid="{00000000-0002-0000-0200-000000000000}">
      <formula1>Liste_Clubs</formula1>
    </dataValidation>
    <dataValidation type="list" allowBlank="1" showInputMessage="1" showErrorMessage="1" sqref="D9:D18 D171 D159:D161" xr:uid="{00000000-0002-0000-0200-000001000000}">
      <formula1>"F,M"</formula1>
    </dataValidation>
    <dataValidation type="list" allowBlank="1" showErrorMessage="1" sqref="D8" xr:uid="{00000000-0002-0000-0200-000002000000}">
      <formula1>"F,M"</formula1>
    </dataValidation>
    <dataValidation type="list" allowBlank="1" showErrorMessage="1" sqref="F8:F17" xr:uid="{ED27F280-FF2E-4B99-8EAE-AE787E3EE469}">
      <formula1>"API,ASM,ASV,CAO,CC2,COS,COU,JOUY,TTJ-BUC,USBY,USP,VAU"</formula1>
    </dataValidation>
    <dataValidation type="list" allowBlank="1" showErrorMessage="1" sqref="F18 F159:F174" xr:uid="{9E220226-2C52-41A6-B23C-24AEA1634116}">
      <formula1>"API,ASM,ASV,CAO,CC2,COS,COU,TTJ-BUC,USBY,USP,VAU"</formula1>
    </dataValidation>
    <dataValidation type="list" allowBlank="1" showInputMessage="1" showErrorMessage="1" sqref="D19:D158" xr:uid="{9EEF0B41-077C-43DC-A3A4-13C5E5A3A03E}">
      <formula1>"F,M"</formula1>
      <formula2>0</formula2>
    </dataValidation>
  </dataValidations>
  <pageMargins left="0.78740157480314965" right="0.39370078740157483" top="0.43307086614173229" bottom="0.47244094488188981" header="0.27559055118110237" footer="0.23622047244094491"/>
  <pageSetup paperSize="9" scale="64" fitToHeight="2" orientation="portrait" horizontalDpi="300" verticalDpi="300" r:id="rId1"/>
  <headerFooter alignWithMargins="0">
    <oddHeader>&amp;C&amp;"Arial,Gras italique"Page &amp;P</oddHeader>
    <oddFooter>&amp;C&amp;"Arial,Gras"le &amp;D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AA928"/>
  <sheetViews>
    <sheetView topLeftCell="A188" zoomScale="87" zoomScaleNormal="87" workbookViewId="0">
      <selection activeCell="A195" sqref="A195:XFD195"/>
    </sheetView>
  </sheetViews>
  <sheetFormatPr baseColWidth="10" defaultRowHeight="12.5" x14ac:dyDescent="0.25"/>
  <cols>
    <col min="1" max="1" width="8.453125" bestFit="1" customWidth="1"/>
    <col min="2" max="2" width="25.453125" customWidth="1"/>
    <col min="3" max="3" width="24.6328125" bestFit="1" customWidth="1"/>
    <col min="4" max="4" width="8" bestFit="1" customWidth="1"/>
    <col min="5" max="5" width="12.6328125" style="1" bestFit="1" customWidth="1"/>
    <col min="6" max="6" width="10.1796875" style="1" bestFit="1" customWidth="1"/>
    <col min="7" max="7" width="6.1796875" customWidth="1"/>
    <col min="8" max="8" width="4.36328125" customWidth="1"/>
    <col min="9" max="9" width="7.1796875" customWidth="1"/>
    <col min="10" max="10" width="3.453125" customWidth="1"/>
    <col min="11" max="11" width="7.1796875" customWidth="1"/>
    <col min="12" max="12" width="3.453125" customWidth="1"/>
    <col min="13" max="13" width="11.453125" customWidth="1"/>
    <col min="14" max="14" width="3.453125" customWidth="1"/>
    <col min="15" max="15" width="9.81640625" bestFit="1" customWidth="1"/>
    <col min="16" max="16" width="9.36328125" customWidth="1"/>
  </cols>
  <sheetData>
    <row r="1" spans="1:27" ht="18" x14ac:dyDescent="0.4">
      <c r="B1" s="8" t="s">
        <v>158</v>
      </c>
      <c r="C1" s="3"/>
      <c r="D1" s="3"/>
      <c r="E1" s="6"/>
      <c r="F1" s="6"/>
      <c r="G1" s="3"/>
      <c r="Z1" s="72"/>
    </row>
    <row r="2" spans="1:27" ht="25.5" customHeight="1" x14ac:dyDescent="0.25">
      <c r="Z2" s="72"/>
      <c r="AA2" s="72"/>
    </row>
    <row r="3" spans="1:27" ht="18.5" thickBot="1" x14ac:dyDescent="0.45">
      <c r="B3" s="4" t="s">
        <v>42</v>
      </c>
      <c r="C3" s="5"/>
      <c r="D3" s="5"/>
      <c r="E3" s="43"/>
      <c r="H3" s="12"/>
      <c r="I3" s="12"/>
      <c r="J3" s="12"/>
      <c r="K3" s="12"/>
      <c r="L3" s="12"/>
      <c r="M3" s="12"/>
      <c r="N3" s="12"/>
      <c r="O3" s="12"/>
      <c r="Z3" s="72"/>
      <c r="AA3" s="72"/>
    </row>
    <row r="4" spans="1:27" ht="13.5" thickBot="1" x14ac:dyDescent="0.35">
      <c r="C4" s="1" t="s">
        <v>28</v>
      </c>
      <c r="D4" s="1"/>
      <c r="H4" s="629" t="s">
        <v>24</v>
      </c>
      <c r="I4" s="630"/>
      <c r="J4" s="629" t="s">
        <v>25</v>
      </c>
      <c r="K4" s="630"/>
      <c r="L4" s="629" t="s">
        <v>26</v>
      </c>
      <c r="M4" s="630"/>
      <c r="N4" s="629" t="s">
        <v>27</v>
      </c>
      <c r="O4" s="630"/>
      <c r="Z4" s="72"/>
      <c r="AA4" s="72"/>
    </row>
    <row r="5" spans="1:27" ht="13.5" thickBot="1" x14ac:dyDescent="0.35">
      <c r="C5" s="35" t="s">
        <v>29</v>
      </c>
      <c r="D5" s="35"/>
      <c r="E5" s="36" t="s">
        <v>80</v>
      </c>
      <c r="H5" s="631">
        <f>Poussins!H5</f>
        <v>45991</v>
      </c>
      <c r="I5" s="632"/>
      <c r="J5" s="631">
        <f>Poussins!J5</f>
        <v>46040</v>
      </c>
      <c r="K5" s="632"/>
      <c r="L5" s="631">
        <f>Poussins!L5</f>
        <v>46103</v>
      </c>
      <c r="M5" s="632"/>
      <c r="N5" s="631">
        <f>Poussins!N5</f>
        <v>46180</v>
      </c>
      <c r="O5" s="632"/>
      <c r="Z5" s="72"/>
      <c r="AA5" s="72"/>
    </row>
    <row r="6" spans="1:27" ht="13" thickBot="1" x14ac:dyDescent="0.3">
      <c r="H6" s="144"/>
      <c r="I6" s="10"/>
      <c r="J6" s="144"/>
      <c r="K6" s="10"/>
      <c r="L6" s="144"/>
      <c r="M6" s="10"/>
      <c r="N6" s="144"/>
      <c r="O6" s="10"/>
      <c r="Z6" s="72"/>
      <c r="AA6" s="72"/>
    </row>
    <row r="7" spans="1:27" ht="14.5" x14ac:dyDescent="0.35">
      <c r="A7" s="350" t="s">
        <v>387</v>
      </c>
      <c r="B7" s="208" t="s">
        <v>0</v>
      </c>
      <c r="C7" s="208" t="s">
        <v>1</v>
      </c>
      <c r="D7" s="208" t="s">
        <v>109</v>
      </c>
      <c r="E7" s="351" t="s">
        <v>8</v>
      </c>
      <c r="F7" s="351" t="s">
        <v>7</v>
      </c>
      <c r="G7" s="352" t="s">
        <v>41</v>
      </c>
      <c r="H7" s="210" t="s">
        <v>105</v>
      </c>
      <c r="I7" s="211" t="s">
        <v>32</v>
      </c>
      <c r="J7" s="210" t="s">
        <v>106</v>
      </c>
      <c r="K7" s="211" t="s">
        <v>33</v>
      </c>
      <c r="L7" s="212" t="s">
        <v>107</v>
      </c>
      <c r="M7" s="211" t="s">
        <v>34</v>
      </c>
      <c r="N7" s="212" t="s">
        <v>108</v>
      </c>
      <c r="O7" s="211" t="s">
        <v>35</v>
      </c>
      <c r="P7" s="353" t="s">
        <v>6</v>
      </c>
      <c r="Z7" s="72"/>
      <c r="AA7" s="72"/>
    </row>
    <row r="8" spans="1:27" ht="15" customHeight="1" x14ac:dyDescent="0.35">
      <c r="A8" s="280">
        <v>2166</v>
      </c>
      <c r="B8" s="354" t="s">
        <v>217</v>
      </c>
      <c r="C8" s="355" t="s">
        <v>124</v>
      </c>
      <c r="D8" s="356" t="s">
        <v>111</v>
      </c>
      <c r="E8" s="357">
        <v>42526</v>
      </c>
      <c r="F8" s="358" t="s">
        <v>9</v>
      </c>
      <c r="G8" s="359">
        <v>548</v>
      </c>
      <c r="H8" s="360" t="s">
        <v>273</v>
      </c>
      <c r="I8" s="361">
        <v>15</v>
      </c>
      <c r="J8" s="360" t="s">
        <v>273</v>
      </c>
      <c r="K8" s="361">
        <v>12</v>
      </c>
      <c r="L8" s="160"/>
      <c r="M8" s="161"/>
      <c r="N8" s="160"/>
      <c r="O8" s="161"/>
      <c r="P8" s="220">
        <f t="shared" ref="P8:P71" si="0">SUM(I8:O8)</f>
        <v>27</v>
      </c>
      <c r="Z8" s="72"/>
      <c r="AA8" s="72"/>
    </row>
    <row r="9" spans="1:27" ht="15" customHeight="1" x14ac:dyDescent="0.35">
      <c r="A9" s="280">
        <v>2112</v>
      </c>
      <c r="B9" s="362" t="s">
        <v>251</v>
      </c>
      <c r="C9" s="363" t="s">
        <v>252</v>
      </c>
      <c r="D9" s="364" t="s">
        <v>111</v>
      </c>
      <c r="E9" s="365">
        <v>42010</v>
      </c>
      <c r="F9" s="358" t="s">
        <v>13</v>
      </c>
      <c r="G9" s="366" t="s">
        <v>126</v>
      </c>
      <c r="H9" s="360" t="s">
        <v>273</v>
      </c>
      <c r="I9" s="361">
        <v>12</v>
      </c>
      <c r="J9" s="367" t="s">
        <v>273</v>
      </c>
      <c r="K9" s="368">
        <v>11</v>
      </c>
      <c r="L9" s="160"/>
      <c r="M9" s="161"/>
      <c r="N9" s="160"/>
      <c r="O9" s="161"/>
      <c r="P9" s="220">
        <f t="shared" si="0"/>
        <v>23</v>
      </c>
      <c r="Z9" s="72"/>
      <c r="AA9" s="72"/>
    </row>
    <row r="10" spans="1:27" ht="15" customHeight="1" x14ac:dyDescent="0.35">
      <c r="A10" s="280">
        <v>2139</v>
      </c>
      <c r="B10" s="369" t="s">
        <v>459</v>
      </c>
      <c r="C10" s="370" t="s">
        <v>575</v>
      </c>
      <c r="D10" s="356" t="s">
        <v>111</v>
      </c>
      <c r="E10" s="371">
        <v>42239</v>
      </c>
      <c r="F10" s="358" t="s">
        <v>10</v>
      </c>
      <c r="G10" s="359">
        <v>500</v>
      </c>
      <c r="H10" s="360" t="s">
        <v>273</v>
      </c>
      <c r="I10" s="361">
        <v>12</v>
      </c>
      <c r="J10" s="360" t="s">
        <v>273</v>
      </c>
      <c r="K10" s="361">
        <v>10</v>
      </c>
      <c r="L10" s="160"/>
      <c r="M10" s="161"/>
      <c r="N10" s="160"/>
      <c r="O10" s="161"/>
      <c r="P10" s="220">
        <f t="shared" si="0"/>
        <v>22</v>
      </c>
    </row>
    <row r="11" spans="1:27" ht="15" customHeight="1" x14ac:dyDescent="0.35">
      <c r="A11" s="280">
        <v>2134</v>
      </c>
      <c r="B11" s="369" t="s">
        <v>554</v>
      </c>
      <c r="C11" s="370" t="s">
        <v>45</v>
      </c>
      <c r="D11" s="356" t="s">
        <v>111</v>
      </c>
      <c r="E11" s="371">
        <v>42095</v>
      </c>
      <c r="F11" s="358" t="s">
        <v>10</v>
      </c>
      <c r="G11" s="359">
        <v>500</v>
      </c>
      <c r="H11" s="360" t="s">
        <v>273</v>
      </c>
      <c r="I11" s="361">
        <v>11</v>
      </c>
      <c r="J11" s="372" t="s">
        <v>273</v>
      </c>
      <c r="K11" s="361">
        <v>11</v>
      </c>
      <c r="L11" s="160"/>
      <c r="M11" s="161"/>
      <c r="N11" s="160"/>
      <c r="O11" s="161"/>
      <c r="P11" s="220">
        <f t="shared" si="0"/>
        <v>22</v>
      </c>
    </row>
    <row r="12" spans="1:27" ht="15" customHeight="1" x14ac:dyDescent="0.35">
      <c r="A12" s="280">
        <v>2168</v>
      </c>
      <c r="B12" s="354" t="s">
        <v>517</v>
      </c>
      <c r="C12" s="355" t="s">
        <v>599</v>
      </c>
      <c r="D12" s="356" t="s">
        <v>111</v>
      </c>
      <c r="E12" s="357">
        <v>42449</v>
      </c>
      <c r="F12" s="358" t="s">
        <v>9</v>
      </c>
      <c r="G12" s="359">
        <v>500</v>
      </c>
      <c r="H12" s="360" t="s">
        <v>273</v>
      </c>
      <c r="I12" s="361">
        <v>11</v>
      </c>
      <c r="J12" s="360" t="s">
        <v>273</v>
      </c>
      <c r="K12" s="361">
        <v>10</v>
      </c>
      <c r="L12" s="160"/>
      <c r="M12" s="161"/>
      <c r="N12" s="160"/>
      <c r="O12" s="161"/>
      <c r="P12" s="220">
        <f t="shared" si="0"/>
        <v>21</v>
      </c>
    </row>
    <row r="13" spans="1:27" ht="15" customHeight="1" x14ac:dyDescent="0.35">
      <c r="A13" s="280">
        <v>2165</v>
      </c>
      <c r="B13" s="354" t="s">
        <v>217</v>
      </c>
      <c r="C13" s="355" t="s">
        <v>60</v>
      </c>
      <c r="D13" s="356" t="s">
        <v>111</v>
      </c>
      <c r="E13" s="357">
        <v>42526</v>
      </c>
      <c r="F13" s="358" t="s">
        <v>9</v>
      </c>
      <c r="G13" s="359">
        <v>501</v>
      </c>
      <c r="H13" s="360" t="s">
        <v>273</v>
      </c>
      <c r="I13" s="361">
        <v>11</v>
      </c>
      <c r="J13" s="360" t="s">
        <v>273</v>
      </c>
      <c r="K13" s="361">
        <v>9</v>
      </c>
      <c r="L13" s="160"/>
      <c r="M13" s="161"/>
      <c r="N13" s="160"/>
      <c r="O13" s="161"/>
      <c r="P13" s="220">
        <f t="shared" si="0"/>
        <v>20</v>
      </c>
    </row>
    <row r="14" spans="1:27" ht="15" customHeight="1" x14ac:dyDescent="0.35">
      <c r="A14" s="280">
        <v>2039</v>
      </c>
      <c r="B14" s="373" t="s">
        <v>491</v>
      </c>
      <c r="C14" s="374" t="s">
        <v>172</v>
      </c>
      <c r="D14" s="364" t="s">
        <v>111</v>
      </c>
      <c r="E14" s="375">
        <v>42456</v>
      </c>
      <c r="F14" s="358" t="s">
        <v>12</v>
      </c>
      <c r="G14" s="368">
        <v>500</v>
      </c>
      <c r="H14" s="360" t="s">
        <v>273</v>
      </c>
      <c r="I14" s="361">
        <v>10</v>
      </c>
      <c r="J14" s="372" t="s">
        <v>273</v>
      </c>
      <c r="K14" s="361">
        <v>10</v>
      </c>
      <c r="L14" s="160"/>
      <c r="M14" s="161"/>
      <c r="N14" s="160"/>
      <c r="O14" s="161"/>
      <c r="P14" s="220">
        <f t="shared" si="0"/>
        <v>20</v>
      </c>
    </row>
    <row r="15" spans="1:27" ht="15" customHeight="1" x14ac:dyDescent="0.35">
      <c r="A15" s="280">
        <v>2147</v>
      </c>
      <c r="B15" s="354" t="s">
        <v>457</v>
      </c>
      <c r="C15" s="355" t="s">
        <v>49</v>
      </c>
      <c r="D15" s="356" t="s">
        <v>111</v>
      </c>
      <c r="E15" s="357">
        <v>42014</v>
      </c>
      <c r="F15" s="358" t="s">
        <v>9</v>
      </c>
      <c r="G15" s="359">
        <v>500</v>
      </c>
      <c r="H15" s="360" t="s">
        <v>273</v>
      </c>
      <c r="I15" s="361">
        <v>10</v>
      </c>
      <c r="J15" s="360" t="s">
        <v>273</v>
      </c>
      <c r="K15" s="361">
        <v>10</v>
      </c>
      <c r="L15" s="160"/>
      <c r="M15" s="161"/>
      <c r="N15" s="160"/>
      <c r="O15" s="161"/>
      <c r="P15" s="220">
        <f t="shared" si="0"/>
        <v>20</v>
      </c>
    </row>
    <row r="16" spans="1:27" ht="15" customHeight="1" x14ac:dyDescent="0.35">
      <c r="A16" s="280">
        <v>2040</v>
      </c>
      <c r="B16" s="362" t="s">
        <v>497</v>
      </c>
      <c r="C16" s="363" t="s">
        <v>830</v>
      </c>
      <c r="D16" s="364" t="s">
        <v>111</v>
      </c>
      <c r="E16" s="365">
        <v>42454</v>
      </c>
      <c r="F16" s="358" t="s">
        <v>13</v>
      </c>
      <c r="G16" s="366" t="s">
        <v>126</v>
      </c>
      <c r="H16" s="360" t="s">
        <v>273</v>
      </c>
      <c r="I16" s="361">
        <v>10</v>
      </c>
      <c r="J16" s="360" t="s">
        <v>273</v>
      </c>
      <c r="K16" s="361">
        <v>9</v>
      </c>
      <c r="L16" s="160"/>
      <c r="M16" s="161"/>
      <c r="N16" s="160"/>
      <c r="O16" s="161"/>
      <c r="P16" s="220">
        <f t="shared" si="0"/>
        <v>19</v>
      </c>
    </row>
    <row r="17" spans="1:16" ht="15" customHeight="1" x14ac:dyDescent="0.35">
      <c r="A17" s="280">
        <v>2180</v>
      </c>
      <c r="B17" s="354" t="s">
        <v>465</v>
      </c>
      <c r="C17" s="355" t="s">
        <v>124</v>
      </c>
      <c r="D17" s="356" t="s">
        <v>111</v>
      </c>
      <c r="E17" s="357">
        <v>42390</v>
      </c>
      <c r="F17" s="358" t="s">
        <v>10</v>
      </c>
      <c r="G17" s="359">
        <v>500</v>
      </c>
      <c r="H17" s="360" t="s">
        <v>273</v>
      </c>
      <c r="I17" s="361">
        <v>10</v>
      </c>
      <c r="J17" s="372" t="s">
        <v>273</v>
      </c>
      <c r="K17" s="361">
        <v>9</v>
      </c>
      <c r="L17" s="160"/>
      <c r="M17" s="161"/>
      <c r="N17" s="160"/>
      <c r="O17" s="161"/>
      <c r="P17" s="220">
        <f t="shared" si="0"/>
        <v>19</v>
      </c>
    </row>
    <row r="18" spans="1:16" ht="15" customHeight="1" x14ac:dyDescent="0.35">
      <c r="A18" s="280">
        <v>2104</v>
      </c>
      <c r="B18" s="362" t="s">
        <v>559</v>
      </c>
      <c r="C18" s="363" t="s">
        <v>618</v>
      </c>
      <c r="D18" s="364" t="s">
        <v>111</v>
      </c>
      <c r="E18" s="365">
        <v>42065</v>
      </c>
      <c r="F18" s="358" t="s">
        <v>13</v>
      </c>
      <c r="G18" s="366" t="s">
        <v>126</v>
      </c>
      <c r="H18" s="360" t="s">
        <v>273</v>
      </c>
      <c r="I18" s="361">
        <v>10</v>
      </c>
      <c r="J18" s="372" t="s">
        <v>273</v>
      </c>
      <c r="K18" s="361">
        <v>9</v>
      </c>
      <c r="L18" s="160"/>
      <c r="M18" s="161"/>
      <c r="N18" s="160"/>
      <c r="O18" s="161"/>
      <c r="P18" s="220">
        <f t="shared" si="0"/>
        <v>19</v>
      </c>
    </row>
    <row r="19" spans="1:16" ht="15" customHeight="1" x14ac:dyDescent="0.35">
      <c r="A19" s="280">
        <v>2094</v>
      </c>
      <c r="B19" s="376" t="s">
        <v>546</v>
      </c>
      <c r="C19" s="242" t="s">
        <v>73</v>
      </c>
      <c r="D19" s="156" t="s">
        <v>111</v>
      </c>
      <c r="E19" s="377">
        <v>42118</v>
      </c>
      <c r="F19" s="378" t="s">
        <v>79</v>
      </c>
      <c r="G19" s="361">
        <v>500</v>
      </c>
      <c r="H19" s="360" t="s">
        <v>273</v>
      </c>
      <c r="I19" s="361">
        <v>9</v>
      </c>
      <c r="J19" s="360" t="s">
        <v>273</v>
      </c>
      <c r="K19" s="361">
        <v>9</v>
      </c>
      <c r="L19" s="160"/>
      <c r="M19" s="161"/>
      <c r="N19" s="160"/>
      <c r="O19" s="161"/>
      <c r="P19" s="220">
        <f t="shared" si="0"/>
        <v>18</v>
      </c>
    </row>
    <row r="20" spans="1:16" ht="15" customHeight="1" x14ac:dyDescent="0.35">
      <c r="A20" s="280">
        <v>2120</v>
      </c>
      <c r="B20" s="379" t="s">
        <v>487</v>
      </c>
      <c r="C20" s="380" t="s">
        <v>134</v>
      </c>
      <c r="D20" s="381" t="s">
        <v>111</v>
      </c>
      <c r="E20" s="196">
        <v>42361</v>
      </c>
      <c r="F20" s="378" t="s">
        <v>77</v>
      </c>
      <c r="G20" s="361">
        <v>500</v>
      </c>
      <c r="H20" s="360" t="s">
        <v>273</v>
      </c>
      <c r="I20" s="361">
        <v>9</v>
      </c>
      <c r="J20" s="360" t="s">
        <v>273</v>
      </c>
      <c r="K20" s="361">
        <v>8</v>
      </c>
      <c r="L20" s="160"/>
      <c r="M20" s="161"/>
      <c r="N20" s="160"/>
      <c r="O20" s="161"/>
      <c r="P20" s="220">
        <f t="shared" si="0"/>
        <v>17</v>
      </c>
    </row>
    <row r="21" spans="1:16" ht="15" customHeight="1" x14ac:dyDescent="0.35">
      <c r="A21" s="280">
        <v>2132</v>
      </c>
      <c r="B21" s="379" t="s">
        <v>437</v>
      </c>
      <c r="C21" s="382" t="s">
        <v>813</v>
      </c>
      <c r="D21" s="381" t="s">
        <v>111</v>
      </c>
      <c r="E21" s="383">
        <v>42334</v>
      </c>
      <c r="F21" s="378" t="s">
        <v>10</v>
      </c>
      <c r="G21" s="359">
        <v>500</v>
      </c>
      <c r="H21" s="360" t="s">
        <v>273</v>
      </c>
      <c r="I21" s="361">
        <v>9</v>
      </c>
      <c r="J21" s="367" t="s">
        <v>273</v>
      </c>
      <c r="K21" s="368">
        <v>8</v>
      </c>
      <c r="L21" s="160"/>
      <c r="M21" s="161"/>
      <c r="N21" s="160"/>
      <c r="O21" s="161"/>
      <c r="P21" s="220">
        <f t="shared" si="0"/>
        <v>17</v>
      </c>
    </row>
    <row r="22" spans="1:16" ht="15" customHeight="1" x14ac:dyDescent="0.35">
      <c r="A22" s="280">
        <v>2083</v>
      </c>
      <c r="B22" s="384" t="s">
        <v>359</v>
      </c>
      <c r="C22" s="385" t="s">
        <v>115</v>
      </c>
      <c r="D22" s="386" t="s">
        <v>111</v>
      </c>
      <c r="E22" s="387">
        <v>42205</v>
      </c>
      <c r="F22" s="388" t="s">
        <v>65</v>
      </c>
      <c r="G22" s="389" t="s">
        <v>126</v>
      </c>
      <c r="H22" s="360" t="s">
        <v>273</v>
      </c>
      <c r="I22" s="361">
        <v>10</v>
      </c>
      <c r="J22" s="360" t="s">
        <v>273</v>
      </c>
      <c r="K22" s="361">
        <v>7</v>
      </c>
      <c r="L22" s="160"/>
      <c r="M22" s="161"/>
      <c r="N22" s="160"/>
      <c r="O22" s="161"/>
      <c r="P22" s="220">
        <f t="shared" si="0"/>
        <v>17</v>
      </c>
    </row>
    <row r="23" spans="1:16" ht="15" customHeight="1" x14ac:dyDescent="0.35">
      <c r="A23" s="280">
        <v>2163</v>
      </c>
      <c r="B23" s="390" t="s">
        <v>505</v>
      </c>
      <c r="C23" s="391" t="s">
        <v>89</v>
      </c>
      <c r="D23" s="381" t="s">
        <v>111</v>
      </c>
      <c r="E23" s="193">
        <v>42088</v>
      </c>
      <c r="F23" s="378" t="s">
        <v>9</v>
      </c>
      <c r="G23" s="359">
        <v>500</v>
      </c>
      <c r="H23" s="360" t="s">
        <v>273</v>
      </c>
      <c r="I23" s="361">
        <v>9</v>
      </c>
      <c r="J23" s="360" t="s">
        <v>273</v>
      </c>
      <c r="K23" s="361">
        <v>8</v>
      </c>
      <c r="L23" s="160"/>
      <c r="M23" s="161"/>
      <c r="N23" s="160"/>
      <c r="O23" s="161"/>
      <c r="P23" s="220">
        <f t="shared" si="0"/>
        <v>17</v>
      </c>
    </row>
    <row r="24" spans="1:16" ht="15" customHeight="1" x14ac:dyDescent="0.35">
      <c r="A24" s="280">
        <v>2148</v>
      </c>
      <c r="B24" s="390" t="s">
        <v>239</v>
      </c>
      <c r="C24" s="391" t="s">
        <v>576</v>
      </c>
      <c r="D24" s="381" t="s">
        <v>111</v>
      </c>
      <c r="E24" s="193">
        <v>42637</v>
      </c>
      <c r="F24" s="378" t="s">
        <v>9</v>
      </c>
      <c r="G24" s="359">
        <v>500</v>
      </c>
      <c r="H24" s="360" t="s">
        <v>273</v>
      </c>
      <c r="I24" s="361">
        <v>8</v>
      </c>
      <c r="J24" s="392" t="s">
        <v>273</v>
      </c>
      <c r="K24" s="368">
        <v>8</v>
      </c>
      <c r="L24" s="160"/>
      <c r="M24" s="161"/>
      <c r="N24" s="160"/>
      <c r="O24" s="161"/>
      <c r="P24" s="220">
        <f t="shared" si="0"/>
        <v>16</v>
      </c>
    </row>
    <row r="25" spans="1:16" ht="15" customHeight="1" x14ac:dyDescent="0.35">
      <c r="A25" s="280">
        <v>2043</v>
      </c>
      <c r="B25" s="393" t="s">
        <v>436</v>
      </c>
      <c r="C25" s="394" t="s">
        <v>567</v>
      </c>
      <c r="D25" s="156" t="s">
        <v>111</v>
      </c>
      <c r="E25" s="377">
        <v>42411</v>
      </c>
      <c r="F25" s="378" t="s">
        <v>13</v>
      </c>
      <c r="G25" s="366" t="s">
        <v>126</v>
      </c>
      <c r="H25" s="360" t="s">
        <v>273</v>
      </c>
      <c r="I25" s="361">
        <v>8</v>
      </c>
      <c r="J25" s="367" t="s">
        <v>273</v>
      </c>
      <c r="K25" s="368">
        <v>8</v>
      </c>
      <c r="L25" s="160"/>
      <c r="M25" s="161"/>
      <c r="N25" s="160"/>
      <c r="O25" s="161"/>
      <c r="P25" s="220">
        <f t="shared" si="0"/>
        <v>16</v>
      </c>
    </row>
    <row r="26" spans="1:16" ht="15" customHeight="1" x14ac:dyDescent="0.35">
      <c r="A26" s="280">
        <v>2181</v>
      </c>
      <c r="B26" s="393" t="s">
        <v>250</v>
      </c>
      <c r="C26" s="394" t="s">
        <v>173</v>
      </c>
      <c r="D26" s="156" t="s">
        <v>111</v>
      </c>
      <c r="E26" s="377">
        <v>42411</v>
      </c>
      <c r="F26" s="378" t="s">
        <v>66</v>
      </c>
      <c r="G26" s="366" t="s">
        <v>126</v>
      </c>
      <c r="H26" s="360" t="s">
        <v>273</v>
      </c>
      <c r="I26" s="361">
        <v>9</v>
      </c>
      <c r="J26" s="372" t="s">
        <v>273</v>
      </c>
      <c r="K26" s="361">
        <v>7</v>
      </c>
      <c r="L26" s="160"/>
      <c r="M26" s="161"/>
      <c r="N26" s="160"/>
      <c r="O26" s="161"/>
      <c r="P26" s="220">
        <f t="shared" si="0"/>
        <v>16</v>
      </c>
    </row>
    <row r="27" spans="1:16" ht="15" customHeight="1" x14ac:dyDescent="0.35">
      <c r="A27" s="280">
        <v>2082</v>
      </c>
      <c r="B27" s="395" t="s">
        <v>490</v>
      </c>
      <c r="C27" s="396" t="s">
        <v>131</v>
      </c>
      <c r="D27" s="156" t="s">
        <v>111</v>
      </c>
      <c r="E27" s="377">
        <v>42208</v>
      </c>
      <c r="F27" s="378" t="s">
        <v>294</v>
      </c>
      <c r="G27" s="368" t="s">
        <v>126</v>
      </c>
      <c r="H27" s="360" t="s">
        <v>273</v>
      </c>
      <c r="I27" s="361">
        <v>9</v>
      </c>
      <c r="J27" s="372" t="s">
        <v>273</v>
      </c>
      <c r="K27" s="361">
        <v>7</v>
      </c>
      <c r="L27" s="160"/>
      <c r="M27" s="161"/>
      <c r="N27" s="160"/>
      <c r="O27" s="161"/>
      <c r="P27" s="220">
        <f t="shared" si="0"/>
        <v>16</v>
      </c>
    </row>
    <row r="28" spans="1:16" ht="15" customHeight="1" x14ac:dyDescent="0.35">
      <c r="A28" s="280">
        <v>2162</v>
      </c>
      <c r="B28" s="390" t="s">
        <v>499</v>
      </c>
      <c r="C28" s="391" t="s">
        <v>73</v>
      </c>
      <c r="D28" s="381" t="s">
        <v>111</v>
      </c>
      <c r="E28" s="193">
        <v>42066</v>
      </c>
      <c r="F28" s="378" t="s">
        <v>9</v>
      </c>
      <c r="G28" s="359">
        <v>500</v>
      </c>
      <c r="H28" s="360" t="s">
        <v>273</v>
      </c>
      <c r="I28" s="361">
        <v>9</v>
      </c>
      <c r="J28" s="392" t="s">
        <v>273</v>
      </c>
      <c r="K28" s="368">
        <v>7</v>
      </c>
      <c r="L28" s="160"/>
      <c r="M28" s="161"/>
      <c r="N28" s="160"/>
      <c r="O28" s="161"/>
      <c r="P28" s="220">
        <f t="shared" si="0"/>
        <v>16</v>
      </c>
    </row>
    <row r="29" spans="1:16" ht="15" customHeight="1" x14ac:dyDescent="0.35">
      <c r="A29" s="280">
        <v>2160</v>
      </c>
      <c r="B29" s="390" t="s">
        <v>485</v>
      </c>
      <c r="C29" s="391" t="s">
        <v>60</v>
      </c>
      <c r="D29" s="381" t="s">
        <v>111</v>
      </c>
      <c r="E29" s="193">
        <v>42055</v>
      </c>
      <c r="F29" s="378" t="s">
        <v>9</v>
      </c>
      <c r="G29" s="359">
        <v>500</v>
      </c>
      <c r="H29" s="326" t="s">
        <v>273</v>
      </c>
      <c r="I29" s="361">
        <v>9</v>
      </c>
      <c r="J29" s="392" t="s">
        <v>273</v>
      </c>
      <c r="K29" s="368">
        <v>7</v>
      </c>
      <c r="L29" s="160"/>
      <c r="M29" s="161"/>
      <c r="N29" s="160"/>
      <c r="O29" s="161"/>
      <c r="P29" s="220">
        <f t="shared" si="0"/>
        <v>16</v>
      </c>
    </row>
    <row r="30" spans="1:16" ht="15" customHeight="1" x14ac:dyDescent="0.35">
      <c r="A30" s="280">
        <v>2161</v>
      </c>
      <c r="B30" s="390" t="s">
        <v>489</v>
      </c>
      <c r="C30" s="391" t="s">
        <v>816</v>
      </c>
      <c r="D30" s="381" t="s">
        <v>111</v>
      </c>
      <c r="E30" s="193">
        <v>42574</v>
      </c>
      <c r="F30" s="378" t="s">
        <v>9</v>
      </c>
      <c r="G30" s="359">
        <v>500</v>
      </c>
      <c r="H30" s="360" t="s">
        <v>273</v>
      </c>
      <c r="I30" s="361">
        <v>8</v>
      </c>
      <c r="J30" s="360" t="s">
        <v>273</v>
      </c>
      <c r="K30" s="361">
        <v>7</v>
      </c>
      <c r="L30" s="160"/>
      <c r="M30" s="161"/>
      <c r="N30" s="160"/>
      <c r="O30" s="161"/>
      <c r="P30" s="220">
        <f t="shared" si="0"/>
        <v>15</v>
      </c>
    </row>
    <row r="31" spans="1:16" ht="15" customHeight="1" x14ac:dyDescent="0.35">
      <c r="A31" s="280">
        <v>2022</v>
      </c>
      <c r="B31" s="393" t="s">
        <v>154</v>
      </c>
      <c r="C31" s="394" t="s">
        <v>56</v>
      </c>
      <c r="D31" s="156" t="s">
        <v>111</v>
      </c>
      <c r="E31" s="377">
        <v>42570</v>
      </c>
      <c r="F31" s="378" t="s">
        <v>13</v>
      </c>
      <c r="G31" s="366" t="s">
        <v>126</v>
      </c>
      <c r="H31" s="360"/>
      <c r="I31" s="361"/>
      <c r="J31" s="367" t="s">
        <v>273</v>
      </c>
      <c r="K31" s="368">
        <v>14</v>
      </c>
      <c r="L31" s="160"/>
      <c r="M31" s="161"/>
      <c r="N31" s="160"/>
      <c r="O31" s="161"/>
      <c r="P31" s="220">
        <f t="shared" si="0"/>
        <v>14</v>
      </c>
    </row>
    <row r="32" spans="1:16" ht="15" customHeight="1" x14ac:dyDescent="0.35">
      <c r="A32" s="280">
        <v>2028</v>
      </c>
      <c r="B32" s="376" t="s">
        <v>351</v>
      </c>
      <c r="C32" s="242" t="s">
        <v>97</v>
      </c>
      <c r="D32" s="156" t="s">
        <v>111</v>
      </c>
      <c r="E32" s="377">
        <v>42538</v>
      </c>
      <c r="F32" s="378" t="s">
        <v>79</v>
      </c>
      <c r="G32" s="361">
        <v>511</v>
      </c>
      <c r="H32" s="360" t="s">
        <v>273</v>
      </c>
      <c r="I32" s="361">
        <v>4</v>
      </c>
      <c r="J32" s="360" t="s">
        <v>273</v>
      </c>
      <c r="K32" s="361">
        <v>9</v>
      </c>
      <c r="L32" s="160"/>
      <c r="M32" s="161"/>
      <c r="N32" s="160"/>
      <c r="O32" s="161"/>
      <c r="P32" s="220">
        <f t="shared" si="0"/>
        <v>13</v>
      </c>
    </row>
    <row r="33" spans="1:16" ht="15" customHeight="1" x14ac:dyDescent="0.35">
      <c r="A33" s="280">
        <v>2142</v>
      </c>
      <c r="B33" s="390" t="s">
        <v>280</v>
      </c>
      <c r="C33" s="391" t="s">
        <v>320</v>
      </c>
      <c r="D33" s="381" t="s">
        <v>111</v>
      </c>
      <c r="E33" s="193">
        <v>42508</v>
      </c>
      <c r="F33" s="378" t="s">
        <v>9</v>
      </c>
      <c r="G33" s="359">
        <v>500</v>
      </c>
      <c r="H33" s="360" t="s">
        <v>273</v>
      </c>
      <c r="I33" s="361">
        <v>9</v>
      </c>
      <c r="J33" s="392" t="s">
        <v>273</v>
      </c>
      <c r="K33" s="368">
        <v>4</v>
      </c>
      <c r="L33" s="160"/>
      <c r="M33" s="161"/>
      <c r="N33" s="160"/>
      <c r="O33" s="161"/>
      <c r="P33" s="220">
        <f t="shared" si="0"/>
        <v>13</v>
      </c>
    </row>
    <row r="34" spans="1:16" ht="15" customHeight="1" x14ac:dyDescent="0.35">
      <c r="A34" s="280">
        <v>2183</v>
      </c>
      <c r="B34" s="376" t="s">
        <v>440</v>
      </c>
      <c r="C34" s="242" t="s">
        <v>568</v>
      </c>
      <c r="D34" s="156" t="s">
        <v>111</v>
      </c>
      <c r="E34" s="377">
        <v>42469</v>
      </c>
      <c r="F34" s="378" t="s">
        <v>10</v>
      </c>
      <c r="G34" s="361">
        <v>500</v>
      </c>
      <c r="H34" s="360" t="s">
        <v>273</v>
      </c>
      <c r="I34" s="361">
        <v>9</v>
      </c>
      <c r="J34" s="367" t="s">
        <v>273</v>
      </c>
      <c r="K34" s="368">
        <v>4</v>
      </c>
      <c r="L34" s="160"/>
      <c r="M34" s="161"/>
      <c r="N34" s="160"/>
      <c r="O34" s="161"/>
      <c r="P34" s="220">
        <f t="shared" si="0"/>
        <v>13</v>
      </c>
    </row>
    <row r="35" spans="1:16" ht="15" customHeight="1" x14ac:dyDescent="0.35">
      <c r="A35" s="280">
        <v>2051</v>
      </c>
      <c r="B35" s="393" t="s">
        <v>550</v>
      </c>
      <c r="C35" s="394" t="s">
        <v>152</v>
      </c>
      <c r="D35" s="156" t="s">
        <v>111</v>
      </c>
      <c r="E35" s="377">
        <v>42382</v>
      </c>
      <c r="F35" s="378" t="s">
        <v>13</v>
      </c>
      <c r="G35" s="366" t="s">
        <v>624</v>
      </c>
      <c r="H35" s="326" t="s">
        <v>273</v>
      </c>
      <c r="I35" s="361">
        <v>13</v>
      </c>
      <c r="J35" s="360"/>
      <c r="K35" s="361"/>
      <c r="L35" s="160"/>
      <c r="M35" s="161"/>
      <c r="N35" s="160"/>
      <c r="O35" s="161"/>
      <c r="P35" s="220">
        <f t="shared" si="0"/>
        <v>13</v>
      </c>
    </row>
    <row r="36" spans="1:16" ht="15" customHeight="1" x14ac:dyDescent="0.35">
      <c r="A36" s="280">
        <v>2052</v>
      </c>
      <c r="B36" s="395" t="s">
        <v>448</v>
      </c>
      <c r="C36" s="396" t="s">
        <v>163</v>
      </c>
      <c r="D36" s="156" t="s">
        <v>111</v>
      </c>
      <c r="E36" s="377">
        <v>42377</v>
      </c>
      <c r="F36" s="378" t="s">
        <v>294</v>
      </c>
      <c r="G36" s="368" t="s">
        <v>126</v>
      </c>
      <c r="H36" s="360" t="s">
        <v>273</v>
      </c>
      <c r="I36" s="361">
        <v>5</v>
      </c>
      <c r="J36" s="367" t="s">
        <v>273</v>
      </c>
      <c r="K36" s="368">
        <v>8</v>
      </c>
      <c r="L36" s="160"/>
      <c r="M36" s="161"/>
      <c r="N36" s="160"/>
      <c r="O36" s="161"/>
      <c r="P36" s="220">
        <f t="shared" si="0"/>
        <v>13</v>
      </c>
    </row>
    <row r="37" spans="1:16" ht="15" customHeight="1" x14ac:dyDescent="0.35">
      <c r="A37" s="280">
        <v>2103</v>
      </c>
      <c r="B37" s="397" t="s">
        <v>270</v>
      </c>
      <c r="C37" s="398" t="s">
        <v>602</v>
      </c>
      <c r="D37" s="156" t="s">
        <v>111</v>
      </c>
      <c r="E37" s="399">
        <v>42065</v>
      </c>
      <c r="F37" s="378" t="s">
        <v>12</v>
      </c>
      <c r="G37" s="368">
        <v>500</v>
      </c>
      <c r="H37" s="392" t="s">
        <v>273</v>
      </c>
      <c r="I37" s="368">
        <v>4</v>
      </c>
      <c r="J37" s="392" t="s">
        <v>273</v>
      </c>
      <c r="K37" s="368">
        <v>9</v>
      </c>
      <c r="L37" s="160"/>
      <c r="M37" s="161"/>
      <c r="N37" s="160"/>
      <c r="O37" s="161"/>
      <c r="P37" s="220">
        <f t="shared" si="0"/>
        <v>13</v>
      </c>
    </row>
    <row r="38" spans="1:16" ht="15" customHeight="1" x14ac:dyDescent="0.35">
      <c r="A38" s="280">
        <v>2019</v>
      </c>
      <c r="B38" s="395" t="s">
        <v>313</v>
      </c>
      <c r="C38" s="400" t="s">
        <v>583</v>
      </c>
      <c r="D38" s="156" t="s">
        <v>111</v>
      </c>
      <c r="E38" s="377">
        <v>42633</v>
      </c>
      <c r="F38" s="378" t="s">
        <v>66</v>
      </c>
      <c r="G38" s="401">
        <v>500</v>
      </c>
      <c r="H38" s="360" t="s">
        <v>273</v>
      </c>
      <c r="I38" s="361">
        <v>9</v>
      </c>
      <c r="J38" s="372" t="s">
        <v>273</v>
      </c>
      <c r="K38" s="361">
        <v>3</v>
      </c>
      <c r="L38" s="160"/>
      <c r="M38" s="161"/>
      <c r="N38" s="160"/>
      <c r="O38" s="161"/>
      <c r="P38" s="220">
        <f t="shared" si="0"/>
        <v>12</v>
      </c>
    </row>
    <row r="39" spans="1:16" ht="15" customHeight="1" x14ac:dyDescent="0.35">
      <c r="A39" s="280">
        <v>2036</v>
      </c>
      <c r="B39" s="376" t="s">
        <v>439</v>
      </c>
      <c r="C39" s="242" t="s">
        <v>187</v>
      </c>
      <c r="D39" s="156" t="s">
        <v>111</v>
      </c>
      <c r="E39" s="377">
        <v>42469</v>
      </c>
      <c r="F39" s="378" t="s">
        <v>79</v>
      </c>
      <c r="G39" s="361">
        <v>500</v>
      </c>
      <c r="H39" s="360" t="s">
        <v>273</v>
      </c>
      <c r="I39" s="361">
        <v>4</v>
      </c>
      <c r="J39" s="367" t="s">
        <v>273</v>
      </c>
      <c r="K39" s="368">
        <v>8</v>
      </c>
      <c r="L39" s="160"/>
      <c r="M39" s="161"/>
      <c r="N39" s="160"/>
      <c r="O39" s="161"/>
      <c r="P39" s="220">
        <f t="shared" si="0"/>
        <v>12</v>
      </c>
    </row>
    <row r="40" spans="1:16" ht="15" customHeight="1" x14ac:dyDescent="0.35">
      <c r="A40" s="280">
        <v>2062</v>
      </c>
      <c r="B40" s="397" t="s">
        <v>544</v>
      </c>
      <c r="C40" s="398" t="s">
        <v>615</v>
      </c>
      <c r="D40" s="156" t="s">
        <v>111</v>
      </c>
      <c r="E40" s="377">
        <v>42306</v>
      </c>
      <c r="F40" s="378" t="s">
        <v>65</v>
      </c>
      <c r="G40" s="368" t="s">
        <v>126</v>
      </c>
      <c r="H40" s="360" t="s">
        <v>273</v>
      </c>
      <c r="I40" s="361">
        <v>11</v>
      </c>
      <c r="J40" s="360"/>
      <c r="K40" s="361"/>
      <c r="L40" s="160"/>
      <c r="M40" s="161"/>
      <c r="N40" s="160"/>
      <c r="O40" s="161"/>
      <c r="P40" s="220">
        <f t="shared" si="0"/>
        <v>11</v>
      </c>
    </row>
    <row r="41" spans="1:16" ht="15" customHeight="1" x14ac:dyDescent="0.35">
      <c r="A41" s="280">
        <v>2152</v>
      </c>
      <c r="B41" s="390" t="s">
        <v>400</v>
      </c>
      <c r="C41" s="391" t="s">
        <v>580</v>
      </c>
      <c r="D41" s="381" t="s">
        <v>111</v>
      </c>
      <c r="E41" s="193">
        <v>42178</v>
      </c>
      <c r="F41" s="378" t="s">
        <v>9</v>
      </c>
      <c r="G41" s="359">
        <v>500</v>
      </c>
      <c r="H41" s="360" t="s">
        <v>273</v>
      </c>
      <c r="I41" s="361">
        <v>4</v>
      </c>
      <c r="J41" s="392" t="s">
        <v>273</v>
      </c>
      <c r="K41" s="368">
        <v>7</v>
      </c>
      <c r="L41" s="160"/>
      <c r="M41" s="161"/>
      <c r="N41" s="160"/>
      <c r="O41" s="161"/>
      <c r="P41" s="220">
        <f t="shared" si="0"/>
        <v>11</v>
      </c>
    </row>
    <row r="42" spans="1:16" ht="15" customHeight="1" x14ac:dyDescent="0.35">
      <c r="A42" s="280">
        <v>2155</v>
      </c>
      <c r="B42" s="390" t="s">
        <v>476</v>
      </c>
      <c r="C42" s="391" t="s">
        <v>220</v>
      </c>
      <c r="D42" s="381" t="s">
        <v>111</v>
      </c>
      <c r="E42" s="193">
        <v>42669</v>
      </c>
      <c r="F42" s="378" t="s">
        <v>9</v>
      </c>
      <c r="G42" s="359">
        <v>500</v>
      </c>
      <c r="H42" s="326" t="s">
        <v>273</v>
      </c>
      <c r="I42" s="361">
        <v>8</v>
      </c>
      <c r="J42" s="392" t="s">
        <v>273</v>
      </c>
      <c r="K42" s="368">
        <v>2</v>
      </c>
      <c r="L42" s="160"/>
      <c r="M42" s="161"/>
      <c r="N42" s="160"/>
      <c r="O42" s="161"/>
      <c r="P42" s="220">
        <f t="shared" si="0"/>
        <v>10</v>
      </c>
    </row>
    <row r="43" spans="1:16" ht="15" customHeight="1" x14ac:dyDescent="0.35">
      <c r="A43" s="280">
        <v>2157</v>
      </c>
      <c r="B43" s="390" t="s">
        <v>479</v>
      </c>
      <c r="C43" s="391" t="s">
        <v>585</v>
      </c>
      <c r="D43" s="381" t="s">
        <v>111</v>
      </c>
      <c r="E43" s="193">
        <v>42483</v>
      </c>
      <c r="F43" s="378" t="s">
        <v>9</v>
      </c>
      <c r="G43" s="359">
        <v>500</v>
      </c>
      <c r="H43" s="360" t="s">
        <v>273</v>
      </c>
      <c r="I43" s="361">
        <v>3</v>
      </c>
      <c r="J43" s="392" t="s">
        <v>273</v>
      </c>
      <c r="K43" s="368">
        <v>7</v>
      </c>
      <c r="L43" s="160"/>
      <c r="M43" s="161"/>
      <c r="N43" s="160"/>
      <c r="O43" s="161"/>
      <c r="P43" s="220">
        <f t="shared" si="0"/>
        <v>10</v>
      </c>
    </row>
    <row r="44" spans="1:16" ht="15" customHeight="1" x14ac:dyDescent="0.35">
      <c r="A44" s="280">
        <v>2151</v>
      </c>
      <c r="B44" s="390" t="s">
        <v>229</v>
      </c>
      <c r="C44" s="391" t="s">
        <v>89</v>
      </c>
      <c r="D44" s="381" t="s">
        <v>111</v>
      </c>
      <c r="E44" s="193">
        <v>42419</v>
      </c>
      <c r="F44" s="378" t="s">
        <v>9</v>
      </c>
      <c r="G44" s="359">
        <v>500</v>
      </c>
      <c r="H44" s="326" t="s">
        <v>273</v>
      </c>
      <c r="I44" s="361">
        <v>8</v>
      </c>
      <c r="J44" s="360" t="s">
        <v>273</v>
      </c>
      <c r="K44" s="361">
        <v>2</v>
      </c>
      <c r="L44" s="160"/>
      <c r="M44" s="161"/>
      <c r="N44" s="160"/>
      <c r="O44" s="161"/>
      <c r="P44" s="220">
        <f t="shared" si="0"/>
        <v>10</v>
      </c>
    </row>
    <row r="45" spans="1:16" ht="15" customHeight="1" x14ac:dyDescent="0.35">
      <c r="A45" s="280">
        <v>2174</v>
      </c>
      <c r="B45" s="390" t="s">
        <v>221</v>
      </c>
      <c r="C45" s="391" t="s">
        <v>222</v>
      </c>
      <c r="D45" s="381" t="s">
        <v>110</v>
      </c>
      <c r="E45" s="193">
        <v>42288</v>
      </c>
      <c r="F45" s="378" t="s">
        <v>9</v>
      </c>
      <c r="G45" s="359">
        <v>500</v>
      </c>
      <c r="H45" s="360" t="s">
        <v>273</v>
      </c>
      <c r="I45" s="361">
        <v>10</v>
      </c>
      <c r="J45" s="360"/>
      <c r="K45" s="361"/>
      <c r="L45" s="160"/>
      <c r="M45" s="161"/>
      <c r="N45" s="160"/>
      <c r="O45" s="161"/>
      <c r="P45" s="220">
        <f t="shared" si="0"/>
        <v>10</v>
      </c>
    </row>
    <row r="46" spans="1:16" ht="15" customHeight="1" x14ac:dyDescent="0.35">
      <c r="A46" s="280">
        <v>2092</v>
      </c>
      <c r="B46" s="395" t="s">
        <v>520</v>
      </c>
      <c r="C46" s="400" t="s">
        <v>75</v>
      </c>
      <c r="D46" s="156" t="s">
        <v>111</v>
      </c>
      <c r="E46" s="377">
        <v>42125</v>
      </c>
      <c r="F46" s="378" t="s">
        <v>66</v>
      </c>
      <c r="G46" s="401">
        <v>500</v>
      </c>
      <c r="H46" s="360" t="s">
        <v>273</v>
      </c>
      <c r="I46" s="361">
        <v>10</v>
      </c>
      <c r="J46" s="372"/>
      <c r="K46" s="361"/>
      <c r="L46" s="160"/>
      <c r="M46" s="161"/>
      <c r="N46" s="160"/>
      <c r="O46" s="161"/>
      <c r="P46" s="220">
        <f t="shared" si="0"/>
        <v>10</v>
      </c>
    </row>
    <row r="47" spans="1:16" ht="15" customHeight="1" x14ac:dyDescent="0.35">
      <c r="A47" s="280">
        <v>2106</v>
      </c>
      <c r="B47" s="395" t="s">
        <v>475</v>
      </c>
      <c r="C47" s="400" t="s">
        <v>582</v>
      </c>
      <c r="D47" s="156" t="s">
        <v>111</v>
      </c>
      <c r="E47" s="377">
        <v>42052</v>
      </c>
      <c r="F47" s="378" t="s">
        <v>66</v>
      </c>
      <c r="G47" s="401">
        <v>500</v>
      </c>
      <c r="H47" s="360" t="s">
        <v>273</v>
      </c>
      <c r="I47" s="361">
        <v>3</v>
      </c>
      <c r="J47" s="367" t="s">
        <v>273</v>
      </c>
      <c r="K47" s="368">
        <v>7</v>
      </c>
      <c r="L47" s="160"/>
      <c r="M47" s="161"/>
      <c r="N47" s="160"/>
      <c r="O47" s="161"/>
      <c r="P47" s="220">
        <f t="shared" si="0"/>
        <v>10</v>
      </c>
    </row>
    <row r="48" spans="1:16" ht="15" customHeight="1" x14ac:dyDescent="0.35">
      <c r="A48" s="280">
        <v>2179</v>
      </c>
      <c r="B48" s="395" t="s">
        <v>490</v>
      </c>
      <c r="C48" s="186" t="s">
        <v>149</v>
      </c>
      <c r="D48" s="156" t="s">
        <v>111</v>
      </c>
      <c r="E48" s="402"/>
      <c r="F48" s="180" t="s">
        <v>294</v>
      </c>
      <c r="G48" s="403">
        <v>500</v>
      </c>
      <c r="H48" s="326" t="s">
        <v>273</v>
      </c>
      <c r="I48" s="361">
        <v>8</v>
      </c>
      <c r="J48" s="372" t="s">
        <v>273</v>
      </c>
      <c r="K48" s="361">
        <v>2</v>
      </c>
      <c r="L48" s="160"/>
      <c r="M48" s="161"/>
      <c r="N48" s="160"/>
      <c r="O48" s="161"/>
      <c r="P48" s="220">
        <f t="shared" si="0"/>
        <v>10</v>
      </c>
    </row>
    <row r="49" spans="1:16" ht="15" customHeight="1" x14ac:dyDescent="0.35">
      <c r="A49" s="280">
        <v>2008</v>
      </c>
      <c r="B49" s="397" t="s">
        <v>551</v>
      </c>
      <c r="C49" s="398" t="s">
        <v>52</v>
      </c>
      <c r="D49" s="156" t="s">
        <v>111</v>
      </c>
      <c r="E49" s="399">
        <v>42688</v>
      </c>
      <c r="F49" s="378" t="s">
        <v>12</v>
      </c>
      <c r="G49" s="368">
        <v>500</v>
      </c>
      <c r="H49" s="360" t="s">
        <v>273</v>
      </c>
      <c r="I49" s="361">
        <v>9</v>
      </c>
      <c r="J49" s="372"/>
      <c r="K49" s="361"/>
      <c r="L49" s="160"/>
      <c r="M49" s="161"/>
      <c r="N49" s="160"/>
      <c r="O49" s="161"/>
      <c r="P49" s="220">
        <f t="shared" si="0"/>
        <v>9</v>
      </c>
    </row>
    <row r="50" spans="1:16" ht="15" customHeight="1" x14ac:dyDescent="0.35">
      <c r="A50" s="280">
        <v>2170</v>
      </c>
      <c r="B50" s="390" t="s">
        <v>529</v>
      </c>
      <c r="C50" s="391" t="s">
        <v>607</v>
      </c>
      <c r="D50" s="381" t="s">
        <v>111</v>
      </c>
      <c r="E50" s="193">
        <v>42583</v>
      </c>
      <c r="F50" s="378" t="s">
        <v>9</v>
      </c>
      <c r="G50" s="359">
        <v>500</v>
      </c>
      <c r="H50" s="360" t="s">
        <v>273</v>
      </c>
      <c r="I50" s="361">
        <v>2</v>
      </c>
      <c r="J50" s="360" t="s">
        <v>273</v>
      </c>
      <c r="K50" s="361">
        <v>7</v>
      </c>
      <c r="L50" s="160"/>
      <c r="M50" s="161"/>
      <c r="N50" s="160"/>
      <c r="O50" s="161"/>
      <c r="P50" s="220">
        <f t="shared" si="0"/>
        <v>9</v>
      </c>
    </row>
    <row r="51" spans="1:16" ht="15" customHeight="1" x14ac:dyDescent="0.35">
      <c r="A51" s="280">
        <v>2182</v>
      </c>
      <c r="B51" s="393" t="s">
        <v>478</v>
      </c>
      <c r="C51" s="394" t="s">
        <v>155</v>
      </c>
      <c r="D51" s="156" t="s">
        <v>111</v>
      </c>
      <c r="E51" s="377">
        <v>42570</v>
      </c>
      <c r="F51" s="378" t="s">
        <v>66</v>
      </c>
      <c r="G51" s="366" t="s">
        <v>126</v>
      </c>
      <c r="H51" s="360" t="s">
        <v>273</v>
      </c>
      <c r="I51" s="361">
        <v>9</v>
      </c>
      <c r="J51" s="392"/>
      <c r="K51" s="368"/>
      <c r="L51" s="160"/>
      <c r="M51" s="161"/>
      <c r="N51" s="160"/>
      <c r="O51" s="161"/>
      <c r="P51" s="220">
        <f t="shared" si="0"/>
        <v>9</v>
      </c>
    </row>
    <row r="52" spans="1:16" ht="15" customHeight="1" x14ac:dyDescent="0.35">
      <c r="A52" s="280">
        <v>2122</v>
      </c>
      <c r="B52" s="379" t="s">
        <v>514</v>
      </c>
      <c r="C52" s="382" t="s">
        <v>91</v>
      </c>
      <c r="D52" s="381" t="s">
        <v>111</v>
      </c>
      <c r="E52" s="196">
        <v>42437</v>
      </c>
      <c r="F52" s="378" t="s">
        <v>77</v>
      </c>
      <c r="G52" s="361">
        <v>500</v>
      </c>
      <c r="H52" s="360" t="s">
        <v>273</v>
      </c>
      <c r="I52" s="361">
        <v>9</v>
      </c>
      <c r="J52" s="360"/>
      <c r="K52" s="361"/>
      <c r="L52" s="160"/>
      <c r="M52" s="161"/>
      <c r="N52" s="160"/>
      <c r="O52" s="161"/>
      <c r="P52" s="220">
        <f t="shared" si="0"/>
        <v>9</v>
      </c>
    </row>
    <row r="53" spans="1:16" ht="15" customHeight="1" x14ac:dyDescent="0.35">
      <c r="A53" s="280">
        <v>2090</v>
      </c>
      <c r="B53" s="397" t="s">
        <v>536</v>
      </c>
      <c r="C53" s="398" t="s">
        <v>612</v>
      </c>
      <c r="D53" s="156" t="s">
        <v>111</v>
      </c>
      <c r="E53" s="399">
        <v>42154</v>
      </c>
      <c r="F53" s="378" t="s">
        <v>12</v>
      </c>
      <c r="G53" s="368">
        <v>500</v>
      </c>
      <c r="H53" s="326"/>
      <c r="I53" s="361"/>
      <c r="J53" s="372" t="s">
        <v>273</v>
      </c>
      <c r="K53" s="361">
        <v>9</v>
      </c>
      <c r="L53" s="160"/>
      <c r="M53" s="161"/>
      <c r="N53" s="160"/>
      <c r="O53" s="161"/>
      <c r="P53" s="220">
        <f t="shared" si="0"/>
        <v>9</v>
      </c>
    </row>
    <row r="54" spans="1:16" ht="15" customHeight="1" x14ac:dyDescent="0.35">
      <c r="A54" s="280">
        <v>2091</v>
      </c>
      <c r="B54" s="395" t="s">
        <v>520</v>
      </c>
      <c r="C54" s="400" t="s">
        <v>600</v>
      </c>
      <c r="D54" s="156" t="s">
        <v>111</v>
      </c>
      <c r="E54" s="377">
        <v>42125</v>
      </c>
      <c r="F54" s="378" t="s">
        <v>66</v>
      </c>
      <c r="G54" s="401">
        <v>500</v>
      </c>
      <c r="H54" s="360" t="s">
        <v>273</v>
      </c>
      <c r="I54" s="361">
        <v>9</v>
      </c>
      <c r="J54" s="372"/>
      <c r="K54" s="361"/>
      <c r="L54" s="160"/>
      <c r="M54" s="161"/>
      <c r="N54" s="160"/>
      <c r="O54" s="161"/>
      <c r="P54" s="220">
        <f t="shared" si="0"/>
        <v>9</v>
      </c>
    </row>
    <row r="55" spans="1:16" ht="15" customHeight="1" x14ac:dyDescent="0.35">
      <c r="A55" s="280">
        <v>2137</v>
      </c>
      <c r="B55" s="379" t="s">
        <v>500</v>
      </c>
      <c r="C55" s="382" t="s">
        <v>593</v>
      </c>
      <c r="D55" s="381" t="s">
        <v>111</v>
      </c>
      <c r="E55" s="383">
        <v>42011</v>
      </c>
      <c r="F55" s="378" t="s">
        <v>10</v>
      </c>
      <c r="G55" s="359">
        <v>500</v>
      </c>
      <c r="H55" s="360" t="s">
        <v>273</v>
      </c>
      <c r="I55" s="361">
        <v>9</v>
      </c>
      <c r="J55" s="360"/>
      <c r="K55" s="361"/>
      <c r="L55" s="160"/>
      <c r="M55" s="161"/>
      <c r="N55" s="160"/>
      <c r="O55" s="161"/>
      <c r="P55" s="220">
        <f t="shared" si="0"/>
        <v>9</v>
      </c>
    </row>
    <row r="56" spans="1:16" ht="15" customHeight="1" x14ac:dyDescent="0.35">
      <c r="A56" s="280">
        <v>2001</v>
      </c>
      <c r="B56" s="395" t="s">
        <v>503</v>
      </c>
      <c r="C56" s="400" t="s">
        <v>596</v>
      </c>
      <c r="D56" s="156" t="s">
        <v>111</v>
      </c>
      <c r="E56" s="377">
        <v>42722</v>
      </c>
      <c r="F56" s="378" t="s">
        <v>66</v>
      </c>
      <c r="G56" s="401">
        <v>500</v>
      </c>
      <c r="H56" s="360" t="s">
        <v>273</v>
      </c>
      <c r="I56" s="361">
        <v>8</v>
      </c>
      <c r="J56" s="372"/>
      <c r="K56" s="361"/>
      <c r="L56" s="160"/>
      <c r="M56" s="161"/>
      <c r="N56" s="160"/>
      <c r="O56" s="161"/>
      <c r="P56" s="220">
        <f t="shared" si="0"/>
        <v>8</v>
      </c>
    </row>
    <row r="57" spans="1:16" ht="15" customHeight="1" x14ac:dyDescent="0.35">
      <c r="A57" s="280">
        <v>2011</v>
      </c>
      <c r="B57" s="395" t="s">
        <v>547</v>
      </c>
      <c r="C57" s="400" t="s">
        <v>816</v>
      </c>
      <c r="D57" s="156" t="s">
        <v>111</v>
      </c>
      <c r="E57" s="377">
        <v>42669</v>
      </c>
      <c r="F57" s="378" t="s">
        <v>66</v>
      </c>
      <c r="G57" s="401">
        <v>500</v>
      </c>
      <c r="H57" s="360" t="s">
        <v>273</v>
      </c>
      <c r="I57" s="361">
        <v>8</v>
      </c>
      <c r="J57" s="372"/>
      <c r="K57" s="361"/>
      <c r="L57" s="160"/>
      <c r="M57" s="161"/>
      <c r="N57" s="160"/>
      <c r="O57" s="161"/>
      <c r="P57" s="220">
        <f t="shared" si="0"/>
        <v>8</v>
      </c>
    </row>
    <row r="58" spans="1:16" ht="15" customHeight="1" x14ac:dyDescent="0.35">
      <c r="A58" s="280">
        <v>2034</v>
      </c>
      <c r="B58" s="395" t="s">
        <v>483</v>
      </c>
      <c r="C58" s="400" t="s">
        <v>589</v>
      </c>
      <c r="D58" s="156" t="s">
        <v>111</v>
      </c>
      <c r="E58" s="377">
        <v>42474</v>
      </c>
      <c r="F58" s="378" t="s">
        <v>66</v>
      </c>
      <c r="G58" s="401">
        <v>500</v>
      </c>
      <c r="H58" s="360" t="s">
        <v>273</v>
      </c>
      <c r="I58" s="361">
        <v>8</v>
      </c>
      <c r="J58" s="360"/>
      <c r="K58" s="361"/>
      <c r="L58" s="160"/>
      <c r="M58" s="161"/>
      <c r="N58" s="160"/>
      <c r="O58" s="161"/>
      <c r="P58" s="220">
        <f t="shared" si="0"/>
        <v>8</v>
      </c>
    </row>
    <row r="59" spans="1:16" ht="15" customHeight="1" x14ac:dyDescent="0.35">
      <c r="A59" s="280">
        <v>2143</v>
      </c>
      <c r="B59" s="390" t="s">
        <v>442</v>
      </c>
      <c r="C59" s="391" t="s">
        <v>569</v>
      </c>
      <c r="D59" s="381" t="s">
        <v>111</v>
      </c>
      <c r="E59" s="193">
        <v>42407</v>
      </c>
      <c r="F59" s="378" t="s">
        <v>9</v>
      </c>
      <c r="G59" s="359">
        <v>500</v>
      </c>
      <c r="H59" s="360" t="s">
        <v>273</v>
      </c>
      <c r="I59" s="361">
        <v>8</v>
      </c>
      <c r="J59" s="392"/>
      <c r="K59" s="368"/>
      <c r="L59" s="160"/>
      <c r="M59" s="161"/>
      <c r="N59" s="160"/>
      <c r="O59" s="161"/>
      <c r="P59" s="220">
        <f t="shared" si="0"/>
        <v>8</v>
      </c>
    </row>
    <row r="60" spans="1:16" ht="15" customHeight="1" x14ac:dyDescent="0.35">
      <c r="A60" s="280">
        <v>2150</v>
      </c>
      <c r="B60" s="390" t="s">
        <v>464</v>
      </c>
      <c r="C60" s="391" t="s">
        <v>137</v>
      </c>
      <c r="D60" s="381" t="s">
        <v>111</v>
      </c>
      <c r="E60" s="193">
        <v>42390</v>
      </c>
      <c r="F60" s="378" t="s">
        <v>9</v>
      </c>
      <c r="G60" s="359">
        <v>500</v>
      </c>
      <c r="H60" s="360" t="s">
        <v>273</v>
      </c>
      <c r="I60" s="361">
        <v>8</v>
      </c>
      <c r="J60" s="360"/>
      <c r="K60" s="361"/>
      <c r="L60" s="160"/>
      <c r="M60" s="161"/>
      <c r="N60" s="160"/>
      <c r="O60" s="161"/>
      <c r="P60" s="220">
        <f t="shared" si="0"/>
        <v>8</v>
      </c>
    </row>
    <row r="61" spans="1:16" ht="15" customHeight="1" x14ac:dyDescent="0.35">
      <c r="A61" s="280">
        <v>2074</v>
      </c>
      <c r="B61" s="397" t="s">
        <v>513</v>
      </c>
      <c r="C61" s="398" t="s">
        <v>55</v>
      </c>
      <c r="D61" s="156" t="s">
        <v>111</v>
      </c>
      <c r="E61" s="377">
        <v>42242</v>
      </c>
      <c r="F61" s="378" t="s">
        <v>37</v>
      </c>
      <c r="G61" s="368">
        <v>500</v>
      </c>
      <c r="H61" s="360" t="s">
        <v>273</v>
      </c>
      <c r="I61" s="361">
        <v>8</v>
      </c>
      <c r="J61" s="360"/>
      <c r="K61" s="361"/>
      <c r="L61" s="160"/>
      <c r="M61" s="161"/>
      <c r="N61" s="160"/>
      <c r="O61" s="161"/>
      <c r="P61" s="220">
        <f t="shared" si="0"/>
        <v>8</v>
      </c>
    </row>
    <row r="62" spans="1:16" ht="15" customHeight="1" x14ac:dyDescent="0.35">
      <c r="A62" s="280">
        <v>2129</v>
      </c>
      <c r="B62" s="379" t="s">
        <v>561</v>
      </c>
      <c r="C62" s="382" t="s">
        <v>831</v>
      </c>
      <c r="D62" s="381" t="s">
        <v>111</v>
      </c>
      <c r="E62" s="383">
        <v>42217</v>
      </c>
      <c r="F62" s="378" t="s">
        <v>10</v>
      </c>
      <c r="G62" s="359">
        <v>521</v>
      </c>
      <c r="H62" s="360"/>
      <c r="I62" s="361"/>
      <c r="J62" s="372" t="s">
        <v>273</v>
      </c>
      <c r="K62" s="361">
        <v>8</v>
      </c>
      <c r="L62" s="160"/>
      <c r="M62" s="161"/>
      <c r="N62" s="160"/>
      <c r="O62" s="161"/>
      <c r="P62" s="220">
        <f t="shared" si="0"/>
        <v>8</v>
      </c>
    </row>
    <row r="63" spans="1:16" ht="15" customHeight="1" x14ac:dyDescent="0.35">
      <c r="A63" s="280">
        <v>2140</v>
      </c>
      <c r="B63" s="379" t="s">
        <v>540</v>
      </c>
      <c r="C63" s="382" t="s">
        <v>124</v>
      </c>
      <c r="D63" s="381" t="s">
        <v>111</v>
      </c>
      <c r="E63" s="383">
        <v>42072</v>
      </c>
      <c r="F63" s="378" t="s">
        <v>10</v>
      </c>
      <c r="G63" s="359">
        <v>500</v>
      </c>
      <c r="H63" s="360" t="s">
        <v>273</v>
      </c>
      <c r="I63" s="361">
        <v>8</v>
      </c>
      <c r="J63" s="372"/>
      <c r="K63" s="361"/>
      <c r="L63" s="160"/>
      <c r="M63" s="161"/>
      <c r="N63" s="160"/>
      <c r="O63" s="161"/>
      <c r="P63" s="220">
        <f t="shared" si="0"/>
        <v>8</v>
      </c>
    </row>
    <row r="64" spans="1:16" ht="15" customHeight="1" x14ac:dyDescent="0.35">
      <c r="A64" s="280">
        <v>2054</v>
      </c>
      <c r="B64" s="393" t="s">
        <v>74</v>
      </c>
      <c r="C64" s="394" t="s">
        <v>62</v>
      </c>
      <c r="D64" s="156" t="s">
        <v>111</v>
      </c>
      <c r="E64" s="377">
        <v>42358</v>
      </c>
      <c r="F64" s="378" t="s">
        <v>13</v>
      </c>
      <c r="G64" s="366" t="s">
        <v>126</v>
      </c>
      <c r="H64" s="360"/>
      <c r="I64" s="361"/>
      <c r="J64" s="360" t="s">
        <v>273</v>
      </c>
      <c r="K64" s="361">
        <v>7</v>
      </c>
      <c r="L64" s="160"/>
      <c r="M64" s="161"/>
      <c r="N64" s="160"/>
      <c r="O64" s="161"/>
      <c r="P64" s="220">
        <f t="shared" si="0"/>
        <v>7</v>
      </c>
    </row>
    <row r="65" spans="1:16" ht="15" customHeight="1" x14ac:dyDescent="0.35">
      <c r="A65" s="280">
        <v>2101</v>
      </c>
      <c r="B65" s="376" t="s">
        <v>401</v>
      </c>
      <c r="C65" s="242" t="s">
        <v>613</v>
      </c>
      <c r="D65" s="156" t="s">
        <v>110</v>
      </c>
      <c r="E65" s="377">
        <v>42069</v>
      </c>
      <c r="F65" s="378" t="s">
        <v>79</v>
      </c>
      <c r="G65" s="361">
        <v>500</v>
      </c>
      <c r="H65" s="360"/>
      <c r="I65" s="361"/>
      <c r="J65" s="360" t="s">
        <v>273</v>
      </c>
      <c r="K65" s="361">
        <v>7</v>
      </c>
      <c r="L65" s="160"/>
      <c r="M65" s="161"/>
      <c r="N65" s="160"/>
      <c r="O65" s="161"/>
      <c r="P65" s="220">
        <f t="shared" si="0"/>
        <v>7</v>
      </c>
    </row>
    <row r="66" spans="1:16" ht="15" customHeight="1" x14ac:dyDescent="0.35">
      <c r="A66" s="280">
        <v>2108</v>
      </c>
      <c r="B66" s="376" t="s">
        <v>562</v>
      </c>
      <c r="C66" s="242" t="s">
        <v>370</v>
      </c>
      <c r="D66" s="156" t="s">
        <v>111</v>
      </c>
      <c r="E66" s="377">
        <v>42040</v>
      </c>
      <c r="F66" s="378" t="s">
        <v>79</v>
      </c>
      <c r="G66" s="361">
        <v>500</v>
      </c>
      <c r="H66" s="360" t="s">
        <v>273</v>
      </c>
      <c r="I66" s="361">
        <v>5</v>
      </c>
      <c r="J66" s="360" t="s">
        <v>273</v>
      </c>
      <c r="K66" s="361">
        <v>2</v>
      </c>
      <c r="L66" s="160"/>
      <c r="M66" s="161"/>
      <c r="N66" s="160"/>
      <c r="O66" s="161"/>
      <c r="P66" s="220">
        <f t="shared" si="0"/>
        <v>7</v>
      </c>
    </row>
    <row r="67" spans="1:16" ht="15" customHeight="1" x14ac:dyDescent="0.35">
      <c r="A67" s="303">
        <v>2185</v>
      </c>
      <c r="B67" s="404" t="s">
        <v>563</v>
      </c>
      <c r="C67" s="405" t="s">
        <v>619</v>
      </c>
      <c r="D67" s="156" t="s">
        <v>111</v>
      </c>
      <c r="E67" s="402"/>
      <c r="F67" s="378" t="s">
        <v>13</v>
      </c>
      <c r="G67" s="406"/>
      <c r="H67" s="326"/>
      <c r="I67" s="361"/>
      <c r="J67" s="360" t="s">
        <v>273</v>
      </c>
      <c r="K67" s="361">
        <v>7</v>
      </c>
      <c r="L67" s="160"/>
      <c r="M67" s="161"/>
      <c r="N67" s="160"/>
      <c r="O67" s="161"/>
      <c r="P67" s="220">
        <f t="shared" si="0"/>
        <v>7</v>
      </c>
    </row>
    <row r="68" spans="1:16" ht="15" customHeight="1" x14ac:dyDescent="0.35">
      <c r="A68" s="280">
        <v>2138</v>
      </c>
      <c r="B68" s="379" t="s">
        <v>468</v>
      </c>
      <c r="C68" s="382" t="s">
        <v>579</v>
      </c>
      <c r="D68" s="381" t="s">
        <v>111</v>
      </c>
      <c r="E68" s="383">
        <v>42601</v>
      </c>
      <c r="F68" s="378" t="s">
        <v>10</v>
      </c>
      <c r="G68" s="359">
        <v>500</v>
      </c>
      <c r="H68" s="360" t="s">
        <v>273</v>
      </c>
      <c r="I68" s="361">
        <v>6</v>
      </c>
      <c r="J68" s="392"/>
      <c r="K68" s="368"/>
      <c r="L68" s="160"/>
      <c r="M68" s="161"/>
      <c r="N68" s="160"/>
      <c r="O68" s="161"/>
      <c r="P68" s="220">
        <f t="shared" si="0"/>
        <v>6</v>
      </c>
    </row>
    <row r="69" spans="1:16" ht="15" customHeight="1" x14ac:dyDescent="0.35">
      <c r="A69" s="280">
        <v>2159</v>
      </c>
      <c r="B69" s="390" t="s">
        <v>118</v>
      </c>
      <c r="C69" s="391" t="s">
        <v>98</v>
      </c>
      <c r="D69" s="381" t="s">
        <v>111</v>
      </c>
      <c r="E69" s="193">
        <v>42484</v>
      </c>
      <c r="F69" s="378" t="s">
        <v>9</v>
      </c>
      <c r="G69" s="359">
        <v>500</v>
      </c>
      <c r="H69" s="360" t="s">
        <v>273</v>
      </c>
      <c r="I69" s="361">
        <v>3</v>
      </c>
      <c r="J69" s="392" t="s">
        <v>273</v>
      </c>
      <c r="K69" s="368">
        <v>3</v>
      </c>
      <c r="L69" s="160"/>
      <c r="M69" s="161"/>
      <c r="N69" s="160"/>
      <c r="O69" s="161"/>
      <c r="P69" s="220">
        <f t="shared" si="0"/>
        <v>6</v>
      </c>
    </row>
    <row r="70" spans="1:16" ht="15" customHeight="1" x14ac:dyDescent="0.35">
      <c r="A70" s="280">
        <v>2156</v>
      </c>
      <c r="B70" s="390" t="s">
        <v>476</v>
      </c>
      <c r="C70" s="391" t="s">
        <v>49</v>
      </c>
      <c r="D70" s="381" t="s">
        <v>111</v>
      </c>
      <c r="E70" s="193">
        <v>42669</v>
      </c>
      <c r="F70" s="378" t="s">
        <v>9</v>
      </c>
      <c r="G70" s="359">
        <v>500</v>
      </c>
      <c r="H70" s="360" t="s">
        <v>273</v>
      </c>
      <c r="I70" s="361">
        <v>3</v>
      </c>
      <c r="J70" s="360" t="s">
        <v>273</v>
      </c>
      <c r="K70" s="361">
        <v>2</v>
      </c>
      <c r="L70" s="160"/>
      <c r="M70" s="161"/>
      <c r="N70" s="160"/>
      <c r="O70" s="161"/>
      <c r="P70" s="220">
        <f t="shared" si="0"/>
        <v>5</v>
      </c>
    </row>
    <row r="71" spans="1:16" ht="15" customHeight="1" x14ac:dyDescent="0.35">
      <c r="A71" s="303">
        <v>2186</v>
      </c>
      <c r="B71" s="407" t="s">
        <v>565</v>
      </c>
      <c r="C71" s="408" t="s">
        <v>47</v>
      </c>
      <c r="D71" s="156" t="s">
        <v>111</v>
      </c>
      <c r="E71" s="409">
        <v>42050</v>
      </c>
      <c r="F71" s="378" t="s">
        <v>66</v>
      </c>
      <c r="G71" s="406"/>
      <c r="H71" s="360"/>
      <c r="I71" s="361"/>
      <c r="J71" s="360" t="s">
        <v>273</v>
      </c>
      <c r="K71" s="361">
        <v>5</v>
      </c>
      <c r="L71" s="160"/>
      <c r="M71" s="161"/>
      <c r="N71" s="160"/>
      <c r="O71" s="161"/>
      <c r="P71" s="220">
        <f t="shared" si="0"/>
        <v>5</v>
      </c>
    </row>
    <row r="72" spans="1:16" ht="15" customHeight="1" x14ac:dyDescent="0.35">
      <c r="A72" s="280">
        <v>2007</v>
      </c>
      <c r="B72" s="397" t="s">
        <v>353</v>
      </c>
      <c r="C72" s="398" t="s">
        <v>62</v>
      </c>
      <c r="D72" s="156" t="s">
        <v>111</v>
      </c>
      <c r="E72" s="399">
        <v>42688</v>
      </c>
      <c r="F72" s="378" t="s">
        <v>12</v>
      </c>
      <c r="G72" s="368">
        <v>500</v>
      </c>
      <c r="H72" s="360" t="s">
        <v>273</v>
      </c>
      <c r="I72" s="361">
        <v>2</v>
      </c>
      <c r="J72" s="372" t="s">
        <v>273</v>
      </c>
      <c r="K72" s="361">
        <v>2</v>
      </c>
      <c r="L72" s="160"/>
      <c r="M72" s="161"/>
      <c r="N72" s="160"/>
      <c r="O72" s="161"/>
      <c r="P72" s="220">
        <f t="shared" ref="P72:P135" si="1">SUM(I72:O72)</f>
        <v>4</v>
      </c>
    </row>
    <row r="73" spans="1:16" ht="15" customHeight="1" x14ac:dyDescent="0.35">
      <c r="A73" s="280">
        <v>2020</v>
      </c>
      <c r="B73" s="397" t="s">
        <v>460</v>
      </c>
      <c r="C73" s="398" t="s">
        <v>112</v>
      </c>
      <c r="D73" s="156" t="s">
        <v>111</v>
      </c>
      <c r="E73" s="399">
        <v>42597</v>
      </c>
      <c r="F73" s="378" t="s">
        <v>12</v>
      </c>
      <c r="G73" s="368">
        <v>500</v>
      </c>
      <c r="H73" s="360" t="s">
        <v>273</v>
      </c>
      <c r="I73" s="361">
        <v>3</v>
      </c>
      <c r="J73" s="367" t="s">
        <v>273</v>
      </c>
      <c r="K73" s="368">
        <v>1</v>
      </c>
      <c r="L73" s="160"/>
      <c r="M73" s="161"/>
      <c r="N73" s="160"/>
      <c r="O73" s="161"/>
      <c r="P73" s="220">
        <f t="shared" si="1"/>
        <v>4</v>
      </c>
    </row>
    <row r="74" spans="1:16" ht="15" customHeight="1" x14ac:dyDescent="0.35">
      <c r="A74" s="303">
        <v>2187</v>
      </c>
      <c r="B74" s="404" t="s">
        <v>564</v>
      </c>
      <c r="C74" s="405" t="s">
        <v>620</v>
      </c>
      <c r="D74" s="156" t="s">
        <v>111</v>
      </c>
      <c r="E74" s="410">
        <v>42123</v>
      </c>
      <c r="F74" s="378" t="s">
        <v>10</v>
      </c>
      <c r="G74" s="406"/>
      <c r="H74" s="360"/>
      <c r="I74" s="361"/>
      <c r="J74" s="360" t="s">
        <v>273</v>
      </c>
      <c r="K74" s="361">
        <v>3</v>
      </c>
      <c r="L74" s="160"/>
      <c r="M74" s="161"/>
      <c r="N74" s="160"/>
      <c r="O74" s="161"/>
      <c r="P74" s="220">
        <f t="shared" si="1"/>
        <v>3</v>
      </c>
    </row>
    <row r="75" spans="1:16" ht="15" customHeight="1" x14ac:dyDescent="0.35">
      <c r="A75" s="280">
        <v>2016</v>
      </c>
      <c r="B75" s="397" t="s">
        <v>467</v>
      </c>
      <c r="C75" s="398" t="s">
        <v>578</v>
      </c>
      <c r="D75" s="156" t="s">
        <v>111</v>
      </c>
      <c r="E75" s="399">
        <v>42644</v>
      </c>
      <c r="F75" s="378" t="s">
        <v>12</v>
      </c>
      <c r="G75" s="368">
        <v>500</v>
      </c>
      <c r="H75" s="360" t="s">
        <v>273</v>
      </c>
      <c r="I75" s="361">
        <v>1</v>
      </c>
      <c r="J75" s="360" t="s">
        <v>273</v>
      </c>
      <c r="K75" s="361">
        <v>2</v>
      </c>
      <c r="L75" s="160"/>
      <c r="M75" s="161"/>
      <c r="N75" s="160"/>
      <c r="O75" s="161"/>
      <c r="P75" s="220">
        <f t="shared" si="1"/>
        <v>3</v>
      </c>
    </row>
    <row r="76" spans="1:16" ht="15" customHeight="1" x14ac:dyDescent="0.35">
      <c r="A76" s="280">
        <v>2033</v>
      </c>
      <c r="B76" s="393" t="s">
        <v>474</v>
      </c>
      <c r="C76" s="394" t="s">
        <v>62</v>
      </c>
      <c r="D76" s="156" t="s">
        <v>111</v>
      </c>
      <c r="E76" s="377">
        <v>42492</v>
      </c>
      <c r="F76" s="378" t="s">
        <v>13</v>
      </c>
      <c r="G76" s="366" t="s">
        <v>126</v>
      </c>
      <c r="H76" s="360"/>
      <c r="I76" s="361"/>
      <c r="J76" s="372" t="s">
        <v>273</v>
      </c>
      <c r="K76" s="361">
        <v>3</v>
      </c>
      <c r="L76" s="160"/>
      <c r="M76" s="161"/>
      <c r="N76" s="160"/>
      <c r="O76" s="161"/>
      <c r="P76" s="220">
        <f t="shared" si="1"/>
        <v>3</v>
      </c>
    </row>
    <row r="77" spans="1:16" ht="15" customHeight="1" x14ac:dyDescent="0.35">
      <c r="A77" s="280">
        <v>2046</v>
      </c>
      <c r="B77" s="397" t="s">
        <v>537</v>
      </c>
      <c r="C77" s="398" t="s">
        <v>48</v>
      </c>
      <c r="D77" s="156" t="s">
        <v>111</v>
      </c>
      <c r="E77" s="377">
        <v>42399</v>
      </c>
      <c r="F77" s="378" t="s">
        <v>65</v>
      </c>
      <c r="G77" s="368" t="s">
        <v>126</v>
      </c>
      <c r="H77" s="326" t="s">
        <v>273</v>
      </c>
      <c r="I77" s="361">
        <v>3</v>
      </c>
      <c r="J77" s="360"/>
      <c r="K77" s="361"/>
      <c r="L77" s="160"/>
      <c r="M77" s="161"/>
      <c r="N77" s="160"/>
      <c r="O77" s="161"/>
      <c r="P77" s="220">
        <f t="shared" si="1"/>
        <v>3</v>
      </c>
    </row>
    <row r="78" spans="1:16" ht="15" customHeight="1" x14ac:dyDescent="0.35">
      <c r="A78" s="280">
        <v>2058</v>
      </c>
      <c r="B78" s="397" t="s">
        <v>526</v>
      </c>
      <c r="C78" s="398" t="s">
        <v>604</v>
      </c>
      <c r="D78" s="156" t="s">
        <v>111</v>
      </c>
      <c r="E78" s="399">
        <v>42344</v>
      </c>
      <c r="F78" s="378" t="s">
        <v>12</v>
      </c>
      <c r="G78" s="368">
        <v>500</v>
      </c>
      <c r="H78" s="326" t="s">
        <v>273</v>
      </c>
      <c r="I78" s="361">
        <v>2</v>
      </c>
      <c r="J78" s="360" t="s">
        <v>273</v>
      </c>
      <c r="K78" s="361">
        <v>1</v>
      </c>
      <c r="L78" s="160"/>
      <c r="M78" s="161"/>
      <c r="N78" s="160"/>
      <c r="O78" s="161"/>
      <c r="P78" s="220">
        <f t="shared" si="1"/>
        <v>3</v>
      </c>
    </row>
    <row r="79" spans="1:16" ht="15" customHeight="1" x14ac:dyDescent="0.35">
      <c r="A79" s="280">
        <v>2080</v>
      </c>
      <c r="B79" s="397" t="s">
        <v>521</v>
      </c>
      <c r="C79" s="398" t="s">
        <v>601</v>
      </c>
      <c r="D79" s="156" t="s">
        <v>111</v>
      </c>
      <c r="E79" s="377">
        <v>42220</v>
      </c>
      <c r="F79" s="378" t="s">
        <v>65</v>
      </c>
      <c r="G79" s="368" t="s">
        <v>126</v>
      </c>
      <c r="H79" s="360" t="s">
        <v>273</v>
      </c>
      <c r="I79" s="361">
        <v>3</v>
      </c>
      <c r="J79" s="360"/>
      <c r="K79" s="361"/>
      <c r="L79" s="160"/>
      <c r="M79" s="161"/>
      <c r="N79" s="160"/>
      <c r="O79" s="161"/>
      <c r="P79" s="220">
        <f t="shared" si="1"/>
        <v>3</v>
      </c>
    </row>
    <row r="80" spans="1:16" ht="15" customHeight="1" x14ac:dyDescent="0.35">
      <c r="A80" s="280">
        <v>2102</v>
      </c>
      <c r="B80" s="393" t="s">
        <v>441</v>
      </c>
      <c r="C80" s="394" t="s">
        <v>172</v>
      </c>
      <c r="D80" s="156" t="s">
        <v>111</v>
      </c>
      <c r="E80" s="377">
        <v>42066</v>
      </c>
      <c r="F80" s="378" t="s">
        <v>13</v>
      </c>
      <c r="G80" s="366" t="s">
        <v>126</v>
      </c>
      <c r="H80" s="360" t="s">
        <v>273</v>
      </c>
      <c r="I80" s="361">
        <v>2</v>
      </c>
      <c r="J80" s="367" t="s">
        <v>273</v>
      </c>
      <c r="K80" s="368">
        <v>1</v>
      </c>
      <c r="L80" s="160"/>
      <c r="M80" s="161"/>
      <c r="N80" s="160"/>
      <c r="O80" s="161"/>
      <c r="P80" s="220">
        <f t="shared" si="1"/>
        <v>3</v>
      </c>
    </row>
    <row r="81" spans="1:16" ht="15" customHeight="1" x14ac:dyDescent="0.35">
      <c r="A81" s="280">
        <v>2130</v>
      </c>
      <c r="B81" s="379" t="s">
        <v>492</v>
      </c>
      <c r="C81" s="382" t="s">
        <v>172</v>
      </c>
      <c r="D81" s="381" t="s">
        <v>111</v>
      </c>
      <c r="E81" s="383">
        <v>42030</v>
      </c>
      <c r="F81" s="378" t="s">
        <v>10</v>
      </c>
      <c r="G81" s="359">
        <v>500</v>
      </c>
      <c r="H81" s="360" t="s">
        <v>273</v>
      </c>
      <c r="I81" s="361">
        <v>3</v>
      </c>
      <c r="J81" s="360"/>
      <c r="K81" s="361"/>
      <c r="L81" s="160"/>
      <c r="M81" s="161"/>
      <c r="N81" s="160"/>
      <c r="O81" s="161"/>
      <c r="P81" s="220">
        <f t="shared" si="1"/>
        <v>3</v>
      </c>
    </row>
    <row r="82" spans="1:16" ht="15" customHeight="1" x14ac:dyDescent="0.35">
      <c r="A82" s="280">
        <v>2119</v>
      </c>
      <c r="B82" s="390" t="s">
        <v>484</v>
      </c>
      <c r="C82" s="391" t="s">
        <v>93</v>
      </c>
      <c r="D82" s="381" t="s">
        <v>111</v>
      </c>
      <c r="E82" s="196">
        <v>42616</v>
      </c>
      <c r="F82" s="378" t="s">
        <v>77</v>
      </c>
      <c r="G82" s="361">
        <v>500</v>
      </c>
      <c r="H82" s="392" t="s">
        <v>273</v>
      </c>
      <c r="I82" s="368">
        <v>2</v>
      </c>
      <c r="J82" s="392"/>
      <c r="K82" s="368"/>
      <c r="L82" s="160"/>
      <c r="M82" s="161"/>
      <c r="N82" s="160"/>
      <c r="O82" s="161"/>
      <c r="P82" s="220">
        <f t="shared" si="1"/>
        <v>2</v>
      </c>
    </row>
    <row r="83" spans="1:16" ht="15" customHeight="1" x14ac:dyDescent="0.35">
      <c r="A83" s="280">
        <v>2030</v>
      </c>
      <c r="B83" s="393" t="s">
        <v>519</v>
      </c>
      <c r="C83" s="394" t="s">
        <v>91</v>
      </c>
      <c r="D83" s="156" t="s">
        <v>111</v>
      </c>
      <c r="E83" s="377">
        <v>42526</v>
      </c>
      <c r="F83" s="378" t="s">
        <v>13</v>
      </c>
      <c r="G83" s="366" t="s">
        <v>126</v>
      </c>
      <c r="H83" s="360" t="s">
        <v>273</v>
      </c>
      <c r="I83" s="361">
        <v>2</v>
      </c>
      <c r="J83" s="360"/>
      <c r="K83" s="361"/>
      <c r="L83" s="160"/>
      <c r="M83" s="161"/>
      <c r="N83" s="160"/>
      <c r="O83" s="161"/>
      <c r="P83" s="220">
        <f t="shared" si="1"/>
        <v>2</v>
      </c>
    </row>
    <row r="84" spans="1:16" ht="15" customHeight="1" x14ac:dyDescent="0.35">
      <c r="A84" s="280">
        <v>2031</v>
      </c>
      <c r="B84" s="397" t="s">
        <v>480</v>
      </c>
      <c r="C84" s="398" t="s">
        <v>586</v>
      </c>
      <c r="D84" s="156" t="s">
        <v>111</v>
      </c>
      <c r="E84" s="399">
        <v>42499</v>
      </c>
      <c r="F84" s="378" t="s">
        <v>12</v>
      </c>
      <c r="G84" s="368">
        <v>500</v>
      </c>
      <c r="H84" s="360" t="s">
        <v>273</v>
      </c>
      <c r="I84" s="361">
        <v>2</v>
      </c>
      <c r="J84" s="360"/>
      <c r="K84" s="361"/>
      <c r="L84" s="160"/>
      <c r="M84" s="161"/>
      <c r="N84" s="160"/>
      <c r="O84" s="161"/>
      <c r="P84" s="220">
        <f t="shared" si="1"/>
        <v>2</v>
      </c>
    </row>
    <row r="85" spans="1:16" ht="15" customHeight="1" x14ac:dyDescent="0.35">
      <c r="A85" s="280">
        <v>2032</v>
      </c>
      <c r="B85" s="393" t="s">
        <v>332</v>
      </c>
      <c r="C85" s="394" t="s">
        <v>64</v>
      </c>
      <c r="D85" s="156" t="s">
        <v>111</v>
      </c>
      <c r="E85" s="377">
        <v>42499</v>
      </c>
      <c r="F85" s="378" t="s">
        <v>13</v>
      </c>
      <c r="G85" s="366" t="s">
        <v>126</v>
      </c>
      <c r="H85" s="360" t="s">
        <v>273</v>
      </c>
      <c r="I85" s="361">
        <v>2</v>
      </c>
      <c r="J85" s="360"/>
      <c r="K85" s="361"/>
      <c r="L85" s="160"/>
      <c r="M85" s="161"/>
      <c r="N85" s="160"/>
      <c r="O85" s="161"/>
      <c r="P85" s="220">
        <f t="shared" si="1"/>
        <v>2</v>
      </c>
    </row>
    <row r="86" spans="1:16" ht="15" customHeight="1" x14ac:dyDescent="0.35">
      <c r="A86" s="280">
        <v>2121</v>
      </c>
      <c r="B86" s="379" t="s">
        <v>501</v>
      </c>
      <c r="C86" s="382" t="s">
        <v>594</v>
      </c>
      <c r="D86" s="381" t="s">
        <v>111</v>
      </c>
      <c r="E86" s="196">
        <v>42478</v>
      </c>
      <c r="F86" s="378" t="s">
        <v>77</v>
      </c>
      <c r="G86" s="361">
        <v>500</v>
      </c>
      <c r="H86" s="360" t="s">
        <v>273</v>
      </c>
      <c r="I86" s="361">
        <v>2</v>
      </c>
      <c r="J86" s="360"/>
      <c r="K86" s="361"/>
      <c r="L86" s="160"/>
      <c r="M86" s="161"/>
      <c r="N86" s="160"/>
      <c r="O86" s="161"/>
      <c r="P86" s="220">
        <f t="shared" si="1"/>
        <v>2</v>
      </c>
    </row>
    <row r="87" spans="1:16" ht="15" customHeight="1" x14ac:dyDescent="0.35">
      <c r="A87" s="280">
        <v>2037</v>
      </c>
      <c r="B87" s="397" t="s">
        <v>525</v>
      </c>
      <c r="C87" s="398" t="s">
        <v>143</v>
      </c>
      <c r="D87" s="156" t="s">
        <v>111</v>
      </c>
      <c r="E87" s="399">
        <v>42468</v>
      </c>
      <c r="F87" s="378" t="s">
        <v>12</v>
      </c>
      <c r="G87" s="368">
        <v>500</v>
      </c>
      <c r="H87" s="360" t="s">
        <v>273</v>
      </c>
      <c r="I87" s="361">
        <v>1</v>
      </c>
      <c r="J87" s="372" t="s">
        <v>273</v>
      </c>
      <c r="K87" s="361">
        <v>1</v>
      </c>
      <c r="L87" s="160"/>
      <c r="M87" s="161"/>
      <c r="N87" s="160"/>
      <c r="O87" s="161"/>
      <c r="P87" s="220">
        <f t="shared" si="1"/>
        <v>2</v>
      </c>
    </row>
    <row r="88" spans="1:16" ht="15" customHeight="1" x14ac:dyDescent="0.35">
      <c r="A88" s="280">
        <v>2041</v>
      </c>
      <c r="B88" s="397" t="s">
        <v>539</v>
      </c>
      <c r="C88" s="398" t="s">
        <v>152</v>
      </c>
      <c r="D88" s="156" t="s">
        <v>111</v>
      </c>
      <c r="E88" s="377">
        <v>42444</v>
      </c>
      <c r="F88" s="378" t="s">
        <v>65</v>
      </c>
      <c r="G88" s="368" t="s">
        <v>126</v>
      </c>
      <c r="H88" s="360" t="s">
        <v>273</v>
      </c>
      <c r="I88" s="361">
        <v>2</v>
      </c>
      <c r="J88" s="360"/>
      <c r="K88" s="361"/>
      <c r="L88" s="160"/>
      <c r="M88" s="161"/>
      <c r="N88" s="160"/>
      <c r="O88" s="161"/>
      <c r="P88" s="220">
        <f t="shared" si="1"/>
        <v>2</v>
      </c>
    </row>
    <row r="89" spans="1:16" ht="15" customHeight="1" x14ac:dyDescent="0.35">
      <c r="A89" s="280">
        <v>2048</v>
      </c>
      <c r="B89" s="376" t="s">
        <v>518</v>
      </c>
      <c r="C89" s="242" t="s">
        <v>266</v>
      </c>
      <c r="D89" s="156" t="s">
        <v>111</v>
      </c>
      <c r="E89" s="377">
        <v>42388</v>
      </c>
      <c r="F89" s="378" t="s">
        <v>79</v>
      </c>
      <c r="G89" s="361">
        <v>500</v>
      </c>
      <c r="H89" s="360" t="s">
        <v>273</v>
      </c>
      <c r="I89" s="361">
        <v>2</v>
      </c>
      <c r="J89" s="360"/>
      <c r="K89" s="361"/>
      <c r="L89" s="160"/>
      <c r="M89" s="161"/>
      <c r="N89" s="160"/>
      <c r="O89" s="161"/>
      <c r="P89" s="220">
        <f t="shared" si="1"/>
        <v>2</v>
      </c>
    </row>
    <row r="90" spans="1:16" ht="15" customHeight="1" x14ac:dyDescent="0.35">
      <c r="A90" s="280">
        <v>2065</v>
      </c>
      <c r="B90" s="393" t="s">
        <v>534</v>
      </c>
      <c r="C90" s="394" t="s">
        <v>611</v>
      </c>
      <c r="D90" s="156" t="s">
        <v>111</v>
      </c>
      <c r="E90" s="377">
        <v>42284</v>
      </c>
      <c r="F90" s="378" t="s">
        <v>13</v>
      </c>
      <c r="G90" s="366" t="s">
        <v>126</v>
      </c>
      <c r="H90" s="360" t="s">
        <v>273</v>
      </c>
      <c r="I90" s="361">
        <v>2</v>
      </c>
      <c r="J90" s="360"/>
      <c r="K90" s="361"/>
      <c r="L90" s="160"/>
      <c r="M90" s="161"/>
      <c r="N90" s="160"/>
      <c r="O90" s="161"/>
      <c r="P90" s="220">
        <f t="shared" si="1"/>
        <v>2</v>
      </c>
    </row>
    <row r="91" spans="1:16" ht="15" customHeight="1" x14ac:dyDescent="0.35">
      <c r="A91" s="280">
        <v>2169</v>
      </c>
      <c r="B91" s="390" t="s">
        <v>527</v>
      </c>
      <c r="C91" s="391" t="s">
        <v>605</v>
      </c>
      <c r="D91" s="381" t="s">
        <v>111</v>
      </c>
      <c r="E91" s="193">
        <v>42268</v>
      </c>
      <c r="F91" s="378" t="s">
        <v>9</v>
      </c>
      <c r="G91" s="359">
        <v>500</v>
      </c>
      <c r="H91" s="360" t="s">
        <v>273</v>
      </c>
      <c r="I91" s="361">
        <v>2</v>
      </c>
      <c r="J91" s="360"/>
      <c r="K91" s="361"/>
      <c r="L91" s="160"/>
      <c r="M91" s="161"/>
      <c r="N91" s="160"/>
      <c r="O91" s="161"/>
      <c r="P91" s="220">
        <f t="shared" si="1"/>
        <v>2</v>
      </c>
    </row>
    <row r="92" spans="1:16" ht="15" customHeight="1" x14ac:dyDescent="0.35">
      <c r="A92" s="280">
        <v>2086</v>
      </c>
      <c r="B92" s="395" t="s">
        <v>449</v>
      </c>
      <c r="C92" s="396" t="s">
        <v>252</v>
      </c>
      <c r="D92" s="156" t="s">
        <v>111</v>
      </c>
      <c r="E92" s="377">
        <v>42185</v>
      </c>
      <c r="F92" s="378" t="s">
        <v>294</v>
      </c>
      <c r="G92" s="368" t="s">
        <v>126</v>
      </c>
      <c r="H92" s="360" t="s">
        <v>273</v>
      </c>
      <c r="I92" s="361">
        <v>2</v>
      </c>
      <c r="J92" s="392"/>
      <c r="K92" s="368"/>
      <c r="L92" s="160"/>
      <c r="M92" s="161"/>
      <c r="N92" s="160"/>
      <c r="O92" s="161"/>
      <c r="P92" s="220">
        <f t="shared" si="1"/>
        <v>2</v>
      </c>
    </row>
    <row r="93" spans="1:16" ht="15" customHeight="1" x14ac:dyDescent="0.35">
      <c r="A93" s="280">
        <v>2153</v>
      </c>
      <c r="B93" s="390" t="s">
        <v>400</v>
      </c>
      <c r="C93" s="391" t="s">
        <v>423</v>
      </c>
      <c r="D93" s="381" t="s">
        <v>110</v>
      </c>
      <c r="E93" s="193">
        <v>42185</v>
      </c>
      <c r="F93" s="378" t="s">
        <v>9</v>
      </c>
      <c r="G93" s="359">
        <v>500</v>
      </c>
      <c r="H93" s="360" t="s">
        <v>273</v>
      </c>
      <c r="I93" s="361">
        <v>1</v>
      </c>
      <c r="J93" s="360" t="s">
        <v>273</v>
      </c>
      <c r="K93" s="361">
        <v>1</v>
      </c>
      <c r="L93" s="160"/>
      <c r="M93" s="161"/>
      <c r="N93" s="160"/>
      <c r="O93" s="161"/>
      <c r="P93" s="220">
        <f t="shared" si="1"/>
        <v>2</v>
      </c>
    </row>
    <row r="94" spans="1:16" ht="15" customHeight="1" x14ac:dyDescent="0.35">
      <c r="A94" s="280">
        <v>2089</v>
      </c>
      <c r="B94" s="395" t="s">
        <v>473</v>
      </c>
      <c r="C94" s="396" t="s">
        <v>581</v>
      </c>
      <c r="D94" s="156" t="s">
        <v>111</v>
      </c>
      <c r="E94" s="377">
        <v>42161</v>
      </c>
      <c r="F94" s="378" t="s">
        <v>294</v>
      </c>
      <c r="G94" s="368" t="s">
        <v>126</v>
      </c>
      <c r="H94" s="360" t="s">
        <v>273</v>
      </c>
      <c r="I94" s="361">
        <v>2</v>
      </c>
      <c r="J94" s="360"/>
      <c r="K94" s="361"/>
      <c r="L94" s="160"/>
      <c r="M94" s="161"/>
      <c r="N94" s="160"/>
      <c r="O94" s="161"/>
      <c r="P94" s="220">
        <f t="shared" si="1"/>
        <v>2</v>
      </c>
    </row>
    <row r="95" spans="1:16" ht="15" customHeight="1" x14ac:dyDescent="0.35">
      <c r="A95" s="280">
        <v>2097</v>
      </c>
      <c r="B95" s="393" t="s">
        <v>552</v>
      </c>
      <c r="C95" s="394" t="s">
        <v>113</v>
      </c>
      <c r="D95" s="156" t="s">
        <v>111</v>
      </c>
      <c r="E95" s="377">
        <v>42104</v>
      </c>
      <c r="F95" s="378" t="s">
        <v>13</v>
      </c>
      <c r="G95" s="366" t="s">
        <v>126</v>
      </c>
      <c r="H95" s="360" t="s">
        <v>273</v>
      </c>
      <c r="I95" s="361">
        <v>2</v>
      </c>
      <c r="J95" s="360"/>
      <c r="K95" s="361"/>
      <c r="L95" s="160"/>
      <c r="M95" s="161"/>
      <c r="N95" s="160"/>
      <c r="O95" s="161"/>
      <c r="P95" s="220">
        <f t="shared" si="1"/>
        <v>2</v>
      </c>
    </row>
    <row r="96" spans="1:16" ht="15" customHeight="1" x14ac:dyDescent="0.35">
      <c r="A96" s="280">
        <v>2115</v>
      </c>
      <c r="B96" s="390" t="s">
        <v>452</v>
      </c>
      <c r="C96" s="391" t="s">
        <v>70</v>
      </c>
      <c r="D96" s="381" t="s">
        <v>111</v>
      </c>
      <c r="E96" s="200">
        <v>42056</v>
      </c>
      <c r="F96" s="378" t="s">
        <v>77</v>
      </c>
      <c r="G96" s="361">
        <v>500</v>
      </c>
      <c r="H96" s="326"/>
      <c r="I96" s="361"/>
      <c r="J96" s="392" t="s">
        <v>273</v>
      </c>
      <c r="K96" s="368">
        <v>2</v>
      </c>
      <c r="L96" s="160"/>
      <c r="M96" s="161"/>
      <c r="N96" s="160"/>
      <c r="O96" s="161"/>
      <c r="P96" s="220">
        <f t="shared" si="1"/>
        <v>2</v>
      </c>
    </row>
    <row r="97" spans="1:16" ht="15" customHeight="1" x14ac:dyDescent="0.35">
      <c r="A97" s="280">
        <v>2110</v>
      </c>
      <c r="B97" s="397" t="s">
        <v>481</v>
      </c>
      <c r="C97" s="398" t="s">
        <v>587</v>
      </c>
      <c r="D97" s="156" t="s">
        <v>111</v>
      </c>
      <c r="E97" s="399">
        <v>42026</v>
      </c>
      <c r="F97" s="378" t="s">
        <v>12</v>
      </c>
      <c r="G97" s="368">
        <v>500</v>
      </c>
      <c r="H97" s="360" t="s">
        <v>273</v>
      </c>
      <c r="I97" s="361">
        <v>1</v>
      </c>
      <c r="J97" s="367" t="s">
        <v>273</v>
      </c>
      <c r="K97" s="368">
        <v>1</v>
      </c>
      <c r="L97" s="160"/>
      <c r="M97" s="161"/>
      <c r="N97" s="160"/>
      <c r="O97" s="161"/>
      <c r="P97" s="220">
        <f t="shared" si="1"/>
        <v>2</v>
      </c>
    </row>
    <row r="98" spans="1:16" ht="15" customHeight="1" x14ac:dyDescent="0.35">
      <c r="A98" s="280">
        <v>2003</v>
      </c>
      <c r="B98" s="393" t="s">
        <v>533</v>
      </c>
      <c r="C98" s="394" t="s">
        <v>608</v>
      </c>
      <c r="D98" s="156" t="s">
        <v>111</v>
      </c>
      <c r="E98" s="377">
        <v>42719</v>
      </c>
      <c r="F98" s="378" t="s">
        <v>13</v>
      </c>
      <c r="G98" s="366" t="s">
        <v>126</v>
      </c>
      <c r="H98" s="360" t="s">
        <v>273</v>
      </c>
      <c r="I98" s="361">
        <v>1</v>
      </c>
      <c r="J98" s="360"/>
      <c r="K98" s="361"/>
      <c r="L98" s="160"/>
      <c r="M98" s="161"/>
      <c r="N98" s="160"/>
      <c r="O98" s="161"/>
      <c r="P98" s="220">
        <f t="shared" si="1"/>
        <v>1</v>
      </c>
    </row>
    <row r="99" spans="1:16" ht="15" customHeight="1" x14ac:dyDescent="0.35">
      <c r="A99" s="280">
        <v>2004</v>
      </c>
      <c r="B99" s="393" t="s">
        <v>533</v>
      </c>
      <c r="C99" s="394" t="s">
        <v>150</v>
      </c>
      <c r="D99" s="156" t="s">
        <v>111</v>
      </c>
      <c r="E99" s="377">
        <v>42719</v>
      </c>
      <c r="F99" s="378" t="s">
        <v>13</v>
      </c>
      <c r="G99" s="366" t="s">
        <v>126</v>
      </c>
      <c r="H99" s="360" t="s">
        <v>273</v>
      </c>
      <c r="I99" s="361">
        <v>1</v>
      </c>
      <c r="J99" s="360"/>
      <c r="K99" s="361"/>
      <c r="L99" s="160"/>
      <c r="M99" s="161"/>
      <c r="N99" s="160"/>
      <c r="O99" s="161"/>
      <c r="P99" s="220">
        <f t="shared" si="1"/>
        <v>1</v>
      </c>
    </row>
    <row r="100" spans="1:16" ht="15" customHeight="1" x14ac:dyDescent="0.35">
      <c r="A100" s="280">
        <v>2010</v>
      </c>
      <c r="B100" s="393" t="s">
        <v>498</v>
      </c>
      <c r="C100" s="394" t="s">
        <v>93</v>
      </c>
      <c r="D100" s="156" t="s">
        <v>111</v>
      </c>
      <c r="E100" s="377">
        <v>42671</v>
      </c>
      <c r="F100" s="378" t="s">
        <v>13</v>
      </c>
      <c r="G100" s="366" t="s">
        <v>126</v>
      </c>
      <c r="H100" s="360" t="s">
        <v>273</v>
      </c>
      <c r="I100" s="361">
        <v>1</v>
      </c>
      <c r="J100" s="360"/>
      <c r="K100" s="361"/>
      <c r="L100" s="160"/>
      <c r="M100" s="161"/>
      <c r="N100" s="160"/>
      <c r="O100" s="161"/>
      <c r="P100" s="220">
        <f t="shared" si="1"/>
        <v>1</v>
      </c>
    </row>
    <row r="101" spans="1:16" ht="15" customHeight="1" x14ac:dyDescent="0.35">
      <c r="A101" s="280">
        <v>2015</v>
      </c>
      <c r="B101" s="397" t="s">
        <v>528</v>
      </c>
      <c r="C101" s="398" t="s">
        <v>606</v>
      </c>
      <c r="D101" s="156" t="s">
        <v>111</v>
      </c>
      <c r="E101" s="399">
        <v>42656</v>
      </c>
      <c r="F101" s="378" t="s">
        <v>12</v>
      </c>
      <c r="G101" s="368">
        <v>500</v>
      </c>
      <c r="H101" s="360"/>
      <c r="I101" s="361"/>
      <c r="J101" s="372" t="s">
        <v>273</v>
      </c>
      <c r="K101" s="361">
        <v>1</v>
      </c>
      <c r="L101" s="160"/>
      <c r="M101" s="161"/>
      <c r="N101" s="160"/>
      <c r="O101" s="161"/>
      <c r="P101" s="220">
        <f t="shared" si="1"/>
        <v>1</v>
      </c>
    </row>
    <row r="102" spans="1:16" ht="15" customHeight="1" x14ac:dyDescent="0.35">
      <c r="A102" s="303">
        <v>2184</v>
      </c>
      <c r="B102" s="411" t="s">
        <v>447</v>
      </c>
      <c r="C102" s="405" t="s">
        <v>60</v>
      </c>
      <c r="D102" s="156" t="s">
        <v>111</v>
      </c>
      <c r="E102" s="193">
        <v>42636</v>
      </c>
      <c r="F102" s="378" t="s">
        <v>10</v>
      </c>
      <c r="G102" s="361">
        <v>500</v>
      </c>
      <c r="H102" s="392"/>
      <c r="I102" s="368"/>
      <c r="J102" s="367" t="s">
        <v>273</v>
      </c>
      <c r="K102" s="368">
        <v>1</v>
      </c>
      <c r="L102" s="160"/>
      <c r="M102" s="161"/>
      <c r="N102" s="160"/>
      <c r="O102" s="161"/>
      <c r="P102" s="220">
        <f t="shared" si="1"/>
        <v>1</v>
      </c>
    </row>
    <row r="103" spans="1:16" ht="15" customHeight="1" x14ac:dyDescent="0.35">
      <c r="A103" s="280">
        <v>2118</v>
      </c>
      <c r="B103" s="390" t="s">
        <v>477</v>
      </c>
      <c r="C103" s="391" t="s">
        <v>584</v>
      </c>
      <c r="D103" s="381" t="s">
        <v>111</v>
      </c>
      <c r="E103" s="200">
        <v>42433</v>
      </c>
      <c r="F103" s="378" t="s">
        <v>77</v>
      </c>
      <c r="G103" s="361">
        <v>500</v>
      </c>
      <c r="H103" s="326"/>
      <c r="I103" s="361"/>
      <c r="J103" s="360" t="s">
        <v>273</v>
      </c>
      <c r="K103" s="361">
        <v>1</v>
      </c>
      <c r="L103" s="160"/>
      <c r="M103" s="161"/>
      <c r="N103" s="160"/>
      <c r="O103" s="161"/>
      <c r="P103" s="220">
        <f t="shared" si="1"/>
        <v>1</v>
      </c>
    </row>
    <row r="104" spans="1:16" ht="15" customHeight="1" x14ac:dyDescent="0.35">
      <c r="A104" s="280">
        <v>2049</v>
      </c>
      <c r="B104" s="393" t="s">
        <v>462</v>
      </c>
      <c r="C104" s="394" t="s">
        <v>44</v>
      </c>
      <c r="D104" s="156" t="s">
        <v>111</v>
      </c>
      <c r="E104" s="377">
        <v>42384</v>
      </c>
      <c r="F104" s="378" t="s">
        <v>13</v>
      </c>
      <c r="G104" s="366" t="s">
        <v>126</v>
      </c>
      <c r="H104" s="360"/>
      <c r="I104" s="361"/>
      <c r="J104" s="392" t="s">
        <v>273</v>
      </c>
      <c r="K104" s="368">
        <v>1</v>
      </c>
      <c r="L104" s="160"/>
      <c r="M104" s="161"/>
      <c r="N104" s="160"/>
      <c r="O104" s="161"/>
      <c r="P104" s="220">
        <f t="shared" si="1"/>
        <v>1</v>
      </c>
    </row>
    <row r="105" spans="1:16" ht="15" customHeight="1" x14ac:dyDescent="0.35">
      <c r="A105" s="280">
        <v>2056</v>
      </c>
      <c r="B105" s="393" t="s">
        <v>516</v>
      </c>
      <c r="C105" s="394" t="s">
        <v>93</v>
      </c>
      <c r="D105" s="156" t="s">
        <v>111</v>
      </c>
      <c r="E105" s="377">
        <v>42350</v>
      </c>
      <c r="F105" s="378" t="s">
        <v>13</v>
      </c>
      <c r="G105" s="366" t="s">
        <v>126</v>
      </c>
      <c r="H105" s="326" t="s">
        <v>273</v>
      </c>
      <c r="I105" s="361">
        <v>1</v>
      </c>
      <c r="J105" s="360"/>
      <c r="K105" s="361"/>
      <c r="L105" s="160"/>
      <c r="M105" s="161"/>
      <c r="N105" s="160"/>
      <c r="O105" s="161"/>
      <c r="P105" s="220">
        <f t="shared" si="1"/>
        <v>1</v>
      </c>
    </row>
    <row r="106" spans="1:16" ht="15" customHeight="1" x14ac:dyDescent="0.35">
      <c r="A106" s="280">
        <v>2173</v>
      </c>
      <c r="B106" s="390" t="s">
        <v>542</v>
      </c>
      <c r="C106" s="391" t="s">
        <v>613</v>
      </c>
      <c r="D106" s="381" t="s">
        <v>111</v>
      </c>
      <c r="E106" s="193">
        <v>42087</v>
      </c>
      <c r="F106" s="378" t="s">
        <v>9</v>
      </c>
      <c r="G106" s="359">
        <v>500</v>
      </c>
      <c r="H106" s="360" t="s">
        <v>273</v>
      </c>
      <c r="I106" s="361">
        <v>1</v>
      </c>
      <c r="J106" s="360"/>
      <c r="K106" s="361"/>
      <c r="L106" s="160"/>
      <c r="M106" s="161"/>
      <c r="N106" s="160"/>
      <c r="O106" s="161"/>
      <c r="P106" s="220">
        <f t="shared" si="1"/>
        <v>1</v>
      </c>
    </row>
    <row r="107" spans="1:16" ht="15" customHeight="1" x14ac:dyDescent="0.35">
      <c r="A107" s="280">
        <v>2109</v>
      </c>
      <c r="B107" s="393" t="s">
        <v>470</v>
      </c>
      <c r="C107" s="394" t="s">
        <v>152</v>
      </c>
      <c r="D107" s="156" t="s">
        <v>111</v>
      </c>
      <c r="E107" s="377">
        <v>42031</v>
      </c>
      <c r="F107" s="378" t="s">
        <v>13</v>
      </c>
      <c r="G107" s="366" t="s">
        <v>126</v>
      </c>
      <c r="H107" s="360" t="s">
        <v>273</v>
      </c>
      <c r="I107" s="361">
        <v>1</v>
      </c>
      <c r="J107" s="392"/>
      <c r="K107" s="368"/>
      <c r="L107" s="160"/>
      <c r="M107" s="161"/>
      <c r="N107" s="160"/>
      <c r="O107" s="161"/>
      <c r="P107" s="220">
        <f t="shared" si="1"/>
        <v>1</v>
      </c>
    </row>
    <row r="108" spans="1:16" ht="15" customHeight="1" x14ac:dyDescent="0.35">
      <c r="A108" s="280">
        <v>2000</v>
      </c>
      <c r="B108" s="395" t="s">
        <v>812</v>
      </c>
      <c r="C108" s="400" t="s">
        <v>832</v>
      </c>
      <c r="D108" s="156" t="s">
        <v>110</v>
      </c>
      <c r="E108" s="377">
        <v>42731</v>
      </c>
      <c r="F108" s="378" t="s">
        <v>294</v>
      </c>
      <c r="G108" s="368" t="s">
        <v>126</v>
      </c>
      <c r="H108" s="360"/>
      <c r="I108" s="361"/>
      <c r="J108" s="360"/>
      <c r="K108" s="361"/>
      <c r="L108" s="160"/>
      <c r="M108" s="161"/>
      <c r="N108" s="160"/>
      <c r="O108" s="161"/>
      <c r="P108" s="220">
        <f t="shared" si="1"/>
        <v>0</v>
      </c>
    </row>
    <row r="109" spans="1:16" ht="15" customHeight="1" x14ac:dyDescent="0.35">
      <c r="A109" s="280">
        <v>2002</v>
      </c>
      <c r="B109" s="376" t="s">
        <v>538</v>
      </c>
      <c r="C109" s="242" t="s">
        <v>813</v>
      </c>
      <c r="D109" s="156" t="s">
        <v>111</v>
      </c>
      <c r="E109" s="377">
        <v>42720</v>
      </c>
      <c r="F109" s="378" t="s">
        <v>79</v>
      </c>
      <c r="G109" s="361">
        <v>500</v>
      </c>
      <c r="H109" s="326"/>
      <c r="I109" s="361"/>
      <c r="J109" s="360"/>
      <c r="K109" s="361"/>
      <c r="L109" s="160"/>
      <c r="M109" s="161"/>
      <c r="N109" s="160"/>
      <c r="O109" s="161"/>
      <c r="P109" s="220">
        <f t="shared" si="1"/>
        <v>0</v>
      </c>
    </row>
    <row r="110" spans="1:16" ht="15" customHeight="1" x14ac:dyDescent="0.35">
      <c r="A110" s="280">
        <v>2005</v>
      </c>
      <c r="B110" s="397" t="s">
        <v>523</v>
      </c>
      <c r="C110" s="398" t="s">
        <v>131</v>
      </c>
      <c r="D110" s="156" t="s">
        <v>111</v>
      </c>
      <c r="E110" s="377">
        <v>42710</v>
      </c>
      <c r="F110" s="378" t="s">
        <v>37</v>
      </c>
      <c r="G110" s="368">
        <v>500</v>
      </c>
      <c r="H110" s="360"/>
      <c r="I110" s="361"/>
      <c r="J110" s="360"/>
      <c r="K110" s="361"/>
      <c r="L110" s="160"/>
      <c r="M110" s="161"/>
      <c r="N110" s="160"/>
      <c r="O110" s="161"/>
      <c r="P110" s="220">
        <f t="shared" si="1"/>
        <v>0</v>
      </c>
    </row>
    <row r="111" spans="1:16" ht="15" customHeight="1" x14ac:dyDescent="0.35">
      <c r="A111" s="280">
        <v>2171</v>
      </c>
      <c r="B111" s="390" t="s">
        <v>394</v>
      </c>
      <c r="C111" s="391" t="s">
        <v>230</v>
      </c>
      <c r="D111" s="381" t="s">
        <v>110</v>
      </c>
      <c r="E111" s="193">
        <v>42697</v>
      </c>
      <c r="F111" s="378" t="s">
        <v>9</v>
      </c>
      <c r="G111" s="359">
        <v>500</v>
      </c>
      <c r="H111" s="360"/>
      <c r="I111" s="361"/>
      <c r="J111" s="360"/>
      <c r="K111" s="361"/>
      <c r="L111" s="160"/>
      <c r="M111" s="161"/>
      <c r="N111" s="160"/>
      <c r="O111" s="161"/>
      <c r="P111" s="220">
        <f t="shared" si="1"/>
        <v>0</v>
      </c>
    </row>
    <row r="112" spans="1:16" ht="15" customHeight="1" x14ac:dyDescent="0.35">
      <c r="A112" s="280">
        <v>2006</v>
      </c>
      <c r="B112" s="393" t="s">
        <v>453</v>
      </c>
      <c r="C112" s="394" t="s">
        <v>139</v>
      </c>
      <c r="D112" s="156" t="s">
        <v>111</v>
      </c>
      <c r="E112" s="377">
        <v>42692</v>
      </c>
      <c r="F112" s="378" t="s">
        <v>13</v>
      </c>
      <c r="G112" s="366" t="s">
        <v>126</v>
      </c>
      <c r="H112" s="360"/>
      <c r="I112" s="361"/>
      <c r="J112" s="392"/>
      <c r="K112" s="368"/>
      <c r="L112" s="160"/>
      <c r="M112" s="161"/>
      <c r="N112" s="160"/>
      <c r="O112" s="161"/>
      <c r="P112" s="220">
        <f t="shared" si="1"/>
        <v>0</v>
      </c>
    </row>
    <row r="113" spans="1:16" ht="15" customHeight="1" x14ac:dyDescent="0.35">
      <c r="A113" s="280">
        <v>2128</v>
      </c>
      <c r="B113" s="379" t="s">
        <v>835</v>
      </c>
      <c r="C113" s="382" t="s">
        <v>88</v>
      </c>
      <c r="D113" s="381" t="s">
        <v>111</v>
      </c>
      <c r="E113" s="383">
        <v>42691</v>
      </c>
      <c r="F113" s="378" t="s">
        <v>10</v>
      </c>
      <c r="G113" s="359">
        <v>504</v>
      </c>
      <c r="H113" s="360"/>
      <c r="I113" s="361"/>
      <c r="J113" s="360"/>
      <c r="K113" s="361"/>
      <c r="L113" s="160"/>
      <c r="M113" s="161"/>
      <c r="N113" s="160"/>
      <c r="O113" s="161"/>
      <c r="P113" s="220">
        <f t="shared" si="1"/>
        <v>0</v>
      </c>
    </row>
    <row r="114" spans="1:16" ht="15" customHeight="1" x14ac:dyDescent="0.35">
      <c r="A114" s="280">
        <v>2009</v>
      </c>
      <c r="B114" s="395" t="s">
        <v>836</v>
      </c>
      <c r="C114" s="396" t="s">
        <v>571</v>
      </c>
      <c r="D114" s="156" t="s">
        <v>111</v>
      </c>
      <c r="E114" s="377">
        <v>42674</v>
      </c>
      <c r="F114" s="378" t="s">
        <v>294</v>
      </c>
      <c r="G114" s="368" t="s">
        <v>126</v>
      </c>
      <c r="H114" s="360"/>
      <c r="I114" s="361"/>
      <c r="J114" s="392"/>
      <c r="K114" s="368"/>
      <c r="L114" s="160"/>
      <c r="M114" s="161"/>
      <c r="N114" s="160"/>
      <c r="O114" s="161"/>
      <c r="P114" s="220">
        <f t="shared" si="1"/>
        <v>0</v>
      </c>
    </row>
    <row r="115" spans="1:16" ht="15" customHeight="1" x14ac:dyDescent="0.35">
      <c r="A115" s="280">
        <v>2012</v>
      </c>
      <c r="B115" s="395" t="s">
        <v>837</v>
      </c>
      <c r="C115" s="400" t="s">
        <v>339</v>
      </c>
      <c r="D115" s="156" t="s">
        <v>110</v>
      </c>
      <c r="E115" s="377">
        <v>42666</v>
      </c>
      <c r="F115" s="378" t="s">
        <v>294</v>
      </c>
      <c r="G115" s="368" t="s">
        <v>126</v>
      </c>
      <c r="H115" s="360"/>
      <c r="I115" s="361"/>
      <c r="J115" s="392"/>
      <c r="K115" s="368"/>
      <c r="L115" s="160"/>
      <c r="M115" s="161"/>
      <c r="N115" s="160"/>
      <c r="O115" s="161"/>
      <c r="P115" s="220">
        <f t="shared" si="1"/>
        <v>0</v>
      </c>
    </row>
    <row r="116" spans="1:16" ht="15" customHeight="1" x14ac:dyDescent="0.35">
      <c r="A116" s="280">
        <v>2013</v>
      </c>
      <c r="B116" s="393" t="s">
        <v>555</v>
      </c>
      <c r="C116" s="394" t="s">
        <v>617</v>
      </c>
      <c r="D116" s="156" t="s">
        <v>111</v>
      </c>
      <c r="E116" s="377">
        <v>42664</v>
      </c>
      <c r="F116" s="378" t="s">
        <v>13</v>
      </c>
      <c r="G116" s="366" t="s">
        <v>126</v>
      </c>
      <c r="H116" s="360"/>
      <c r="I116" s="361"/>
      <c r="J116" s="360"/>
      <c r="K116" s="361"/>
      <c r="L116" s="160"/>
      <c r="M116" s="161"/>
      <c r="N116" s="160"/>
      <c r="O116" s="161"/>
      <c r="P116" s="220">
        <f t="shared" si="1"/>
        <v>0</v>
      </c>
    </row>
    <row r="117" spans="1:16" ht="15" customHeight="1" x14ac:dyDescent="0.35">
      <c r="A117" s="280">
        <v>2014</v>
      </c>
      <c r="B117" s="397" t="s">
        <v>548</v>
      </c>
      <c r="C117" s="398" t="s">
        <v>173</v>
      </c>
      <c r="D117" s="156" t="s">
        <v>111</v>
      </c>
      <c r="E117" s="377">
        <v>42660</v>
      </c>
      <c r="F117" s="378" t="s">
        <v>65</v>
      </c>
      <c r="G117" s="368" t="s">
        <v>126</v>
      </c>
      <c r="H117" s="360"/>
      <c r="I117" s="361"/>
      <c r="J117" s="360"/>
      <c r="K117" s="361"/>
      <c r="L117" s="160"/>
      <c r="M117" s="161"/>
      <c r="N117" s="160"/>
      <c r="O117" s="161"/>
      <c r="P117" s="220">
        <f t="shared" si="1"/>
        <v>0</v>
      </c>
    </row>
    <row r="118" spans="1:16" ht="15" customHeight="1" x14ac:dyDescent="0.35">
      <c r="A118" s="280">
        <v>2017</v>
      </c>
      <c r="B118" s="393" t="s">
        <v>506</v>
      </c>
      <c r="C118" s="394" t="s">
        <v>187</v>
      </c>
      <c r="D118" s="156" t="s">
        <v>111</v>
      </c>
      <c r="E118" s="377">
        <v>42641</v>
      </c>
      <c r="F118" s="378" t="s">
        <v>13</v>
      </c>
      <c r="G118" s="366" t="s">
        <v>126</v>
      </c>
      <c r="H118" s="360"/>
      <c r="I118" s="361"/>
      <c r="J118" s="372"/>
      <c r="K118" s="361"/>
      <c r="L118" s="160"/>
      <c r="M118" s="161"/>
      <c r="N118" s="160"/>
      <c r="O118" s="161"/>
      <c r="P118" s="220">
        <f t="shared" si="1"/>
        <v>0</v>
      </c>
    </row>
    <row r="119" spans="1:16" ht="15" customHeight="1" x14ac:dyDescent="0.35">
      <c r="A119" s="280">
        <v>2018</v>
      </c>
      <c r="B119" s="395" t="s">
        <v>495</v>
      </c>
      <c r="C119" s="396" t="s">
        <v>179</v>
      </c>
      <c r="D119" s="156" t="s">
        <v>111</v>
      </c>
      <c r="E119" s="377">
        <v>42637</v>
      </c>
      <c r="F119" s="378" t="s">
        <v>294</v>
      </c>
      <c r="G119" s="368" t="s">
        <v>126</v>
      </c>
      <c r="H119" s="360"/>
      <c r="I119" s="361"/>
      <c r="J119" s="360"/>
      <c r="K119" s="361"/>
      <c r="L119" s="160"/>
      <c r="M119" s="161"/>
      <c r="N119" s="160"/>
      <c r="O119" s="161"/>
      <c r="P119" s="220">
        <f t="shared" si="1"/>
        <v>0</v>
      </c>
    </row>
    <row r="120" spans="1:16" ht="15" customHeight="1" x14ac:dyDescent="0.35">
      <c r="A120" s="280">
        <v>2113</v>
      </c>
      <c r="B120" s="390" t="s">
        <v>444</v>
      </c>
      <c r="C120" s="391" t="s">
        <v>570</v>
      </c>
      <c r="D120" s="381" t="s">
        <v>111</v>
      </c>
      <c r="E120" s="196">
        <v>42617</v>
      </c>
      <c r="F120" s="378" t="s">
        <v>77</v>
      </c>
      <c r="G120" s="361">
        <v>500</v>
      </c>
      <c r="H120" s="360"/>
      <c r="I120" s="361"/>
      <c r="J120" s="392"/>
      <c r="K120" s="368"/>
      <c r="L120" s="160"/>
      <c r="M120" s="161"/>
      <c r="N120" s="160"/>
      <c r="O120" s="161"/>
      <c r="P120" s="220">
        <f t="shared" si="1"/>
        <v>0</v>
      </c>
    </row>
    <row r="121" spans="1:16" ht="15" customHeight="1" x14ac:dyDescent="0.35">
      <c r="A121" s="280">
        <v>2117</v>
      </c>
      <c r="B121" s="390" t="s">
        <v>471</v>
      </c>
      <c r="C121" s="391" t="s">
        <v>63</v>
      </c>
      <c r="D121" s="381" t="s">
        <v>111</v>
      </c>
      <c r="E121" s="200">
        <v>42604</v>
      </c>
      <c r="F121" s="378" t="s">
        <v>77</v>
      </c>
      <c r="G121" s="361">
        <v>500</v>
      </c>
      <c r="H121" s="360"/>
      <c r="I121" s="361"/>
      <c r="J121" s="360"/>
      <c r="K121" s="361"/>
      <c r="L121" s="160"/>
      <c r="M121" s="161"/>
      <c r="N121" s="160"/>
      <c r="O121" s="161"/>
      <c r="P121" s="220">
        <f t="shared" si="1"/>
        <v>0</v>
      </c>
    </row>
    <row r="122" spans="1:16" ht="15" customHeight="1" x14ac:dyDescent="0.35">
      <c r="A122" s="280">
        <v>2154</v>
      </c>
      <c r="B122" s="390" t="s">
        <v>472</v>
      </c>
      <c r="C122" s="391" t="s">
        <v>153</v>
      </c>
      <c r="D122" s="381" t="s">
        <v>111</v>
      </c>
      <c r="E122" s="193">
        <v>42600</v>
      </c>
      <c r="F122" s="378" t="s">
        <v>9</v>
      </c>
      <c r="G122" s="359">
        <v>500</v>
      </c>
      <c r="H122" s="360"/>
      <c r="I122" s="361"/>
      <c r="J122" s="360"/>
      <c r="K122" s="361"/>
      <c r="L122" s="160"/>
      <c r="M122" s="161"/>
      <c r="N122" s="160"/>
      <c r="O122" s="161"/>
      <c r="P122" s="220">
        <f t="shared" si="1"/>
        <v>0</v>
      </c>
    </row>
    <row r="123" spans="1:16" ht="15" customHeight="1" x14ac:dyDescent="0.35">
      <c r="A123" s="280">
        <v>2021</v>
      </c>
      <c r="B123" s="397" t="s">
        <v>455</v>
      </c>
      <c r="C123" s="398" t="s">
        <v>213</v>
      </c>
      <c r="D123" s="156" t="s">
        <v>111</v>
      </c>
      <c r="E123" s="377">
        <v>42594</v>
      </c>
      <c r="F123" s="378" t="s">
        <v>65</v>
      </c>
      <c r="G123" s="368" t="s">
        <v>126</v>
      </c>
      <c r="H123" s="326"/>
      <c r="I123" s="361"/>
      <c r="J123" s="392"/>
      <c r="K123" s="368"/>
      <c r="L123" s="160"/>
      <c r="M123" s="161"/>
      <c r="N123" s="160"/>
      <c r="O123" s="161"/>
      <c r="P123" s="220">
        <f t="shared" si="1"/>
        <v>0</v>
      </c>
    </row>
    <row r="124" spans="1:16" ht="15" customHeight="1" x14ac:dyDescent="0.35">
      <c r="A124" s="280">
        <v>2125</v>
      </c>
      <c r="B124" s="379" t="s">
        <v>200</v>
      </c>
      <c r="C124" s="382" t="s">
        <v>94</v>
      </c>
      <c r="D124" s="381" t="s">
        <v>111</v>
      </c>
      <c r="E124" s="412">
        <v>42579</v>
      </c>
      <c r="F124" s="378" t="s">
        <v>77</v>
      </c>
      <c r="G124" s="359">
        <v>500</v>
      </c>
      <c r="H124" s="360"/>
      <c r="I124" s="361"/>
      <c r="J124" s="360"/>
      <c r="K124" s="361"/>
      <c r="L124" s="160"/>
      <c r="M124" s="161"/>
      <c r="N124" s="160"/>
      <c r="O124" s="161"/>
      <c r="P124" s="220">
        <f t="shared" si="1"/>
        <v>0</v>
      </c>
    </row>
    <row r="125" spans="1:16" ht="15" customHeight="1" x14ac:dyDescent="0.35">
      <c r="A125" s="280">
        <v>2023</v>
      </c>
      <c r="B125" s="393" t="s">
        <v>254</v>
      </c>
      <c r="C125" s="394" t="s">
        <v>183</v>
      </c>
      <c r="D125" s="156" t="s">
        <v>111</v>
      </c>
      <c r="E125" s="377">
        <v>42570</v>
      </c>
      <c r="F125" s="378" t="s">
        <v>13</v>
      </c>
      <c r="G125" s="366" t="s">
        <v>625</v>
      </c>
      <c r="H125" s="360"/>
      <c r="I125" s="361"/>
      <c r="J125" s="360"/>
      <c r="K125" s="361"/>
      <c r="L125" s="160"/>
      <c r="M125" s="161"/>
      <c r="N125" s="160"/>
      <c r="O125" s="161"/>
      <c r="P125" s="220">
        <f t="shared" si="1"/>
        <v>0</v>
      </c>
    </row>
    <row r="126" spans="1:16" ht="15" customHeight="1" x14ac:dyDescent="0.35">
      <c r="A126" s="280">
        <v>2024</v>
      </c>
      <c r="B126" s="395" t="s">
        <v>811</v>
      </c>
      <c r="C126" s="400" t="s">
        <v>132</v>
      </c>
      <c r="D126" s="156" t="s">
        <v>110</v>
      </c>
      <c r="E126" s="377">
        <v>42568</v>
      </c>
      <c r="F126" s="378" t="s">
        <v>294</v>
      </c>
      <c r="G126" s="368" t="s">
        <v>126</v>
      </c>
      <c r="H126" s="360"/>
      <c r="I126" s="361"/>
      <c r="J126" s="360"/>
      <c r="K126" s="361"/>
      <c r="L126" s="160"/>
      <c r="M126" s="161"/>
      <c r="N126" s="160"/>
      <c r="O126" s="161"/>
      <c r="P126" s="220">
        <f t="shared" si="1"/>
        <v>0</v>
      </c>
    </row>
    <row r="127" spans="1:16" ht="15" customHeight="1" x14ac:dyDescent="0.35">
      <c r="A127" s="280">
        <v>2025</v>
      </c>
      <c r="B127" s="376" t="s">
        <v>508</v>
      </c>
      <c r="C127" s="242" t="s">
        <v>833</v>
      </c>
      <c r="D127" s="156" t="s">
        <v>111</v>
      </c>
      <c r="E127" s="377">
        <v>42558</v>
      </c>
      <c r="F127" s="378" t="s">
        <v>79</v>
      </c>
      <c r="G127" s="361">
        <v>500</v>
      </c>
      <c r="H127" s="360"/>
      <c r="I127" s="361"/>
      <c r="J127" s="392"/>
      <c r="K127" s="368"/>
      <c r="L127" s="160"/>
      <c r="M127" s="161"/>
      <c r="N127" s="160"/>
      <c r="O127" s="161"/>
      <c r="P127" s="220">
        <f t="shared" si="1"/>
        <v>0</v>
      </c>
    </row>
    <row r="128" spans="1:16" ht="15" customHeight="1" x14ac:dyDescent="0.35">
      <c r="A128" s="280">
        <v>2026</v>
      </c>
      <c r="B128" s="376" t="s">
        <v>411</v>
      </c>
      <c r="C128" s="242" t="s">
        <v>834</v>
      </c>
      <c r="D128" s="156" t="s">
        <v>111</v>
      </c>
      <c r="E128" s="377">
        <v>42555</v>
      </c>
      <c r="F128" s="378" t="s">
        <v>79</v>
      </c>
      <c r="G128" s="361">
        <v>500</v>
      </c>
      <c r="H128" s="360"/>
      <c r="I128" s="361"/>
      <c r="J128" s="392"/>
      <c r="K128" s="368"/>
      <c r="L128" s="160"/>
      <c r="M128" s="161"/>
      <c r="N128" s="160"/>
      <c r="O128" s="161"/>
      <c r="P128" s="220">
        <f t="shared" si="1"/>
        <v>0</v>
      </c>
    </row>
    <row r="129" spans="1:16" ht="15" customHeight="1" x14ac:dyDescent="0.35">
      <c r="A129" s="280">
        <v>2027</v>
      </c>
      <c r="B129" s="395" t="s">
        <v>810</v>
      </c>
      <c r="C129" s="396" t="s">
        <v>61</v>
      </c>
      <c r="D129" s="156" t="s">
        <v>111</v>
      </c>
      <c r="E129" s="377">
        <v>42550</v>
      </c>
      <c r="F129" s="378" t="s">
        <v>294</v>
      </c>
      <c r="G129" s="368" t="s">
        <v>126</v>
      </c>
      <c r="H129" s="360"/>
      <c r="I129" s="361"/>
      <c r="J129" s="360"/>
      <c r="K129" s="361"/>
      <c r="L129" s="160"/>
      <c r="M129" s="161"/>
      <c r="N129" s="160"/>
      <c r="O129" s="161"/>
      <c r="P129" s="220">
        <f t="shared" si="1"/>
        <v>0</v>
      </c>
    </row>
    <row r="130" spans="1:16" ht="15" customHeight="1" x14ac:dyDescent="0.35">
      <c r="A130" s="280">
        <v>2029</v>
      </c>
      <c r="B130" s="397" t="s">
        <v>556</v>
      </c>
      <c r="C130" s="398" t="s">
        <v>94</v>
      </c>
      <c r="D130" s="156" t="s">
        <v>111</v>
      </c>
      <c r="E130" s="377">
        <v>42536</v>
      </c>
      <c r="F130" s="378" t="s">
        <v>65</v>
      </c>
      <c r="G130" s="368" t="s">
        <v>126</v>
      </c>
      <c r="H130" s="360"/>
      <c r="I130" s="361"/>
      <c r="J130" s="360"/>
      <c r="K130" s="361"/>
      <c r="L130" s="160"/>
      <c r="M130" s="161"/>
      <c r="N130" s="160"/>
      <c r="O130" s="161"/>
      <c r="P130" s="220">
        <f t="shared" si="1"/>
        <v>0</v>
      </c>
    </row>
    <row r="131" spans="1:16" ht="15" customHeight="1" x14ac:dyDescent="0.35">
      <c r="A131" s="280">
        <v>2176</v>
      </c>
      <c r="B131" s="390" t="s">
        <v>557</v>
      </c>
      <c r="C131" s="391" t="s">
        <v>91</v>
      </c>
      <c r="D131" s="381" t="s">
        <v>111</v>
      </c>
      <c r="E131" s="193">
        <v>42502</v>
      </c>
      <c r="F131" s="378" t="s">
        <v>9</v>
      </c>
      <c r="G131" s="359">
        <v>500</v>
      </c>
      <c r="H131" s="360"/>
      <c r="I131" s="361"/>
      <c r="J131" s="360"/>
      <c r="K131" s="361"/>
      <c r="L131" s="160"/>
      <c r="M131" s="161"/>
      <c r="N131" s="160"/>
      <c r="O131" s="161"/>
      <c r="P131" s="220">
        <f t="shared" si="1"/>
        <v>0</v>
      </c>
    </row>
    <row r="132" spans="1:16" ht="15" customHeight="1" x14ac:dyDescent="0.35">
      <c r="A132" s="280">
        <v>2035</v>
      </c>
      <c r="B132" s="393" t="s">
        <v>486</v>
      </c>
      <c r="C132" s="394" t="s">
        <v>590</v>
      </c>
      <c r="D132" s="156" t="s">
        <v>111</v>
      </c>
      <c r="E132" s="377">
        <v>42474</v>
      </c>
      <c r="F132" s="378" t="s">
        <v>13</v>
      </c>
      <c r="G132" s="366" t="s">
        <v>621</v>
      </c>
      <c r="H132" s="360"/>
      <c r="I132" s="361"/>
      <c r="J132" s="360"/>
      <c r="K132" s="361"/>
      <c r="L132" s="160"/>
      <c r="M132" s="161"/>
      <c r="N132" s="160"/>
      <c r="O132" s="161"/>
      <c r="P132" s="220">
        <f t="shared" si="1"/>
        <v>0</v>
      </c>
    </row>
    <row r="133" spans="1:16" ht="15" customHeight="1" x14ac:dyDescent="0.35">
      <c r="A133" s="280">
        <v>2038</v>
      </c>
      <c r="B133" s="376" t="s">
        <v>454</v>
      </c>
      <c r="C133" s="242" t="s">
        <v>95</v>
      </c>
      <c r="D133" s="156" t="s">
        <v>111</v>
      </c>
      <c r="E133" s="377">
        <v>42457</v>
      </c>
      <c r="F133" s="378" t="s">
        <v>79</v>
      </c>
      <c r="G133" s="361">
        <v>500</v>
      </c>
      <c r="H133" s="360"/>
      <c r="I133" s="361"/>
      <c r="J133" s="392"/>
      <c r="K133" s="368"/>
      <c r="L133" s="160"/>
      <c r="M133" s="161"/>
      <c r="N133" s="160"/>
      <c r="O133" s="161"/>
      <c r="P133" s="220">
        <f t="shared" si="1"/>
        <v>0</v>
      </c>
    </row>
    <row r="134" spans="1:16" ht="15" customHeight="1" x14ac:dyDescent="0.35">
      <c r="A134" s="280">
        <v>2042</v>
      </c>
      <c r="B134" s="395" t="s">
        <v>395</v>
      </c>
      <c r="C134" s="400" t="s">
        <v>418</v>
      </c>
      <c r="D134" s="156" t="s">
        <v>110</v>
      </c>
      <c r="E134" s="377">
        <v>42416</v>
      </c>
      <c r="F134" s="378" t="s">
        <v>294</v>
      </c>
      <c r="G134" s="368" t="s">
        <v>126</v>
      </c>
      <c r="H134" s="360"/>
      <c r="I134" s="361"/>
      <c r="J134" s="392"/>
      <c r="K134" s="368"/>
      <c r="L134" s="160"/>
      <c r="M134" s="161"/>
      <c r="N134" s="160"/>
      <c r="O134" s="161"/>
      <c r="P134" s="220">
        <f t="shared" si="1"/>
        <v>0</v>
      </c>
    </row>
    <row r="135" spans="1:16" ht="15" customHeight="1" x14ac:dyDescent="0.35">
      <c r="A135" s="280">
        <v>2044</v>
      </c>
      <c r="B135" s="393" t="s">
        <v>488</v>
      </c>
      <c r="C135" s="394" t="s">
        <v>591</v>
      </c>
      <c r="D135" s="156" t="s">
        <v>111</v>
      </c>
      <c r="E135" s="377">
        <v>42411</v>
      </c>
      <c r="F135" s="378" t="s">
        <v>13</v>
      </c>
      <c r="G135" s="366" t="s">
        <v>126</v>
      </c>
      <c r="H135" s="360"/>
      <c r="I135" s="361"/>
      <c r="J135" s="360"/>
      <c r="K135" s="361"/>
      <c r="L135" s="160"/>
      <c r="M135" s="161"/>
      <c r="N135" s="160"/>
      <c r="O135" s="161"/>
      <c r="P135" s="220">
        <f t="shared" si="1"/>
        <v>0</v>
      </c>
    </row>
    <row r="136" spans="1:16" ht="15" customHeight="1" x14ac:dyDescent="0.35">
      <c r="A136" s="280">
        <v>2127</v>
      </c>
      <c r="B136" s="379" t="s">
        <v>396</v>
      </c>
      <c r="C136" s="382" t="s">
        <v>419</v>
      </c>
      <c r="D136" s="381" t="s">
        <v>110</v>
      </c>
      <c r="E136" s="412">
        <v>42411</v>
      </c>
      <c r="F136" s="378" t="s">
        <v>77</v>
      </c>
      <c r="G136" s="359">
        <v>500</v>
      </c>
      <c r="H136" s="360"/>
      <c r="I136" s="361"/>
      <c r="J136" s="360"/>
      <c r="K136" s="361"/>
      <c r="L136" s="160"/>
      <c r="M136" s="161"/>
      <c r="N136" s="160"/>
      <c r="O136" s="161"/>
      <c r="P136" s="220">
        <f t="shared" ref="P136:P199" si="2">SUM(I136:O136)</f>
        <v>0</v>
      </c>
    </row>
    <row r="137" spans="1:16" ht="15" customHeight="1" x14ac:dyDescent="0.35">
      <c r="A137" s="280">
        <v>2116</v>
      </c>
      <c r="B137" s="390" t="s">
        <v>461</v>
      </c>
      <c r="C137" s="391" t="s">
        <v>370</v>
      </c>
      <c r="D137" s="381" t="s">
        <v>111</v>
      </c>
      <c r="E137" s="196">
        <v>42410</v>
      </c>
      <c r="F137" s="378" t="s">
        <v>77</v>
      </c>
      <c r="G137" s="361">
        <v>500</v>
      </c>
      <c r="H137" s="360"/>
      <c r="I137" s="361"/>
      <c r="J137" s="360"/>
      <c r="K137" s="361"/>
      <c r="L137" s="160"/>
      <c r="M137" s="161"/>
      <c r="N137" s="160"/>
      <c r="O137" s="161"/>
      <c r="P137" s="220">
        <f t="shared" si="2"/>
        <v>0</v>
      </c>
    </row>
    <row r="138" spans="1:16" ht="15" customHeight="1" x14ac:dyDescent="0.35">
      <c r="A138" s="280">
        <v>2045</v>
      </c>
      <c r="B138" s="376" t="s">
        <v>545</v>
      </c>
      <c r="C138" s="242" t="s">
        <v>94</v>
      </c>
      <c r="D138" s="156" t="s">
        <v>111</v>
      </c>
      <c r="E138" s="377">
        <v>42408</v>
      </c>
      <c r="F138" s="378" t="s">
        <v>79</v>
      </c>
      <c r="G138" s="361">
        <v>500</v>
      </c>
      <c r="H138" s="360"/>
      <c r="I138" s="361"/>
      <c r="J138" s="360"/>
      <c r="K138" s="361"/>
      <c r="L138" s="160"/>
      <c r="M138" s="161"/>
      <c r="N138" s="160"/>
      <c r="O138" s="161"/>
      <c r="P138" s="220">
        <f t="shared" si="2"/>
        <v>0</v>
      </c>
    </row>
    <row r="139" spans="1:16" ht="15" customHeight="1" x14ac:dyDescent="0.35">
      <c r="A139" s="280">
        <v>2175</v>
      </c>
      <c r="B139" s="390" t="s">
        <v>553</v>
      </c>
      <c r="C139" s="391" t="s">
        <v>50</v>
      </c>
      <c r="D139" s="381" t="s">
        <v>111</v>
      </c>
      <c r="E139" s="193">
        <v>42408</v>
      </c>
      <c r="F139" s="378" t="s">
        <v>9</v>
      </c>
      <c r="G139" s="359">
        <v>500</v>
      </c>
      <c r="H139" s="360"/>
      <c r="I139" s="361"/>
      <c r="J139" s="360"/>
      <c r="K139" s="361"/>
      <c r="L139" s="160"/>
      <c r="M139" s="161"/>
      <c r="N139" s="160"/>
      <c r="O139" s="161"/>
      <c r="P139" s="220">
        <f t="shared" si="2"/>
        <v>0</v>
      </c>
    </row>
    <row r="140" spans="1:16" ht="15" customHeight="1" x14ac:dyDescent="0.35">
      <c r="A140" s="280">
        <v>2177</v>
      </c>
      <c r="B140" s="390" t="s">
        <v>397</v>
      </c>
      <c r="C140" s="391" t="s">
        <v>420</v>
      </c>
      <c r="D140" s="381" t="s">
        <v>110</v>
      </c>
      <c r="E140" s="193">
        <v>42406</v>
      </c>
      <c r="F140" s="378" t="s">
        <v>9</v>
      </c>
      <c r="G140" s="359">
        <v>500</v>
      </c>
      <c r="H140" s="360"/>
      <c r="I140" s="361"/>
      <c r="J140" s="360"/>
      <c r="K140" s="361"/>
      <c r="L140" s="160"/>
      <c r="M140" s="161"/>
      <c r="N140" s="160"/>
      <c r="O140" s="161"/>
      <c r="P140" s="220">
        <f t="shared" si="2"/>
        <v>0</v>
      </c>
    </row>
    <row r="141" spans="1:16" ht="15" customHeight="1" x14ac:dyDescent="0.35">
      <c r="A141" s="280">
        <v>2047</v>
      </c>
      <c r="B141" s="393" t="s">
        <v>446</v>
      </c>
      <c r="C141" s="394" t="s">
        <v>825</v>
      </c>
      <c r="D141" s="156" t="s">
        <v>111</v>
      </c>
      <c r="E141" s="377">
        <v>42393</v>
      </c>
      <c r="F141" s="378" t="s">
        <v>13</v>
      </c>
      <c r="G141" s="366" t="s">
        <v>126</v>
      </c>
      <c r="H141" s="392"/>
      <c r="I141" s="368"/>
      <c r="J141" s="392"/>
      <c r="K141" s="368"/>
      <c r="L141" s="160"/>
      <c r="M141" s="161"/>
      <c r="N141" s="160"/>
      <c r="O141" s="161"/>
      <c r="P141" s="220">
        <f t="shared" si="2"/>
        <v>0</v>
      </c>
    </row>
    <row r="142" spans="1:16" ht="15" customHeight="1" x14ac:dyDescent="0.35">
      <c r="A142" s="280">
        <v>2050</v>
      </c>
      <c r="B142" s="393" t="s">
        <v>398</v>
      </c>
      <c r="C142" s="394" t="s">
        <v>421</v>
      </c>
      <c r="D142" s="156" t="s">
        <v>110</v>
      </c>
      <c r="E142" s="377">
        <v>42384</v>
      </c>
      <c r="F142" s="378" t="s">
        <v>13</v>
      </c>
      <c r="G142" s="366" t="s">
        <v>126</v>
      </c>
      <c r="H142" s="360"/>
      <c r="I142" s="361"/>
      <c r="J142" s="360"/>
      <c r="K142" s="361"/>
      <c r="L142" s="160"/>
      <c r="M142" s="161"/>
      <c r="N142" s="160"/>
      <c r="O142" s="161"/>
      <c r="P142" s="220">
        <f t="shared" si="2"/>
        <v>0</v>
      </c>
    </row>
    <row r="143" spans="1:16" ht="15" customHeight="1" x14ac:dyDescent="0.35">
      <c r="A143" s="413">
        <v>2053</v>
      </c>
      <c r="B143" s="397" t="s">
        <v>450</v>
      </c>
      <c r="C143" s="398" t="s">
        <v>50</v>
      </c>
      <c r="D143" s="156" t="s">
        <v>111</v>
      </c>
      <c r="E143" s="399">
        <v>42376</v>
      </c>
      <c r="F143" s="378" t="s">
        <v>12</v>
      </c>
      <c r="G143" s="368">
        <v>500</v>
      </c>
      <c r="H143" s="360"/>
      <c r="I143" s="361"/>
      <c r="J143" s="392"/>
      <c r="K143" s="368"/>
      <c r="L143" s="160"/>
      <c r="M143" s="161"/>
      <c r="N143" s="160"/>
      <c r="O143" s="161"/>
      <c r="P143" s="220">
        <f t="shared" si="2"/>
        <v>0</v>
      </c>
    </row>
    <row r="144" spans="1:16" ht="15" customHeight="1" x14ac:dyDescent="0.35">
      <c r="A144" s="280">
        <v>2126</v>
      </c>
      <c r="B144" s="379" t="s">
        <v>399</v>
      </c>
      <c r="C144" s="382" t="s">
        <v>422</v>
      </c>
      <c r="D144" s="381" t="s">
        <v>110</v>
      </c>
      <c r="E144" s="412">
        <v>42371</v>
      </c>
      <c r="F144" s="378" t="s">
        <v>77</v>
      </c>
      <c r="G144" s="359">
        <v>500</v>
      </c>
      <c r="H144" s="360"/>
      <c r="I144" s="361"/>
      <c r="J144" s="360"/>
      <c r="K144" s="361"/>
      <c r="L144" s="160"/>
      <c r="M144" s="161"/>
      <c r="N144" s="160"/>
      <c r="O144" s="161"/>
      <c r="P144" s="220">
        <f t="shared" si="2"/>
        <v>0</v>
      </c>
    </row>
    <row r="145" spans="1:27" ht="15" customHeight="1" x14ac:dyDescent="0.35">
      <c r="A145" s="280">
        <v>2055</v>
      </c>
      <c r="B145" s="395" t="s">
        <v>174</v>
      </c>
      <c r="C145" s="396" t="s">
        <v>91</v>
      </c>
      <c r="D145" s="156" t="s">
        <v>111</v>
      </c>
      <c r="E145" s="377">
        <v>42351</v>
      </c>
      <c r="F145" s="378" t="s">
        <v>294</v>
      </c>
      <c r="G145" s="368" t="s">
        <v>126</v>
      </c>
      <c r="H145" s="360"/>
      <c r="I145" s="361"/>
      <c r="J145" s="360"/>
      <c r="K145" s="361"/>
      <c r="L145" s="160"/>
      <c r="M145" s="161"/>
      <c r="N145" s="160"/>
      <c r="O145" s="161"/>
      <c r="P145" s="220">
        <f t="shared" si="2"/>
        <v>0</v>
      </c>
    </row>
    <row r="146" spans="1:27" ht="15" customHeight="1" x14ac:dyDescent="0.35">
      <c r="A146" s="280">
        <v>2057</v>
      </c>
      <c r="B146" s="395" t="s">
        <v>805</v>
      </c>
      <c r="C146" s="396" t="s">
        <v>610</v>
      </c>
      <c r="D146" s="156" t="s">
        <v>111</v>
      </c>
      <c r="E146" s="377">
        <v>42350</v>
      </c>
      <c r="F146" s="378" t="s">
        <v>294</v>
      </c>
      <c r="G146" s="368" t="s">
        <v>126</v>
      </c>
      <c r="H146" s="360"/>
      <c r="I146" s="361"/>
      <c r="J146" s="360"/>
      <c r="K146" s="361"/>
      <c r="L146" s="160"/>
      <c r="M146" s="161"/>
      <c r="N146" s="160"/>
      <c r="O146" s="161"/>
      <c r="P146" s="220">
        <f t="shared" si="2"/>
        <v>0</v>
      </c>
    </row>
    <row r="147" spans="1:27" ht="15" customHeight="1" x14ac:dyDescent="0.35">
      <c r="A147" s="280">
        <v>2059</v>
      </c>
      <c r="B147" s="393" t="s">
        <v>438</v>
      </c>
      <c r="C147" s="394" t="s">
        <v>112</v>
      </c>
      <c r="D147" s="156" t="s">
        <v>111</v>
      </c>
      <c r="E147" s="377">
        <v>42335</v>
      </c>
      <c r="F147" s="378" t="s">
        <v>13</v>
      </c>
      <c r="G147" s="366" t="s">
        <v>126</v>
      </c>
      <c r="H147" s="360"/>
      <c r="I147" s="361"/>
      <c r="J147" s="392"/>
      <c r="K147" s="368"/>
      <c r="L147" s="160"/>
      <c r="M147" s="161"/>
      <c r="N147" s="160"/>
      <c r="O147" s="161"/>
      <c r="P147" s="220">
        <f t="shared" si="2"/>
        <v>0</v>
      </c>
    </row>
    <row r="148" spans="1:27" ht="15" customHeight="1" x14ac:dyDescent="0.35">
      <c r="A148" s="280">
        <v>2144</v>
      </c>
      <c r="B148" s="390" t="s">
        <v>445</v>
      </c>
      <c r="C148" s="391" t="s">
        <v>89</v>
      </c>
      <c r="D148" s="381" t="s">
        <v>111</v>
      </c>
      <c r="E148" s="193">
        <v>42326</v>
      </c>
      <c r="F148" s="378" t="s">
        <v>9</v>
      </c>
      <c r="G148" s="359">
        <v>500</v>
      </c>
      <c r="H148" s="360"/>
      <c r="I148" s="361"/>
      <c r="J148" s="392"/>
      <c r="K148" s="368"/>
      <c r="L148" s="160"/>
      <c r="M148" s="161"/>
      <c r="N148" s="160"/>
      <c r="O148" s="161"/>
      <c r="P148" s="220">
        <f t="shared" si="2"/>
        <v>0</v>
      </c>
    </row>
    <row r="149" spans="1:27" ht="15" customHeight="1" x14ac:dyDescent="0.35">
      <c r="A149" s="280">
        <v>2060</v>
      </c>
      <c r="B149" s="376" t="s">
        <v>197</v>
      </c>
      <c r="C149" s="242" t="s">
        <v>684</v>
      </c>
      <c r="D149" s="156" t="s">
        <v>111</v>
      </c>
      <c r="E149" s="377">
        <v>42323</v>
      </c>
      <c r="F149" s="378" t="s">
        <v>79</v>
      </c>
      <c r="G149" s="361">
        <v>500</v>
      </c>
      <c r="H149" s="360"/>
      <c r="I149" s="361"/>
      <c r="J149" s="360"/>
      <c r="K149" s="361"/>
      <c r="L149" s="160"/>
      <c r="M149" s="161"/>
      <c r="N149" s="160"/>
      <c r="O149" s="161"/>
      <c r="P149" s="220">
        <f t="shared" si="2"/>
        <v>0</v>
      </c>
    </row>
    <row r="150" spans="1:27" ht="15" customHeight="1" x14ac:dyDescent="0.35">
      <c r="A150" s="280">
        <v>2061</v>
      </c>
      <c r="B150" s="393" t="s">
        <v>530</v>
      </c>
      <c r="C150" s="394" t="s">
        <v>825</v>
      </c>
      <c r="D150" s="156" t="s">
        <v>111</v>
      </c>
      <c r="E150" s="377">
        <v>42322</v>
      </c>
      <c r="F150" s="378" t="s">
        <v>13</v>
      </c>
      <c r="G150" s="366" t="s">
        <v>126</v>
      </c>
      <c r="H150" s="360"/>
      <c r="I150" s="361"/>
      <c r="J150" s="360"/>
      <c r="K150" s="361"/>
      <c r="L150" s="160"/>
      <c r="M150" s="161"/>
      <c r="N150" s="160"/>
      <c r="O150" s="161"/>
      <c r="P150" s="220">
        <f t="shared" si="2"/>
        <v>0</v>
      </c>
    </row>
    <row r="151" spans="1:27" ht="15" customHeight="1" x14ac:dyDescent="0.35">
      <c r="A151" s="280">
        <v>2063</v>
      </c>
      <c r="B151" s="395" t="s">
        <v>388</v>
      </c>
      <c r="C151" s="396" t="s">
        <v>838</v>
      </c>
      <c r="D151" s="156" t="s">
        <v>111</v>
      </c>
      <c r="E151" s="377">
        <v>42304</v>
      </c>
      <c r="F151" s="378" t="s">
        <v>294</v>
      </c>
      <c r="G151" s="368" t="s">
        <v>126</v>
      </c>
      <c r="H151" s="326"/>
      <c r="I151" s="361"/>
      <c r="J151" s="360"/>
      <c r="K151" s="361"/>
      <c r="L151" s="160"/>
      <c r="M151" s="161"/>
      <c r="N151" s="160"/>
      <c r="O151" s="161"/>
      <c r="P151" s="220">
        <f t="shared" si="2"/>
        <v>0</v>
      </c>
    </row>
    <row r="152" spans="1:27" ht="15" customHeight="1" x14ac:dyDescent="0.35">
      <c r="A152" s="280">
        <v>2064</v>
      </c>
      <c r="B152" s="393" t="s">
        <v>512</v>
      </c>
      <c r="C152" s="394" t="s">
        <v>598</v>
      </c>
      <c r="D152" s="156" t="s">
        <v>111</v>
      </c>
      <c r="E152" s="377">
        <v>42290</v>
      </c>
      <c r="F152" s="378" t="s">
        <v>13</v>
      </c>
      <c r="G152" s="366" t="s">
        <v>126</v>
      </c>
      <c r="H152" s="392"/>
      <c r="I152" s="368"/>
      <c r="J152" s="392"/>
      <c r="K152" s="368"/>
      <c r="L152" s="160"/>
      <c r="M152" s="161"/>
      <c r="N152" s="160"/>
      <c r="O152" s="161"/>
      <c r="P152" s="220">
        <f t="shared" si="2"/>
        <v>0</v>
      </c>
    </row>
    <row r="153" spans="1:27" ht="15" customHeight="1" x14ac:dyDescent="0.35">
      <c r="A153" s="280">
        <v>2066</v>
      </c>
      <c r="B153" s="397" t="s">
        <v>522</v>
      </c>
      <c r="C153" s="398" t="s">
        <v>56</v>
      </c>
      <c r="D153" s="156" t="s">
        <v>111</v>
      </c>
      <c r="E153" s="377">
        <v>42283</v>
      </c>
      <c r="F153" s="378" t="s">
        <v>65</v>
      </c>
      <c r="G153" s="368" t="s">
        <v>126</v>
      </c>
      <c r="H153" s="360"/>
      <c r="I153" s="361"/>
      <c r="J153" s="360"/>
      <c r="K153" s="361"/>
      <c r="L153" s="160"/>
      <c r="M153" s="161"/>
      <c r="N153" s="160"/>
      <c r="O153" s="161"/>
      <c r="P153" s="220">
        <f t="shared" si="2"/>
        <v>0</v>
      </c>
    </row>
    <row r="154" spans="1:27" ht="15" customHeight="1" x14ac:dyDescent="0.35">
      <c r="A154" s="280">
        <v>2067</v>
      </c>
      <c r="B154" s="395" t="s">
        <v>809</v>
      </c>
      <c r="C154" s="396" t="s">
        <v>597</v>
      </c>
      <c r="D154" s="156" t="s">
        <v>111</v>
      </c>
      <c r="E154" s="377">
        <v>42282</v>
      </c>
      <c r="F154" s="378" t="s">
        <v>294</v>
      </c>
      <c r="G154" s="368" t="s">
        <v>126</v>
      </c>
      <c r="H154" s="360"/>
      <c r="I154" s="361"/>
      <c r="J154" s="360"/>
      <c r="K154" s="361"/>
      <c r="L154" s="160"/>
      <c r="M154" s="161"/>
      <c r="N154" s="160"/>
      <c r="O154" s="161"/>
      <c r="P154" s="220">
        <f t="shared" si="2"/>
        <v>0</v>
      </c>
    </row>
    <row r="155" spans="1:27" ht="15" customHeight="1" x14ac:dyDescent="0.35">
      <c r="A155" s="280">
        <v>2164</v>
      </c>
      <c r="B155" s="390" t="s">
        <v>510</v>
      </c>
      <c r="C155" s="391" t="s">
        <v>595</v>
      </c>
      <c r="D155" s="381" t="s">
        <v>111</v>
      </c>
      <c r="E155" s="193">
        <v>42281</v>
      </c>
      <c r="F155" s="378" t="s">
        <v>9</v>
      </c>
      <c r="G155" s="359">
        <v>500</v>
      </c>
      <c r="H155" s="360"/>
      <c r="I155" s="361"/>
      <c r="J155" s="360"/>
      <c r="K155" s="361"/>
      <c r="L155" s="160"/>
      <c r="M155" s="161"/>
      <c r="N155" s="160"/>
      <c r="O155" s="161"/>
      <c r="P155" s="220">
        <f t="shared" si="2"/>
        <v>0</v>
      </c>
    </row>
    <row r="156" spans="1:27" ht="15" customHeight="1" x14ac:dyDescent="0.35">
      <c r="A156" s="280">
        <v>2068</v>
      </c>
      <c r="B156" s="393" t="s">
        <v>493</v>
      </c>
      <c r="C156" s="394" t="s">
        <v>63</v>
      </c>
      <c r="D156" s="156" t="s">
        <v>111</v>
      </c>
      <c r="E156" s="377">
        <v>42266</v>
      </c>
      <c r="F156" s="378" t="s">
        <v>13</v>
      </c>
      <c r="G156" s="366" t="s">
        <v>126</v>
      </c>
      <c r="H156" s="360"/>
      <c r="I156" s="361"/>
      <c r="J156" s="360"/>
      <c r="K156" s="361"/>
      <c r="L156" s="160"/>
      <c r="M156" s="161"/>
      <c r="N156" s="160"/>
      <c r="O156" s="161"/>
      <c r="P156" s="220">
        <f t="shared" si="2"/>
        <v>0</v>
      </c>
    </row>
    <row r="157" spans="1:27" ht="13.5" customHeight="1" x14ac:dyDescent="0.35">
      <c r="A157" s="280">
        <v>2146</v>
      </c>
      <c r="B157" s="390" t="s">
        <v>456</v>
      </c>
      <c r="C157" s="391" t="s">
        <v>573</v>
      </c>
      <c r="D157" s="381" t="s">
        <v>111</v>
      </c>
      <c r="E157" s="193">
        <v>42265</v>
      </c>
      <c r="F157" s="378" t="s">
        <v>9</v>
      </c>
      <c r="G157" s="359">
        <v>500</v>
      </c>
      <c r="H157" s="360"/>
      <c r="I157" s="361"/>
      <c r="J157" s="360"/>
      <c r="K157" s="361"/>
      <c r="L157" s="160"/>
      <c r="M157" s="161"/>
      <c r="N157" s="160"/>
      <c r="O157" s="161"/>
      <c r="P157" s="220">
        <f t="shared" si="2"/>
        <v>0</v>
      </c>
    </row>
    <row r="158" spans="1:27" ht="15" customHeight="1" x14ac:dyDescent="0.35">
      <c r="A158" s="280">
        <v>2069</v>
      </c>
      <c r="B158" s="395" t="s">
        <v>515</v>
      </c>
      <c r="C158" s="396" t="s">
        <v>152</v>
      </c>
      <c r="D158" s="156" t="s">
        <v>111</v>
      </c>
      <c r="E158" s="377">
        <v>42262</v>
      </c>
      <c r="F158" s="378" t="s">
        <v>294</v>
      </c>
      <c r="G158" s="368" t="s">
        <v>126</v>
      </c>
      <c r="H158" s="360"/>
      <c r="I158" s="361"/>
      <c r="J158" s="360"/>
      <c r="K158" s="361"/>
      <c r="L158" s="160"/>
      <c r="M158" s="161"/>
      <c r="N158" s="160"/>
      <c r="O158" s="161"/>
      <c r="P158" s="220">
        <f t="shared" si="2"/>
        <v>0</v>
      </c>
      <c r="Z158" s="72"/>
      <c r="AA158" s="72"/>
    </row>
    <row r="159" spans="1:27" ht="15" customHeight="1" x14ac:dyDescent="0.35">
      <c r="A159" s="280">
        <v>2070</v>
      </c>
      <c r="B159" s="393" t="s">
        <v>496</v>
      </c>
      <c r="C159" s="394" t="s">
        <v>155</v>
      </c>
      <c r="D159" s="156" t="s">
        <v>111</v>
      </c>
      <c r="E159" s="377">
        <v>42261</v>
      </c>
      <c r="F159" s="378" t="s">
        <v>13</v>
      </c>
      <c r="G159" s="366" t="s">
        <v>126</v>
      </c>
      <c r="H159" s="360"/>
      <c r="I159" s="361"/>
      <c r="J159" s="392"/>
      <c r="K159" s="368"/>
      <c r="L159" s="160"/>
      <c r="M159" s="161"/>
      <c r="N159" s="160"/>
      <c r="O159" s="161"/>
      <c r="P159" s="220">
        <f t="shared" si="2"/>
        <v>0</v>
      </c>
    </row>
    <row r="160" spans="1:27" ht="15" customHeight="1" x14ac:dyDescent="0.35">
      <c r="A160" s="280">
        <v>2071</v>
      </c>
      <c r="B160" s="393" t="s">
        <v>558</v>
      </c>
      <c r="C160" s="394" t="s">
        <v>148</v>
      </c>
      <c r="D160" s="156" t="s">
        <v>111</v>
      </c>
      <c r="E160" s="377">
        <v>42258</v>
      </c>
      <c r="F160" s="378" t="s">
        <v>13</v>
      </c>
      <c r="G160" s="366" t="s">
        <v>126</v>
      </c>
      <c r="H160" s="360"/>
      <c r="I160" s="361"/>
      <c r="J160" s="360"/>
      <c r="K160" s="361"/>
      <c r="L160" s="160"/>
      <c r="M160" s="161"/>
      <c r="N160" s="160"/>
      <c r="O160" s="161"/>
      <c r="P160" s="220">
        <f t="shared" si="2"/>
        <v>0</v>
      </c>
    </row>
    <row r="161" spans="1:16" ht="15" customHeight="1" x14ac:dyDescent="0.35">
      <c r="A161" s="280">
        <v>2172</v>
      </c>
      <c r="B161" s="390" t="s">
        <v>541</v>
      </c>
      <c r="C161" s="391" t="s">
        <v>62</v>
      </c>
      <c r="D161" s="381" t="s">
        <v>111</v>
      </c>
      <c r="E161" s="193">
        <v>42256</v>
      </c>
      <c r="F161" s="378" t="s">
        <v>9</v>
      </c>
      <c r="G161" s="359">
        <v>500</v>
      </c>
      <c r="H161" s="360"/>
      <c r="I161" s="361"/>
      <c r="J161" s="360"/>
      <c r="K161" s="361"/>
      <c r="L161" s="160"/>
      <c r="M161" s="161"/>
      <c r="N161" s="160"/>
      <c r="O161" s="161"/>
      <c r="P161" s="220">
        <f t="shared" si="2"/>
        <v>0</v>
      </c>
    </row>
    <row r="162" spans="1:16" ht="15" customHeight="1" x14ac:dyDescent="0.35">
      <c r="A162" s="280">
        <v>2072</v>
      </c>
      <c r="B162" s="393" t="s">
        <v>560</v>
      </c>
      <c r="C162" s="394" t="s">
        <v>172</v>
      </c>
      <c r="D162" s="156" t="s">
        <v>111</v>
      </c>
      <c r="E162" s="377">
        <v>42253</v>
      </c>
      <c r="F162" s="378" t="s">
        <v>13</v>
      </c>
      <c r="G162" s="366" t="s">
        <v>126</v>
      </c>
      <c r="H162" s="360"/>
      <c r="I162" s="361"/>
      <c r="J162" s="360"/>
      <c r="K162" s="361"/>
      <c r="L162" s="160"/>
      <c r="M162" s="161"/>
      <c r="N162" s="160"/>
      <c r="O162" s="161"/>
      <c r="P162" s="220">
        <f t="shared" si="2"/>
        <v>0</v>
      </c>
    </row>
    <row r="163" spans="1:16" ht="15" customHeight="1" x14ac:dyDescent="0.35">
      <c r="A163" s="280">
        <v>2073</v>
      </c>
      <c r="B163" s="397" t="s">
        <v>535</v>
      </c>
      <c r="C163" s="398" t="s">
        <v>67</v>
      </c>
      <c r="D163" s="156" t="s">
        <v>111</v>
      </c>
      <c r="E163" s="377">
        <v>42249</v>
      </c>
      <c r="F163" s="378" t="s">
        <v>65</v>
      </c>
      <c r="G163" s="368" t="s">
        <v>126</v>
      </c>
      <c r="H163" s="360"/>
      <c r="I163" s="361"/>
      <c r="J163" s="360"/>
      <c r="K163" s="361"/>
      <c r="L163" s="160"/>
      <c r="M163" s="161"/>
      <c r="N163" s="160"/>
      <c r="O163" s="161"/>
      <c r="P163" s="220">
        <f t="shared" si="2"/>
        <v>0</v>
      </c>
    </row>
    <row r="164" spans="1:16" ht="15" customHeight="1" x14ac:dyDescent="0.35">
      <c r="A164" s="280">
        <v>2075</v>
      </c>
      <c r="B164" s="397" t="s">
        <v>532</v>
      </c>
      <c r="C164" s="398" t="s">
        <v>595</v>
      </c>
      <c r="D164" s="156" t="s">
        <v>111</v>
      </c>
      <c r="E164" s="377">
        <v>42239</v>
      </c>
      <c r="F164" s="378" t="s">
        <v>37</v>
      </c>
      <c r="G164" s="368">
        <v>500</v>
      </c>
      <c r="H164" s="360"/>
      <c r="I164" s="361"/>
      <c r="J164" s="360"/>
      <c r="K164" s="361"/>
      <c r="L164" s="160"/>
      <c r="M164" s="161"/>
      <c r="N164" s="160"/>
      <c r="O164" s="161"/>
      <c r="P164" s="220">
        <f t="shared" si="2"/>
        <v>0</v>
      </c>
    </row>
    <row r="165" spans="1:16" ht="15" customHeight="1" x14ac:dyDescent="0.35">
      <c r="A165" s="280">
        <v>2076</v>
      </c>
      <c r="B165" s="393" t="s">
        <v>507</v>
      </c>
      <c r="C165" s="394" t="s">
        <v>84</v>
      </c>
      <c r="D165" s="156" t="s">
        <v>111</v>
      </c>
      <c r="E165" s="377">
        <v>42230</v>
      </c>
      <c r="F165" s="378" t="s">
        <v>13</v>
      </c>
      <c r="G165" s="366" t="s">
        <v>623</v>
      </c>
      <c r="H165" s="360"/>
      <c r="I165" s="361"/>
      <c r="J165" s="360"/>
      <c r="K165" s="361"/>
      <c r="L165" s="160"/>
      <c r="M165" s="161"/>
      <c r="N165" s="160"/>
      <c r="O165" s="161"/>
      <c r="P165" s="220">
        <f t="shared" si="2"/>
        <v>0</v>
      </c>
    </row>
    <row r="166" spans="1:16" ht="15" customHeight="1" x14ac:dyDescent="0.35">
      <c r="A166" s="280">
        <v>2077</v>
      </c>
      <c r="B166" s="393" t="s">
        <v>371</v>
      </c>
      <c r="C166" s="394" t="s">
        <v>839</v>
      </c>
      <c r="D166" s="156" t="s">
        <v>111</v>
      </c>
      <c r="E166" s="377">
        <v>42229</v>
      </c>
      <c r="F166" s="378" t="s">
        <v>13</v>
      </c>
      <c r="G166" s="366" t="s">
        <v>126</v>
      </c>
      <c r="H166" s="360"/>
      <c r="I166" s="361"/>
      <c r="J166" s="360"/>
      <c r="K166" s="361"/>
      <c r="L166" s="160"/>
      <c r="M166" s="161"/>
      <c r="N166" s="160"/>
      <c r="O166" s="161"/>
      <c r="P166" s="220">
        <f t="shared" si="2"/>
        <v>0</v>
      </c>
    </row>
    <row r="167" spans="1:16" ht="15" customHeight="1" x14ac:dyDescent="0.35">
      <c r="A167" s="280">
        <v>2078</v>
      </c>
      <c r="B167" s="397" t="s">
        <v>494</v>
      </c>
      <c r="C167" s="398" t="s">
        <v>840</v>
      </c>
      <c r="D167" s="156" t="s">
        <v>111</v>
      </c>
      <c r="E167" s="377">
        <v>42227</v>
      </c>
      <c r="F167" s="378" t="s">
        <v>37</v>
      </c>
      <c r="G167" s="368">
        <v>500</v>
      </c>
      <c r="H167" s="392"/>
      <c r="I167" s="368"/>
      <c r="J167" s="392"/>
      <c r="K167" s="368"/>
      <c r="L167" s="160"/>
      <c r="M167" s="161"/>
      <c r="N167" s="160"/>
      <c r="O167" s="161"/>
      <c r="P167" s="220">
        <f t="shared" si="2"/>
        <v>0</v>
      </c>
    </row>
    <row r="168" spans="1:16" ht="15" customHeight="1" x14ac:dyDescent="0.35">
      <c r="A168" s="280">
        <v>2079</v>
      </c>
      <c r="B168" s="397" t="s">
        <v>504</v>
      </c>
      <c r="C168" s="398" t="s">
        <v>49</v>
      </c>
      <c r="D168" s="156" t="s">
        <v>111</v>
      </c>
      <c r="E168" s="377">
        <v>42221</v>
      </c>
      <c r="F168" s="378" t="s">
        <v>65</v>
      </c>
      <c r="G168" s="368" t="s">
        <v>126</v>
      </c>
      <c r="H168" s="326"/>
      <c r="I168" s="361"/>
      <c r="J168" s="360"/>
      <c r="K168" s="361"/>
      <c r="L168" s="160"/>
      <c r="M168" s="161"/>
      <c r="N168" s="160"/>
      <c r="O168" s="161"/>
      <c r="P168" s="220">
        <f t="shared" si="2"/>
        <v>0</v>
      </c>
    </row>
    <row r="169" spans="1:16" ht="15" customHeight="1" x14ac:dyDescent="0.35">
      <c r="A169" s="280">
        <v>2081</v>
      </c>
      <c r="B169" s="395" t="s">
        <v>808</v>
      </c>
      <c r="C169" s="396" t="s">
        <v>825</v>
      </c>
      <c r="D169" s="156" t="s">
        <v>111</v>
      </c>
      <c r="E169" s="377">
        <v>42213</v>
      </c>
      <c r="F169" s="378" t="s">
        <v>294</v>
      </c>
      <c r="G169" s="368" t="s">
        <v>126</v>
      </c>
      <c r="H169" s="392"/>
      <c r="I169" s="368"/>
      <c r="J169" s="392"/>
      <c r="K169" s="368"/>
      <c r="L169" s="160"/>
      <c r="M169" s="161"/>
      <c r="N169" s="160"/>
      <c r="O169" s="161"/>
      <c r="P169" s="220">
        <f t="shared" si="2"/>
        <v>0</v>
      </c>
    </row>
    <row r="170" spans="1:16" ht="15" customHeight="1" x14ac:dyDescent="0.35">
      <c r="A170" s="280">
        <v>2084</v>
      </c>
      <c r="B170" s="397" t="s">
        <v>469</v>
      </c>
      <c r="C170" s="398" t="s">
        <v>62</v>
      </c>
      <c r="D170" s="156" t="s">
        <v>111</v>
      </c>
      <c r="E170" s="377">
        <v>42193</v>
      </c>
      <c r="F170" s="378" t="s">
        <v>65</v>
      </c>
      <c r="G170" s="368" t="s">
        <v>126</v>
      </c>
      <c r="H170" s="360"/>
      <c r="I170" s="361"/>
      <c r="J170" s="392"/>
      <c r="K170" s="368"/>
      <c r="L170" s="160"/>
      <c r="M170" s="161"/>
      <c r="N170" s="160"/>
      <c r="O170" s="161"/>
      <c r="P170" s="220">
        <f t="shared" si="2"/>
        <v>0</v>
      </c>
    </row>
    <row r="171" spans="1:16" ht="15" customHeight="1" x14ac:dyDescent="0.35">
      <c r="A171" s="280">
        <v>2085</v>
      </c>
      <c r="B171" s="397" t="s">
        <v>435</v>
      </c>
      <c r="C171" s="398" t="s">
        <v>566</v>
      </c>
      <c r="D171" s="156" t="s">
        <v>111</v>
      </c>
      <c r="E171" s="399">
        <v>42192</v>
      </c>
      <c r="F171" s="378" t="s">
        <v>12</v>
      </c>
      <c r="G171" s="368">
        <v>500</v>
      </c>
      <c r="H171" s="360"/>
      <c r="I171" s="361"/>
      <c r="J171" s="392"/>
      <c r="K171" s="368"/>
      <c r="L171" s="160"/>
      <c r="M171" s="161"/>
      <c r="N171" s="160"/>
      <c r="O171" s="161"/>
      <c r="P171" s="220">
        <f t="shared" si="2"/>
        <v>0</v>
      </c>
    </row>
    <row r="172" spans="1:16" ht="15" customHeight="1" x14ac:dyDescent="0.35">
      <c r="A172" s="280">
        <v>2135</v>
      </c>
      <c r="B172" s="379" t="s">
        <v>841</v>
      </c>
      <c r="C172" s="382" t="s">
        <v>609</v>
      </c>
      <c r="D172" s="381" t="s">
        <v>111</v>
      </c>
      <c r="E172" s="383">
        <v>42183</v>
      </c>
      <c r="F172" s="378" t="s">
        <v>10</v>
      </c>
      <c r="G172" s="359">
        <v>500</v>
      </c>
      <c r="H172" s="360"/>
      <c r="I172" s="361"/>
      <c r="J172" s="360"/>
      <c r="K172" s="361"/>
      <c r="L172" s="160"/>
      <c r="M172" s="161"/>
      <c r="N172" s="160"/>
      <c r="O172" s="161"/>
      <c r="P172" s="220">
        <f t="shared" si="2"/>
        <v>0</v>
      </c>
    </row>
    <row r="173" spans="1:16" ht="15" customHeight="1" x14ac:dyDescent="0.35">
      <c r="A173" s="280">
        <v>2087</v>
      </c>
      <c r="B173" s="393" t="s">
        <v>543</v>
      </c>
      <c r="C173" s="394" t="s">
        <v>614</v>
      </c>
      <c r="D173" s="156" t="s">
        <v>111</v>
      </c>
      <c r="E173" s="377">
        <v>42183</v>
      </c>
      <c r="F173" s="378" t="s">
        <v>13</v>
      </c>
      <c r="G173" s="366" t="s">
        <v>126</v>
      </c>
      <c r="H173" s="360"/>
      <c r="I173" s="361"/>
      <c r="J173" s="360"/>
      <c r="K173" s="361"/>
      <c r="L173" s="160"/>
      <c r="M173" s="161"/>
      <c r="N173" s="160"/>
      <c r="O173" s="161"/>
      <c r="P173" s="220">
        <f t="shared" si="2"/>
        <v>0</v>
      </c>
    </row>
    <row r="174" spans="1:16" ht="15" customHeight="1" x14ac:dyDescent="0.35">
      <c r="A174" s="280">
        <v>2088</v>
      </c>
      <c r="B174" s="393" t="s">
        <v>233</v>
      </c>
      <c r="C174" s="394" t="s">
        <v>70</v>
      </c>
      <c r="D174" s="156" t="s">
        <v>111</v>
      </c>
      <c r="E174" s="377">
        <v>42163</v>
      </c>
      <c r="F174" s="378" t="s">
        <v>13</v>
      </c>
      <c r="G174" s="366" t="s">
        <v>126</v>
      </c>
      <c r="H174" s="360"/>
      <c r="I174" s="361"/>
      <c r="J174" s="392"/>
      <c r="K174" s="368"/>
      <c r="L174" s="160"/>
      <c r="M174" s="161"/>
      <c r="N174" s="160"/>
      <c r="O174" s="161"/>
      <c r="P174" s="220">
        <f t="shared" si="2"/>
        <v>0</v>
      </c>
    </row>
    <row r="175" spans="1:16" ht="15" customHeight="1" x14ac:dyDescent="0.35">
      <c r="A175" s="280">
        <v>2167</v>
      </c>
      <c r="B175" s="390" t="s">
        <v>171</v>
      </c>
      <c r="C175" s="391" t="s">
        <v>149</v>
      </c>
      <c r="D175" s="381" t="s">
        <v>111</v>
      </c>
      <c r="E175" s="193">
        <v>42158</v>
      </c>
      <c r="F175" s="378" t="s">
        <v>9</v>
      </c>
      <c r="G175" s="359">
        <v>500</v>
      </c>
      <c r="H175" s="360"/>
      <c r="I175" s="361"/>
      <c r="J175" s="360"/>
      <c r="K175" s="361"/>
      <c r="L175" s="160"/>
      <c r="M175" s="161"/>
      <c r="N175" s="160"/>
      <c r="O175" s="161"/>
      <c r="P175" s="220">
        <f t="shared" si="2"/>
        <v>0</v>
      </c>
    </row>
    <row r="176" spans="1:16" ht="15" customHeight="1" x14ac:dyDescent="0.35">
      <c r="A176" s="280">
        <v>2114</v>
      </c>
      <c r="B176" s="390" t="s">
        <v>451</v>
      </c>
      <c r="C176" s="391" t="s">
        <v>572</v>
      </c>
      <c r="D176" s="381" t="s">
        <v>111</v>
      </c>
      <c r="E176" s="200">
        <v>42157</v>
      </c>
      <c r="F176" s="378" t="s">
        <v>77</v>
      </c>
      <c r="G176" s="361">
        <v>500</v>
      </c>
      <c r="H176" s="360"/>
      <c r="I176" s="361"/>
      <c r="J176" s="392"/>
      <c r="K176" s="368"/>
      <c r="L176" s="160"/>
      <c r="M176" s="161"/>
      <c r="N176" s="160"/>
      <c r="O176" s="161"/>
      <c r="P176" s="220">
        <f t="shared" si="2"/>
        <v>0</v>
      </c>
    </row>
    <row r="177" spans="1:27" ht="15" customHeight="1" x14ac:dyDescent="0.35">
      <c r="A177" s="280">
        <v>2133</v>
      </c>
      <c r="B177" s="379" t="s">
        <v>549</v>
      </c>
      <c r="C177" s="382" t="s">
        <v>220</v>
      </c>
      <c r="D177" s="381" t="s">
        <v>111</v>
      </c>
      <c r="E177" s="383">
        <v>42141</v>
      </c>
      <c r="F177" s="378" t="s">
        <v>10</v>
      </c>
      <c r="G177" s="359">
        <v>526</v>
      </c>
      <c r="H177" s="360"/>
      <c r="I177" s="361"/>
      <c r="J177" s="372"/>
      <c r="K177" s="361"/>
      <c r="L177" s="160"/>
      <c r="M177" s="161"/>
      <c r="N177" s="160"/>
      <c r="O177" s="161"/>
      <c r="P177" s="220">
        <f t="shared" si="2"/>
        <v>0</v>
      </c>
    </row>
    <row r="178" spans="1:27" ht="15" customHeight="1" x14ac:dyDescent="0.35">
      <c r="A178" s="280">
        <v>2149</v>
      </c>
      <c r="B178" s="390" t="s">
        <v>463</v>
      </c>
      <c r="C178" s="391" t="s">
        <v>46</v>
      </c>
      <c r="D178" s="381" t="s">
        <v>111</v>
      </c>
      <c r="E178" s="193">
        <v>42130</v>
      </c>
      <c r="F178" s="378" t="s">
        <v>9</v>
      </c>
      <c r="G178" s="359">
        <v>500</v>
      </c>
      <c r="H178" s="360"/>
      <c r="I178" s="361"/>
      <c r="J178" s="360"/>
      <c r="K178" s="361"/>
      <c r="L178" s="160"/>
      <c r="M178" s="161"/>
      <c r="N178" s="160"/>
      <c r="O178" s="161"/>
      <c r="P178" s="220">
        <f t="shared" si="2"/>
        <v>0</v>
      </c>
    </row>
    <row r="179" spans="1:27" ht="15" customHeight="1" x14ac:dyDescent="0.35">
      <c r="A179" s="280">
        <v>2093</v>
      </c>
      <c r="B179" s="397" t="s">
        <v>502</v>
      </c>
      <c r="C179" s="398" t="s">
        <v>595</v>
      </c>
      <c r="D179" s="156" t="s">
        <v>111</v>
      </c>
      <c r="E179" s="377">
        <v>42118</v>
      </c>
      <c r="F179" s="378" t="s">
        <v>37</v>
      </c>
      <c r="G179" s="368">
        <v>500</v>
      </c>
      <c r="H179" s="360"/>
      <c r="I179" s="361"/>
      <c r="J179" s="360"/>
      <c r="K179" s="361"/>
      <c r="L179" s="160"/>
      <c r="M179" s="161"/>
      <c r="N179" s="160"/>
      <c r="O179" s="161"/>
      <c r="P179" s="220">
        <f t="shared" si="2"/>
        <v>0</v>
      </c>
    </row>
    <row r="180" spans="1:27" ht="15" customHeight="1" x14ac:dyDescent="0.35">
      <c r="A180" s="280">
        <v>2124</v>
      </c>
      <c r="B180" s="379" t="s">
        <v>344</v>
      </c>
      <c r="C180" s="382" t="s">
        <v>114</v>
      </c>
      <c r="D180" s="381" t="s">
        <v>111</v>
      </c>
      <c r="E180" s="412">
        <v>42116</v>
      </c>
      <c r="F180" s="378" t="s">
        <v>77</v>
      </c>
      <c r="G180" s="359">
        <v>500</v>
      </c>
      <c r="H180" s="360"/>
      <c r="I180" s="361"/>
      <c r="J180" s="360"/>
      <c r="K180" s="361"/>
      <c r="L180" s="160"/>
      <c r="M180" s="161"/>
      <c r="N180" s="160"/>
      <c r="O180" s="161"/>
      <c r="P180" s="220">
        <f t="shared" si="2"/>
        <v>0</v>
      </c>
    </row>
    <row r="181" spans="1:27" ht="15" customHeight="1" x14ac:dyDescent="0.35">
      <c r="A181" s="280">
        <v>2095</v>
      </c>
      <c r="B181" s="395" t="s">
        <v>466</v>
      </c>
      <c r="C181" s="396" t="s">
        <v>577</v>
      </c>
      <c r="D181" s="156" t="s">
        <v>111</v>
      </c>
      <c r="E181" s="377">
        <v>42114</v>
      </c>
      <c r="F181" s="378" t="s">
        <v>294</v>
      </c>
      <c r="G181" s="368" t="s">
        <v>126</v>
      </c>
      <c r="H181" s="360"/>
      <c r="I181" s="361"/>
      <c r="J181" s="392"/>
      <c r="K181" s="368"/>
      <c r="L181" s="160"/>
      <c r="M181" s="161"/>
      <c r="N181" s="160"/>
      <c r="O181" s="161"/>
      <c r="P181" s="220">
        <f t="shared" si="2"/>
        <v>0</v>
      </c>
    </row>
    <row r="182" spans="1:27" ht="15" customHeight="1" x14ac:dyDescent="0.35">
      <c r="A182" s="280">
        <v>2096</v>
      </c>
      <c r="B182" s="393" t="s">
        <v>166</v>
      </c>
      <c r="C182" s="394" t="s">
        <v>814</v>
      </c>
      <c r="D182" s="156" t="s">
        <v>111</v>
      </c>
      <c r="E182" s="377">
        <v>42112</v>
      </c>
      <c r="F182" s="378" t="s">
        <v>13</v>
      </c>
      <c r="G182" s="366" t="s">
        <v>622</v>
      </c>
      <c r="H182" s="360"/>
      <c r="I182" s="361"/>
      <c r="J182" s="360"/>
      <c r="K182" s="361"/>
      <c r="L182" s="160"/>
      <c r="M182" s="161"/>
      <c r="N182" s="160"/>
      <c r="O182" s="161"/>
      <c r="P182" s="220">
        <f t="shared" si="2"/>
        <v>0</v>
      </c>
      <c r="Z182" s="72"/>
      <c r="AA182" s="72"/>
    </row>
    <row r="183" spans="1:27" ht="15" customHeight="1" x14ac:dyDescent="0.35">
      <c r="A183" s="280">
        <v>2123</v>
      </c>
      <c r="B183" s="379" t="s">
        <v>511</v>
      </c>
      <c r="C183" s="382" t="s">
        <v>114</v>
      </c>
      <c r="D183" s="381" t="s">
        <v>111</v>
      </c>
      <c r="E183" s="349">
        <v>42106</v>
      </c>
      <c r="F183" s="378" t="s">
        <v>77</v>
      </c>
      <c r="G183" s="361">
        <v>500</v>
      </c>
      <c r="H183" s="360"/>
      <c r="I183" s="361"/>
      <c r="J183" s="360"/>
      <c r="K183" s="361"/>
      <c r="L183" s="160"/>
      <c r="M183" s="161"/>
      <c r="N183" s="160"/>
      <c r="O183" s="161"/>
      <c r="P183" s="220">
        <f t="shared" si="2"/>
        <v>0</v>
      </c>
      <c r="Z183" s="72"/>
      <c r="AA183" s="72"/>
    </row>
    <row r="184" spans="1:27" ht="15" customHeight="1" x14ac:dyDescent="0.35">
      <c r="A184" s="280">
        <v>2145</v>
      </c>
      <c r="B184" s="390" t="s">
        <v>194</v>
      </c>
      <c r="C184" s="391" t="s">
        <v>424</v>
      </c>
      <c r="D184" s="381" t="s">
        <v>110</v>
      </c>
      <c r="E184" s="193">
        <v>42096</v>
      </c>
      <c r="F184" s="378" t="s">
        <v>9</v>
      </c>
      <c r="G184" s="359">
        <v>678</v>
      </c>
      <c r="H184" s="360"/>
      <c r="I184" s="361"/>
      <c r="J184" s="392"/>
      <c r="K184" s="368"/>
      <c r="L184" s="160"/>
      <c r="M184" s="161"/>
      <c r="N184" s="160"/>
      <c r="O184" s="161"/>
      <c r="P184" s="220">
        <f t="shared" si="2"/>
        <v>0</v>
      </c>
    </row>
    <row r="185" spans="1:27" ht="15" customHeight="1" x14ac:dyDescent="0.35">
      <c r="A185" s="280">
        <v>2098</v>
      </c>
      <c r="B185" s="397" t="s">
        <v>531</v>
      </c>
      <c r="C185" s="398" t="s">
        <v>67</v>
      </c>
      <c r="D185" s="156" t="s">
        <v>111</v>
      </c>
      <c r="E185" s="377">
        <v>42095</v>
      </c>
      <c r="F185" s="378" t="s">
        <v>65</v>
      </c>
      <c r="G185" s="368" t="s">
        <v>126</v>
      </c>
      <c r="H185" s="360"/>
      <c r="I185" s="361"/>
      <c r="J185" s="360"/>
      <c r="K185" s="361"/>
      <c r="L185" s="160"/>
      <c r="M185" s="161"/>
      <c r="N185" s="160"/>
      <c r="O185" s="161"/>
      <c r="P185" s="220">
        <f t="shared" si="2"/>
        <v>0</v>
      </c>
    </row>
    <row r="186" spans="1:27" ht="15" customHeight="1" x14ac:dyDescent="0.35">
      <c r="A186" s="280">
        <v>2099</v>
      </c>
      <c r="B186" s="376" t="s">
        <v>351</v>
      </c>
      <c r="C186" s="242" t="s">
        <v>260</v>
      </c>
      <c r="D186" s="156" t="s">
        <v>111</v>
      </c>
      <c r="E186" s="377">
        <v>42090</v>
      </c>
      <c r="F186" s="378" t="s">
        <v>79</v>
      </c>
      <c r="G186" s="361">
        <v>500</v>
      </c>
      <c r="H186" s="326"/>
      <c r="I186" s="361"/>
      <c r="J186" s="360"/>
      <c r="K186" s="361"/>
      <c r="L186" s="160"/>
      <c r="M186" s="161"/>
      <c r="N186" s="160"/>
      <c r="O186" s="161"/>
      <c r="P186" s="220">
        <f t="shared" si="2"/>
        <v>0</v>
      </c>
    </row>
    <row r="187" spans="1:27" ht="15" customHeight="1" x14ac:dyDescent="0.35">
      <c r="A187" s="280">
        <v>2141</v>
      </c>
      <c r="B187" s="390" t="s">
        <v>434</v>
      </c>
      <c r="C187" s="391" t="s">
        <v>60</v>
      </c>
      <c r="D187" s="381" t="s">
        <v>111</v>
      </c>
      <c r="E187" s="193">
        <v>42076</v>
      </c>
      <c r="F187" s="378" t="s">
        <v>9</v>
      </c>
      <c r="G187" s="359">
        <v>500</v>
      </c>
      <c r="H187" s="326"/>
      <c r="I187" s="361"/>
      <c r="J187" s="392"/>
      <c r="K187" s="368"/>
      <c r="L187" s="160"/>
      <c r="M187" s="161"/>
      <c r="N187" s="160"/>
      <c r="O187" s="161"/>
      <c r="P187" s="220">
        <f t="shared" si="2"/>
        <v>0</v>
      </c>
    </row>
    <row r="188" spans="1:27" ht="15" customHeight="1" x14ac:dyDescent="0.35">
      <c r="A188" s="280">
        <v>2100</v>
      </c>
      <c r="B188" s="397" t="s">
        <v>443</v>
      </c>
      <c r="C188" s="398" t="s">
        <v>55</v>
      </c>
      <c r="D188" s="156" t="s">
        <v>111</v>
      </c>
      <c r="E188" s="377">
        <v>42072</v>
      </c>
      <c r="F188" s="378" t="s">
        <v>65</v>
      </c>
      <c r="G188" s="368" t="s">
        <v>126</v>
      </c>
      <c r="H188" s="360"/>
      <c r="I188" s="361"/>
      <c r="J188" s="392"/>
      <c r="K188" s="368"/>
      <c r="L188" s="160"/>
      <c r="M188" s="161"/>
      <c r="N188" s="160"/>
      <c r="O188" s="161"/>
      <c r="P188" s="220">
        <f t="shared" si="2"/>
        <v>0</v>
      </c>
    </row>
    <row r="189" spans="1:27" ht="15" customHeight="1" x14ac:dyDescent="0.35">
      <c r="A189" s="280">
        <v>2158</v>
      </c>
      <c r="B189" s="390" t="s">
        <v>482</v>
      </c>
      <c r="C189" s="391" t="s">
        <v>588</v>
      </c>
      <c r="D189" s="381" t="s">
        <v>111</v>
      </c>
      <c r="E189" s="193">
        <v>42066</v>
      </c>
      <c r="F189" s="378" t="s">
        <v>9</v>
      </c>
      <c r="G189" s="359">
        <v>500</v>
      </c>
      <c r="H189" s="392"/>
      <c r="I189" s="368"/>
      <c r="J189" s="392"/>
      <c r="K189" s="368"/>
      <c r="L189" s="160"/>
      <c r="M189" s="161"/>
      <c r="N189" s="160"/>
      <c r="O189" s="161"/>
      <c r="P189" s="220">
        <f t="shared" si="2"/>
        <v>0</v>
      </c>
    </row>
    <row r="190" spans="1:27" ht="15" customHeight="1" x14ac:dyDescent="0.35">
      <c r="A190" s="280">
        <v>2105</v>
      </c>
      <c r="B190" s="393" t="s">
        <v>458</v>
      </c>
      <c r="C190" s="394" t="s">
        <v>574</v>
      </c>
      <c r="D190" s="156" t="s">
        <v>111</v>
      </c>
      <c r="E190" s="377">
        <v>42059</v>
      </c>
      <c r="F190" s="378" t="s">
        <v>13</v>
      </c>
      <c r="G190" s="366" t="s">
        <v>126</v>
      </c>
      <c r="H190" s="360"/>
      <c r="I190" s="361"/>
      <c r="J190" s="392"/>
      <c r="K190" s="368"/>
      <c r="L190" s="160"/>
      <c r="M190" s="161"/>
      <c r="N190" s="160"/>
      <c r="O190" s="161"/>
      <c r="P190" s="220">
        <f t="shared" si="2"/>
        <v>0</v>
      </c>
    </row>
    <row r="191" spans="1:27" ht="15" customHeight="1" x14ac:dyDescent="0.35">
      <c r="A191" s="280">
        <v>2136</v>
      </c>
      <c r="B191" s="379" t="s">
        <v>806</v>
      </c>
      <c r="C191" s="382" t="s">
        <v>44</v>
      </c>
      <c r="D191" s="381" t="s">
        <v>111</v>
      </c>
      <c r="E191" s="383">
        <v>42057</v>
      </c>
      <c r="F191" s="378" t="s">
        <v>10</v>
      </c>
      <c r="G191" s="359">
        <v>513</v>
      </c>
      <c r="H191" s="360"/>
      <c r="I191" s="361"/>
      <c r="J191" s="360"/>
      <c r="K191" s="361"/>
      <c r="L191" s="160"/>
      <c r="M191" s="161"/>
      <c r="N191" s="160"/>
      <c r="O191" s="161"/>
      <c r="P191" s="220">
        <f t="shared" si="2"/>
        <v>0</v>
      </c>
    </row>
    <row r="192" spans="1:27" ht="15" customHeight="1" x14ac:dyDescent="0.35">
      <c r="A192" s="280">
        <v>2107</v>
      </c>
      <c r="B192" s="397" t="s">
        <v>524</v>
      </c>
      <c r="C192" s="398" t="s">
        <v>603</v>
      </c>
      <c r="D192" s="156" t="s">
        <v>111</v>
      </c>
      <c r="E192" s="377">
        <v>42044</v>
      </c>
      <c r="F192" s="378" t="s">
        <v>65</v>
      </c>
      <c r="G192" s="368" t="s">
        <v>126</v>
      </c>
      <c r="H192" s="360"/>
      <c r="I192" s="361"/>
      <c r="J192" s="360"/>
      <c r="K192" s="361"/>
      <c r="L192" s="160"/>
      <c r="M192" s="161"/>
      <c r="N192" s="160"/>
      <c r="O192" s="161"/>
      <c r="P192" s="220">
        <f t="shared" si="2"/>
        <v>0</v>
      </c>
    </row>
    <row r="193" spans="1:16" ht="15" customHeight="1" x14ac:dyDescent="0.35">
      <c r="A193" s="280">
        <v>2131</v>
      </c>
      <c r="B193" s="379" t="s">
        <v>807</v>
      </c>
      <c r="C193" s="382" t="s">
        <v>616</v>
      </c>
      <c r="D193" s="381" t="s">
        <v>111</v>
      </c>
      <c r="E193" s="383">
        <v>42033</v>
      </c>
      <c r="F193" s="378" t="s">
        <v>10</v>
      </c>
      <c r="G193" s="359">
        <v>500</v>
      </c>
      <c r="H193" s="360"/>
      <c r="I193" s="361"/>
      <c r="J193" s="360"/>
      <c r="K193" s="361"/>
      <c r="L193" s="160"/>
      <c r="M193" s="161"/>
      <c r="N193" s="160"/>
      <c r="O193" s="161"/>
      <c r="P193" s="220">
        <f t="shared" si="2"/>
        <v>0</v>
      </c>
    </row>
    <row r="194" spans="1:16" ht="15" customHeight="1" x14ac:dyDescent="0.35">
      <c r="A194" s="280">
        <v>2111</v>
      </c>
      <c r="B194" s="393" t="s">
        <v>407</v>
      </c>
      <c r="C194" s="394" t="s">
        <v>592</v>
      </c>
      <c r="D194" s="156" t="s">
        <v>111</v>
      </c>
      <c r="E194" s="377">
        <v>42019</v>
      </c>
      <c r="F194" s="378" t="s">
        <v>13</v>
      </c>
      <c r="G194" s="366" t="s">
        <v>126</v>
      </c>
      <c r="H194" s="360"/>
      <c r="I194" s="361"/>
      <c r="J194" s="360"/>
      <c r="K194" s="361"/>
      <c r="L194" s="160"/>
      <c r="M194" s="161"/>
      <c r="N194" s="160"/>
      <c r="O194" s="161"/>
      <c r="P194" s="220">
        <f t="shared" si="2"/>
        <v>0</v>
      </c>
    </row>
    <row r="195" spans="1:16" ht="15" customHeight="1" x14ac:dyDescent="0.35">
      <c r="A195" s="625">
        <v>2188</v>
      </c>
      <c r="B195" s="390" t="s">
        <v>860</v>
      </c>
      <c r="C195" s="391" t="s">
        <v>814</v>
      </c>
      <c r="D195" s="156" t="s">
        <v>111</v>
      </c>
      <c r="E195" s="378"/>
      <c r="F195" s="169" t="s">
        <v>11</v>
      </c>
      <c r="G195" s="489"/>
      <c r="H195" s="235"/>
      <c r="I195" s="183"/>
      <c r="J195" s="235"/>
      <c r="K195" s="183"/>
      <c r="L195" s="621"/>
      <c r="M195" s="183"/>
      <c r="N195" s="235"/>
      <c r="O195" s="183"/>
      <c r="P195" s="220">
        <f t="shared" si="2"/>
        <v>0</v>
      </c>
    </row>
    <row r="196" spans="1:16" ht="15" customHeight="1" x14ac:dyDescent="0.35">
      <c r="A196" s="328"/>
      <c r="B196" s="414"/>
      <c r="C196" s="190"/>
      <c r="D196" s="418"/>
      <c r="E196" s="419"/>
      <c r="F196" s="169" t="s">
        <v>9</v>
      </c>
      <c r="G196" s="161"/>
      <c r="H196" s="160"/>
      <c r="I196" s="161"/>
      <c r="J196" s="160"/>
      <c r="K196" s="161"/>
      <c r="L196" s="160"/>
      <c r="M196" s="161"/>
      <c r="N196" s="160"/>
      <c r="O196" s="161"/>
      <c r="P196" s="220">
        <f t="shared" si="2"/>
        <v>0</v>
      </c>
    </row>
    <row r="197" spans="1:16" ht="15" customHeight="1" x14ac:dyDescent="0.35">
      <c r="A197" s="328" t="s">
        <v>31</v>
      </c>
      <c r="B197" s="414"/>
      <c r="C197" s="190"/>
      <c r="D197" s="415"/>
      <c r="E197" s="416"/>
      <c r="F197" s="169" t="s">
        <v>65</v>
      </c>
      <c r="G197" s="417"/>
      <c r="H197" s="160"/>
      <c r="I197" s="161"/>
      <c r="J197" s="160"/>
      <c r="K197" s="161"/>
      <c r="L197" s="160"/>
      <c r="M197" s="161"/>
      <c r="N197" s="160"/>
      <c r="O197" s="161"/>
      <c r="P197" s="220">
        <f t="shared" si="2"/>
        <v>0</v>
      </c>
    </row>
    <row r="198" spans="1:16" ht="15" customHeight="1" x14ac:dyDescent="0.35">
      <c r="A198" s="328"/>
      <c r="B198" s="414"/>
      <c r="C198" s="190"/>
      <c r="D198" s="418"/>
      <c r="E198" s="419"/>
      <c r="F198" s="169" t="s">
        <v>79</v>
      </c>
      <c r="G198" s="161"/>
      <c r="H198" s="160"/>
      <c r="I198" s="161"/>
      <c r="J198" s="160"/>
      <c r="K198" s="161"/>
      <c r="L198" s="160"/>
      <c r="M198" s="161"/>
      <c r="N198" s="160"/>
      <c r="O198" s="161"/>
      <c r="P198" s="220">
        <f t="shared" si="2"/>
        <v>0</v>
      </c>
    </row>
    <row r="199" spans="1:16" ht="15" customHeight="1" x14ac:dyDescent="0.35">
      <c r="A199" s="328"/>
      <c r="B199" s="414"/>
      <c r="C199" s="190"/>
      <c r="D199" s="418"/>
      <c r="E199" s="419"/>
      <c r="F199" s="169" t="s">
        <v>13</v>
      </c>
      <c r="G199" s="161"/>
      <c r="H199" s="160"/>
      <c r="I199" s="161"/>
      <c r="J199" s="160"/>
      <c r="K199" s="161"/>
      <c r="L199" s="160"/>
      <c r="M199" s="161"/>
      <c r="N199" s="160"/>
      <c r="O199" s="161"/>
      <c r="P199" s="220">
        <f t="shared" si="2"/>
        <v>0</v>
      </c>
    </row>
    <row r="200" spans="1:16" ht="15" customHeight="1" x14ac:dyDescent="0.35">
      <c r="A200" s="328"/>
      <c r="B200" s="414"/>
      <c r="C200" s="190"/>
      <c r="D200" s="418"/>
      <c r="E200" s="419"/>
      <c r="F200" s="169" t="s">
        <v>37</v>
      </c>
      <c r="G200" s="161"/>
      <c r="H200" s="160"/>
      <c r="I200" s="161"/>
      <c r="J200" s="160"/>
      <c r="K200" s="161"/>
      <c r="L200" s="160"/>
      <c r="M200" s="161"/>
      <c r="N200" s="160"/>
      <c r="O200" s="161"/>
      <c r="P200" s="220">
        <f t="shared" ref="P200:P208" si="3">SUM(I200:O200)</f>
        <v>0</v>
      </c>
    </row>
    <row r="201" spans="1:16" ht="15" customHeight="1" x14ac:dyDescent="0.35">
      <c r="A201" s="328"/>
      <c r="B201" s="414"/>
      <c r="C201" s="190"/>
      <c r="D201" s="418"/>
      <c r="E201" s="419"/>
      <c r="F201" s="169" t="s">
        <v>12</v>
      </c>
      <c r="G201" s="161"/>
      <c r="H201" s="160"/>
      <c r="I201" s="161"/>
      <c r="J201" s="160"/>
      <c r="K201" s="161"/>
      <c r="L201" s="160"/>
      <c r="M201" s="161"/>
      <c r="N201" s="160"/>
      <c r="O201" s="161"/>
      <c r="P201" s="220">
        <f t="shared" si="3"/>
        <v>0</v>
      </c>
    </row>
    <row r="202" spans="1:16" ht="15" customHeight="1" x14ac:dyDescent="0.35">
      <c r="A202" s="328"/>
      <c r="B202" s="414"/>
      <c r="C202" s="190"/>
      <c r="D202" s="418"/>
      <c r="E202" s="419"/>
      <c r="F202" s="169" t="s">
        <v>294</v>
      </c>
      <c r="G202" s="161"/>
      <c r="H202" s="160"/>
      <c r="I202" s="161"/>
      <c r="J202" s="160"/>
      <c r="K202" s="161"/>
      <c r="L202" s="160"/>
      <c r="M202" s="161"/>
      <c r="N202" s="160"/>
      <c r="O202" s="161"/>
      <c r="P202" s="220">
        <f t="shared" si="3"/>
        <v>0</v>
      </c>
    </row>
    <row r="203" spans="1:16" ht="15" customHeight="1" x14ac:dyDescent="0.35">
      <c r="A203" s="328"/>
      <c r="B203" s="414"/>
      <c r="C203" s="190"/>
      <c r="D203" s="418"/>
      <c r="E203" s="419"/>
      <c r="F203" s="169" t="s">
        <v>66</v>
      </c>
      <c r="G203" s="161"/>
      <c r="H203" s="160"/>
      <c r="I203" s="161"/>
      <c r="J203" s="160"/>
      <c r="K203" s="161"/>
      <c r="L203" s="160"/>
      <c r="M203" s="161"/>
      <c r="N203" s="160"/>
      <c r="O203" s="161"/>
      <c r="P203" s="220">
        <f t="shared" si="3"/>
        <v>0</v>
      </c>
    </row>
    <row r="204" spans="1:16" ht="15" customHeight="1" x14ac:dyDescent="0.35">
      <c r="A204" s="328"/>
      <c r="B204" s="414"/>
      <c r="C204" s="190"/>
      <c r="D204" s="418"/>
      <c r="E204" s="419"/>
      <c r="F204" s="169" t="s">
        <v>10</v>
      </c>
      <c r="G204" s="161"/>
      <c r="H204" s="160"/>
      <c r="I204" s="161"/>
      <c r="J204" s="160"/>
      <c r="K204" s="161"/>
      <c r="L204" s="160"/>
      <c r="M204" s="161"/>
      <c r="N204" s="160"/>
      <c r="O204" s="161"/>
      <c r="P204" s="220">
        <f t="shared" si="3"/>
        <v>0</v>
      </c>
    </row>
    <row r="205" spans="1:16" ht="15" customHeight="1" x14ac:dyDescent="0.35">
      <c r="A205" s="328"/>
      <c r="B205" s="414"/>
      <c r="C205" s="190"/>
      <c r="D205" s="418"/>
      <c r="E205" s="419"/>
      <c r="F205" s="169" t="s">
        <v>77</v>
      </c>
      <c r="G205" s="161"/>
      <c r="H205" s="160"/>
      <c r="I205" s="161"/>
      <c r="J205" s="160"/>
      <c r="K205" s="161"/>
      <c r="L205" s="160"/>
      <c r="M205" s="161"/>
      <c r="N205" s="160"/>
      <c r="O205" s="161"/>
      <c r="P205" s="220">
        <f t="shared" si="3"/>
        <v>0</v>
      </c>
    </row>
    <row r="206" spans="1:16" ht="15" customHeight="1" x14ac:dyDescent="0.35">
      <c r="A206" s="328"/>
      <c r="B206" s="414"/>
      <c r="C206" s="190"/>
      <c r="D206" s="420"/>
      <c r="E206" s="421"/>
      <c r="F206" s="180"/>
      <c r="G206" s="161"/>
      <c r="H206" s="160"/>
      <c r="I206" s="161"/>
      <c r="J206" s="160"/>
      <c r="K206" s="161"/>
      <c r="L206" s="160"/>
      <c r="M206" s="161"/>
      <c r="N206" s="160"/>
      <c r="O206" s="161"/>
      <c r="P206" s="220">
        <f t="shared" si="3"/>
        <v>0</v>
      </c>
    </row>
    <row r="207" spans="1:16" ht="15" customHeight="1" x14ac:dyDescent="0.35">
      <c r="A207" s="328"/>
      <c r="B207" s="414"/>
      <c r="C207" s="190"/>
      <c r="D207" s="420"/>
      <c r="E207" s="421"/>
      <c r="F207" s="180"/>
      <c r="G207" s="161"/>
      <c r="H207" s="160"/>
      <c r="I207" s="161"/>
      <c r="J207" s="160"/>
      <c r="K207" s="161"/>
      <c r="L207" s="160"/>
      <c r="M207" s="161"/>
      <c r="N207" s="160"/>
      <c r="O207" s="161"/>
      <c r="P207" s="220">
        <f t="shared" si="3"/>
        <v>0</v>
      </c>
    </row>
    <row r="208" spans="1:16" ht="15" customHeight="1" x14ac:dyDescent="0.35">
      <c r="A208" s="328"/>
      <c r="B208" s="414"/>
      <c r="C208" s="190"/>
      <c r="D208" s="420"/>
      <c r="E208" s="421"/>
      <c r="F208" s="180"/>
      <c r="G208" s="161"/>
      <c r="H208" s="160"/>
      <c r="I208" s="161"/>
      <c r="J208" s="160"/>
      <c r="K208" s="161"/>
      <c r="L208" s="160"/>
      <c r="M208" s="161"/>
      <c r="N208" s="160"/>
      <c r="O208" s="161"/>
      <c r="P208" s="220">
        <f t="shared" si="3"/>
        <v>0</v>
      </c>
    </row>
    <row r="209" spans="1:27" ht="15" customHeight="1" x14ac:dyDescent="0.35">
      <c r="A209" s="328"/>
      <c r="B209" s="414"/>
      <c r="C209" s="190"/>
      <c r="D209" s="420"/>
      <c r="E209" s="421"/>
      <c r="F209" s="180"/>
      <c r="G209" s="161"/>
      <c r="H209" s="160"/>
      <c r="I209" s="161"/>
      <c r="J209" s="160"/>
      <c r="K209" s="161"/>
      <c r="L209" s="160"/>
      <c r="M209" s="161"/>
      <c r="N209" s="160"/>
      <c r="O209" s="161"/>
      <c r="P209" s="220">
        <f t="shared" ref="P209:P216" si="4">SUM(I209:O209)</f>
        <v>0</v>
      </c>
      <c r="Z209" s="72"/>
      <c r="AA209" s="72"/>
    </row>
    <row r="210" spans="1:27" ht="15" customHeight="1" x14ac:dyDescent="0.35">
      <c r="A210" s="328"/>
      <c r="B210" s="414"/>
      <c r="C210" s="190"/>
      <c r="D210" s="420"/>
      <c r="E210" s="421"/>
      <c r="F210" s="180"/>
      <c r="G210" s="161"/>
      <c r="H210" s="160"/>
      <c r="I210" s="161"/>
      <c r="J210" s="160"/>
      <c r="K210" s="161"/>
      <c r="L210" s="160"/>
      <c r="M210" s="161"/>
      <c r="N210" s="160"/>
      <c r="O210" s="161"/>
      <c r="P210" s="220">
        <f t="shared" si="4"/>
        <v>0</v>
      </c>
    </row>
    <row r="211" spans="1:27" ht="15" customHeight="1" x14ac:dyDescent="0.35">
      <c r="A211" s="328"/>
      <c r="B211" s="414"/>
      <c r="C211" s="190"/>
      <c r="D211" s="420"/>
      <c r="E211" s="421"/>
      <c r="F211" s="180"/>
      <c r="G211" s="161"/>
      <c r="H211" s="160"/>
      <c r="I211" s="161"/>
      <c r="J211" s="160"/>
      <c r="K211" s="161"/>
      <c r="L211" s="160"/>
      <c r="M211" s="161"/>
      <c r="N211" s="160"/>
      <c r="O211" s="161"/>
      <c r="P211" s="220">
        <f t="shared" si="4"/>
        <v>0</v>
      </c>
      <c r="Z211" s="72"/>
      <c r="AA211" s="72"/>
    </row>
    <row r="212" spans="1:27" ht="15" customHeight="1" x14ac:dyDescent="0.35">
      <c r="A212" s="328"/>
      <c r="B212" s="414"/>
      <c r="C212" s="190"/>
      <c r="D212" s="420"/>
      <c r="E212" s="421"/>
      <c r="F212" s="180"/>
      <c r="G212" s="161"/>
      <c r="H212" s="160"/>
      <c r="I212" s="161"/>
      <c r="J212" s="160"/>
      <c r="K212" s="161"/>
      <c r="L212" s="160"/>
      <c r="M212" s="161"/>
      <c r="N212" s="160"/>
      <c r="O212" s="161"/>
      <c r="P212" s="220">
        <f t="shared" si="4"/>
        <v>0</v>
      </c>
    </row>
    <row r="213" spans="1:27" ht="15" customHeight="1" x14ac:dyDescent="0.35">
      <c r="A213" s="328"/>
      <c r="B213" s="414"/>
      <c r="C213" s="190"/>
      <c r="D213" s="420"/>
      <c r="E213" s="421"/>
      <c r="F213" s="180"/>
      <c r="G213" s="161"/>
      <c r="H213" s="160"/>
      <c r="I213" s="161"/>
      <c r="J213" s="160"/>
      <c r="K213" s="161"/>
      <c r="L213" s="160"/>
      <c r="M213" s="161"/>
      <c r="N213" s="160"/>
      <c r="O213" s="161"/>
      <c r="P213" s="220">
        <f t="shared" si="4"/>
        <v>0</v>
      </c>
    </row>
    <row r="214" spans="1:27" ht="15" customHeight="1" x14ac:dyDescent="0.35">
      <c r="A214" s="328"/>
      <c r="B214" s="414"/>
      <c r="C214" s="190"/>
      <c r="D214" s="420"/>
      <c r="E214" s="421"/>
      <c r="F214" s="180"/>
      <c r="G214" s="161"/>
      <c r="H214" s="160"/>
      <c r="I214" s="161"/>
      <c r="J214" s="160"/>
      <c r="K214" s="161"/>
      <c r="L214" s="160"/>
      <c r="M214" s="161"/>
      <c r="N214" s="160"/>
      <c r="O214" s="161"/>
      <c r="P214" s="220">
        <f t="shared" si="4"/>
        <v>0</v>
      </c>
    </row>
    <row r="215" spans="1:27" ht="15" customHeight="1" x14ac:dyDescent="0.35">
      <c r="A215" s="328"/>
      <c r="B215" s="414"/>
      <c r="C215" s="190"/>
      <c r="D215" s="420"/>
      <c r="E215" s="421"/>
      <c r="F215" s="180"/>
      <c r="G215" s="161"/>
      <c r="H215" s="160"/>
      <c r="I215" s="161"/>
      <c r="J215" s="160"/>
      <c r="K215" s="161"/>
      <c r="L215" s="160"/>
      <c r="M215" s="161"/>
      <c r="N215" s="160"/>
      <c r="O215" s="161"/>
      <c r="P215" s="220">
        <f t="shared" si="4"/>
        <v>0</v>
      </c>
    </row>
    <row r="216" spans="1:27" ht="15" customHeight="1" x14ac:dyDescent="0.35">
      <c r="A216" s="328"/>
      <c r="B216" s="414"/>
      <c r="C216" s="190"/>
      <c r="D216" s="420"/>
      <c r="E216" s="421"/>
      <c r="F216" s="180"/>
      <c r="G216" s="161"/>
      <c r="H216" s="160"/>
      <c r="I216" s="161"/>
      <c r="J216" s="160"/>
      <c r="K216" s="161"/>
      <c r="L216" s="160"/>
      <c r="M216" s="161"/>
      <c r="N216" s="160"/>
      <c r="O216" s="161"/>
      <c r="P216" s="220">
        <f t="shared" si="4"/>
        <v>0</v>
      </c>
    </row>
    <row r="217" spans="1:27" ht="15" customHeight="1" x14ac:dyDescent="0.35">
      <c r="A217" s="328"/>
      <c r="B217" s="422"/>
      <c r="C217" s="423"/>
      <c r="D217" s="420"/>
      <c r="E217" s="421"/>
      <c r="F217" s="180"/>
      <c r="G217" s="161"/>
      <c r="H217" s="160"/>
      <c r="I217" s="161"/>
      <c r="J217" s="160"/>
      <c r="K217" s="161"/>
      <c r="L217" s="160"/>
      <c r="M217" s="161"/>
      <c r="N217" s="160"/>
      <c r="O217" s="161"/>
      <c r="P217" s="220">
        <f t="shared" ref="P217:P218" si="5">SUM(I217:O217)</f>
        <v>0</v>
      </c>
    </row>
    <row r="218" spans="1:27" ht="15" customHeight="1" thickBot="1" x14ac:dyDescent="0.4">
      <c r="A218" s="338"/>
      <c r="B218" s="424"/>
      <c r="C218" s="252"/>
      <c r="D218" s="425"/>
      <c r="E218" s="426"/>
      <c r="F218" s="343"/>
      <c r="G218" s="427"/>
      <c r="H218" s="345"/>
      <c r="I218" s="346"/>
      <c r="J218" s="345"/>
      <c r="K218" s="346"/>
      <c r="L218" s="345"/>
      <c r="M218" s="346"/>
      <c r="N218" s="345"/>
      <c r="O218" s="346"/>
      <c r="P218" s="348">
        <f t="shared" si="5"/>
        <v>0</v>
      </c>
    </row>
    <row r="219" spans="1:27" ht="18" customHeight="1" x14ac:dyDescent="0.35">
      <c r="B219" s="39"/>
      <c r="C219" s="39"/>
      <c r="D219" s="39"/>
      <c r="E219"/>
      <c r="F219" s="73"/>
      <c r="G219" s="35" t="s">
        <v>30</v>
      </c>
      <c r="H219" s="1">
        <f>COUNTA(H8:H218)</f>
        <v>86</v>
      </c>
      <c r="I219" s="1"/>
      <c r="J219" s="1">
        <f>COUNTA(J8:J218)</f>
        <v>62</v>
      </c>
      <c r="K219" s="1" t="s">
        <v>31</v>
      </c>
      <c r="L219" s="1">
        <f>COUNTA(L8:L218)</f>
        <v>0</v>
      </c>
      <c r="M219" s="1"/>
      <c r="N219" s="1">
        <f>COUNTA(N8:N218)</f>
        <v>0</v>
      </c>
      <c r="O219" s="1"/>
      <c r="P219" s="76">
        <f>COUNTIF(P8:P218,"&gt;0")</f>
        <v>100</v>
      </c>
    </row>
    <row r="220" spans="1:27" ht="13" x14ac:dyDescent="0.3">
      <c r="B220" s="39"/>
      <c r="C220" s="39"/>
      <c r="D220" s="39"/>
      <c r="E220" s="58"/>
      <c r="F220" s="40"/>
      <c r="G220" s="40"/>
      <c r="H220" s="43"/>
      <c r="I220" s="40"/>
      <c r="J220" s="43"/>
      <c r="K220" s="40"/>
      <c r="L220" s="43"/>
      <c r="M220" s="40"/>
      <c r="N220" s="43"/>
      <c r="O220" s="40"/>
      <c r="P220" s="40"/>
    </row>
    <row r="221" spans="1:27" x14ac:dyDescent="0.25">
      <c r="B221" s="39"/>
      <c r="C221" s="39"/>
      <c r="D221" s="39"/>
      <c r="E221" s="40"/>
      <c r="F221" s="40"/>
    </row>
    <row r="222" spans="1:27" x14ac:dyDescent="0.25">
      <c r="B222" s="39"/>
      <c r="C222" s="39"/>
      <c r="D222" s="39"/>
      <c r="E222" s="40"/>
      <c r="F222" s="40"/>
    </row>
    <row r="223" spans="1:27" x14ac:dyDescent="0.25">
      <c r="B223" s="39"/>
      <c r="C223" s="39"/>
      <c r="D223" s="39"/>
      <c r="E223" s="40"/>
      <c r="F223" s="40"/>
    </row>
    <row r="224" spans="1:27" x14ac:dyDescent="0.25">
      <c r="B224" s="39"/>
      <c r="C224" s="39"/>
      <c r="D224" s="39"/>
      <c r="E224" s="40"/>
      <c r="F224" s="40"/>
    </row>
    <row r="225" spans="2:6" x14ac:dyDescent="0.25">
      <c r="B225" s="39"/>
      <c r="C225" s="39"/>
      <c r="D225" s="39"/>
      <c r="E225" s="40"/>
      <c r="F225" s="40"/>
    </row>
    <row r="226" spans="2:6" x14ac:dyDescent="0.25">
      <c r="B226" s="39"/>
      <c r="C226" s="39"/>
      <c r="D226" s="39"/>
      <c r="E226" s="40"/>
      <c r="F226" s="40"/>
    </row>
    <row r="227" spans="2:6" x14ac:dyDescent="0.25">
      <c r="B227" s="39"/>
      <c r="C227" s="39"/>
      <c r="D227" s="39"/>
      <c r="E227" s="40"/>
      <c r="F227" s="40"/>
    </row>
    <row r="228" spans="2:6" x14ac:dyDescent="0.25">
      <c r="B228" s="39"/>
      <c r="C228" s="39"/>
      <c r="D228" s="39"/>
      <c r="E228" s="40"/>
      <c r="F228" s="40"/>
    </row>
    <row r="229" spans="2:6" x14ac:dyDescent="0.25">
      <c r="B229" s="39"/>
      <c r="C229" s="39"/>
      <c r="D229" s="39"/>
      <c r="E229" s="40"/>
      <c r="F229" s="40"/>
    </row>
    <row r="230" spans="2:6" x14ac:dyDescent="0.25">
      <c r="B230" s="39"/>
      <c r="C230" s="39"/>
      <c r="D230" s="39"/>
      <c r="E230" s="40"/>
      <c r="F230" s="40"/>
    </row>
    <row r="231" spans="2:6" x14ac:dyDescent="0.25">
      <c r="B231" s="39"/>
      <c r="C231" s="39"/>
      <c r="D231" s="39"/>
      <c r="E231" s="40"/>
      <c r="F231" s="40"/>
    </row>
    <row r="232" spans="2:6" x14ac:dyDescent="0.25">
      <c r="B232" s="39"/>
      <c r="C232" s="39"/>
      <c r="D232" s="39"/>
      <c r="E232" s="40"/>
      <c r="F232" s="40"/>
    </row>
    <row r="233" spans="2:6" x14ac:dyDescent="0.25">
      <c r="B233" s="39"/>
      <c r="C233" s="39"/>
      <c r="D233" s="39"/>
      <c r="E233" s="40"/>
      <c r="F233" s="40"/>
    </row>
    <row r="234" spans="2:6" x14ac:dyDescent="0.25">
      <c r="B234" s="39"/>
      <c r="C234" s="39"/>
      <c r="D234" s="39"/>
      <c r="E234" s="40"/>
      <c r="F234" s="40"/>
    </row>
    <row r="235" spans="2:6" x14ac:dyDescent="0.25">
      <c r="B235" s="39"/>
      <c r="C235" s="39"/>
      <c r="D235" s="39"/>
      <c r="E235" s="40"/>
      <c r="F235" s="40"/>
    </row>
    <row r="236" spans="2:6" x14ac:dyDescent="0.25">
      <c r="B236" s="39"/>
      <c r="C236" s="39"/>
      <c r="D236" s="39"/>
      <c r="E236" s="40"/>
      <c r="F236" s="40"/>
    </row>
    <row r="237" spans="2:6" x14ac:dyDescent="0.25">
      <c r="B237" s="39"/>
      <c r="C237" s="39"/>
      <c r="D237" s="39"/>
      <c r="E237" s="40"/>
      <c r="F237" s="40"/>
    </row>
    <row r="238" spans="2:6" x14ac:dyDescent="0.25">
      <c r="B238" s="39"/>
      <c r="C238" s="39"/>
      <c r="D238" s="39"/>
      <c r="E238" s="40"/>
      <c r="F238" s="40"/>
    </row>
    <row r="239" spans="2:6" x14ac:dyDescent="0.25">
      <c r="B239" s="39"/>
      <c r="C239" s="39"/>
      <c r="D239" s="39"/>
      <c r="E239" s="40"/>
      <c r="F239" s="40"/>
    </row>
    <row r="240" spans="2:6" x14ac:dyDescent="0.25">
      <c r="B240" s="39"/>
      <c r="C240" s="39"/>
      <c r="D240" s="39"/>
      <c r="E240" s="40"/>
      <c r="F240" s="40"/>
    </row>
    <row r="241" spans="2:6" x14ac:dyDescent="0.25">
      <c r="B241" s="39"/>
      <c r="C241" s="39"/>
      <c r="D241" s="39"/>
      <c r="E241" s="40"/>
      <c r="F241" s="40"/>
    </row>
    <row r="242" spans="2:6" x14ac:dyDescent="0.25">
      <c r="B242" s="39"/>
      <c r="C242" s="39"/>
      <c r="D242" s="39"/>
      <c r="E242" s="40"/>
      <c r="F242" s="40"/>
    </row>
    <row r="243" spans="2:6" x14ac:dyDescent="0.25">
      <c r="B243" s="39"/>
      <c r="C243" s="39"/>
      <c r="D243" s="39"/>
      <c r="E243" s="40"/>
      <c r="F243" s="40"/>
    </row>
    <row r="244" spans="2:6" x14ac:dyDescent="0.25">
      <c r="B244" s="39"/>
      <c r="C244" s="39"/>
      <c r="D244" s="39"/>
      <c r="E244" s="40"/>
      <c r="F244" s="40"/>
    </row>
    <row r="245" spans="2:6" x14ac:dyDescent="0.25">
      <c r="B245" s="39"/>
      <c r="C245" s="39"/>
      <c r="D245" s="39"/>
      <c r="E245" s="40"/>
      <c r="F245" s="40"/>
    </row>
    <row r="246" spans="2:6" x14ac:dyDescent="0.25">
      <c r="B246" s="39"/>
      <c r="C246" s="39"/>
      <c r="D246" s="39"/>
      <c r="E246" s="40"/>
      <c r="F246" s="40"/>
    </row>
    <row r="247" spans="2:6" x14ac:dyDescent="0.25">
      <c r="B247" s="39"/>
      <c r="C247" s="39"/>
      <c r="D247" s="39"/>
      <c r="E247" s="40"/>
      <c r="F247" s="40"/>
    </row>
    <row r="248" spans="2:6" x14ac:dyDescent="0.25">
      <c r="B248" s="39"/>
      <c r="C248" s="39"/>
      <c r="D248" s="39"/>
      <c r="E248" s="40"/>
      <c r="F248" s="40"/>
    </row>
    <row r="249" spans="2:6" x14ac:dyDescent="0.25">
      <c r="B249" s="39"/>
      <c r="C249" s="39"/>
      <c r="D249" s="39"/>
      <c r="E249" s="40"/>
      <c r="F249" s="40"/>
    </row>
    <row r="250" spans="2:6" x14ac:dyDescent="0.25">
      <c r="B250" s="39"/>
      <c r="C250" s="39"/>
      <c r="D250" s="39"/>
      <c r="E250" s="40"/>
      <c r="F250" s="40"/>
    </row>
    <row r="251" spans="2:6" x14ac:dyDescent="0.25">
      <c r="B251" s="39"/>
      <c r="C251" s="39"/>
      <c r="D251" s="39"/>
      <c r="E251" s="40"/>
      <c r="F251" s="40"/>
    </row>
    <row r="252" spans="2:6" x14ac:dyDescent="0.25">
      <c r="B252" s="39"/>
      <c r="C252" s="39"/>
      <c r="D252" s="39"/>
      <c r="E252" s="40"/>
      <c r="F252" s="40"/>
    </row>
    <row r="253" spans="2:6" x14ac:dyDescent="0.25">
      <c r="B253" s="39"/>
      <c r="C253" s="39"/>
      <c r="D253" s="39"/>
      <c r="E253" s="40"/>
      <c r="F253" s="40"/>
    </row>
    <row r="254" spans="2:6" x14ac:dyDescent="0.25">
      <c r="B254" s="39"/>
      <c r="C254" s="39"/>
      <c r="D254" s="39"/>
      <c r="E254" s="40"/>
      <c r="F254" s="40"/>
    </row>
    <row r="255" spans="2:6" x14ac:dyDescent="0.25">
      <c r="B255" s="39"/>
      <c r="C255" s="39"/>
      <c r="D255" s="39"/>
      <c r="E255" s="40"/>
      <c r="F255" s="40"/>
    </row>
    <row r="256" spans="2:6" x14ac:dyDescent="0.25">
      <c r="B256" s="39"/>
      <c r="C256" s="39"/>
      <c r="D256" s="39"/>
      <c r="E256" s="40"/>
      <c r="F256" s="40"/>
    </row>
    <row r="257" spans="2:6" x14ac:dyDescent="0.25">
      <c r="B257" s="39"/>
      <c r="C257" s="39"/>
      <c r="D257" s="39"/>
      <c r="E257" s="40"/>
      <c r="F257" s="40"/>
    </row>
    <row r="258" spans="2:6" x14ac:dyDescent="0.25">
      <c r="B258" s="39"/>
      <c r="C258" s="39"/>
      <c r="D258" s="39"/>
      <c r="E258" s="40"/>
      <c r="F258" s="40"/>
    </row>
    <row r="259" spans="2:6" x14ac:dyDescent="0.25">
      <c r="B259" s="39"/>
      <c r="C259" s="39"/>
      <c r="D259" s="39"/>
      <c r="E259" s="40"/>
      <c r="F259" s="40"/>
    </row>
    <row r="260" spans="2:6" x14ac:dyDescent="0.25">
      <c r="B260" s="39"/>
      <c r="C260" s="39"/>
      <c r="D260" s="39"/>
      <c r="E260" s="40"/>
      <c r="F260" s="40"/>
    </row>
    <row r="261" spans="2:6" x14ac:dyDescent="0.25">
      <c r="B261" s="39"/>
      <c r="C261" s="39"/>
      <c r="D261" s="39"/>
      <c r="E261" s="40"/>
      <c r="F261" s="40"/>
    </row>
    <row r="262" spans="2:6" x14ac:dyDescent="0.25">
      <c r="B262" s="39"/>
      <c r="C262" s="39"/>
      <c r="D262" s="39"/>
      <c r="E262" s="40"/>
      <c r="F262" s="40"/>
    </row>
    <row r="263" spans="2:6" x14ac:dyDescent="0.25">
      <c r="B263" s="39"/>
      <c r="C263" s="39"/>
      <c r="D263" s="39"/>
      <c r="E263" s="40"/>
      <c r="F263" s="40"/>
    </row>
    <row r="264" spans="2:6" x14ac:dyDescent="0.25">
      <c r="B264" s="39"/>
      <c r="C264" s="39"/>
      <c r="D264" s="39"/>
      <c r="E264" s="40"/>
      <c r="F264" s="40"/>
    </row>
    <row r="265" spans="2:6" x14ac:dyDescent="0.25">
      <c r="B265" s="39"/>
      <c r="C265" s="39"/>
      <c r="D265" s="39"/>
      <c r="E265" s="40"/>
      <c r="F265" s="40"/>
    </row>
    <row r="266" spans="2:6" x14ac:dyDescent="0.25">
      <c r="B266" s="39"/>
      <c r="C266" s="39"/>
      <c r="D266" s="39"/>
      <c r="E266" s="40"/>
      <c r="F266" s="40"/>
    </row>
    <row r="267" spans="2:6" x14ac:dyDescent="0.25">
      <c r="B267" s="39"/>
      <c r="C267" s="39"/>
      <c r="D267" s="39"/>
      <c r="E267" s="40"/>
      <c r="F267" s="40"/>
    </row>
    <row r="268" spans="2:6" x14ac:dyDescent="0.25">
      <c r="B268" s="39"/>
      <c r="C268" s="39"/>
      <c r="D268" s="39"/>
      <c r="E268" s="40"/>
      <c r="F268" s="40"/>
    </row>
    <row r="269" spans="2:6" x14ac:dyDescent="0.25">
      <c r="B269" s="39"/>
      <c r="C269" s="39"/>
      <c r="D269" s="39"/>
      <c r="E269" s="40"/>
      <c r="F269" s="40"/>
    </row>
    <row r="270" spans="2:6" x14ac:dyDescent="0.25">
      <c r="B270" s="39"/>
      <c r="C270" s="39"/>
      <c r="D270" s="39"/>
      <c r="E270" s="40"/>
      <c r="F270" s="40"/>
    </row>
    <row r="271" spans="2:6" x14ac:dyDescent="0.25">
      <c r="B271" s="39"/>
      <c r="C271" s="39"/>
      <c r="D271" s="39"/>
      <c r="E271" s="40"/>
      <c r="F271" s="40"/>
    </row>
    <row r="272" spans="2:6" x14ac:dyDescent="0.25">
      <c r="B272" s="39"/>
      <c r="C272" s="39"/>
      <c r="D272" s="39"/>
      <c r="E272" s="40"/>
      <c r="F272" s="40"/>
    </row>
    <row r="273" spans="2:6" x14ac:dyDescent="0.25">
      <c r="B273" s="39"/>
      <c r="C273" s="39"/>
      <c r="D273" s="39"/>
      <c r="E273" s="40"/>
      <c r="F273" s="40"/>
    </row>
    <row r="274" spans="2:6" x14ac:dyDescent="0.25">
      <c r="B274" s="39"/>
      <c r="C274" s="39"/>
      <c r="D274" s="39"/>
      <c r="E274" s="40"/>
      <c r="F274" s="40"/>
    </row>
    <row r="275" spans="2:6" x14ac:dyDescent="0.25">
      <c r="B275" s="39"/>
      <c r="C275" s="39"/>
      <c r="D275" s="39"/>
      <c r="E275" s="40"/>
      <c r="F275" s="40"/>
    </row>
    <row r="276" spans="2:6" x14ac:dyDescent="0.25">
      <c r="B276" s="39"/>
      <c r="C276" s="39"/>
      <c r="D276" s="39"/>
      <c r="E276" s="40"/>
      <c r="F276" s="40"/>
    </row>
    <row r="277" spans="2:6" x14ac:dyDescent="0.25">
      <c r="B277" s="39"/>
      <c r="C277" s="39"/>
      <c r="D277" s="39"/>
      <c r="E277" s="40"/>
      <c r="F277" s="40"/>
    </row>
    <row r="278" spans="2:6" x14ac:dyDescent="0.25">
      <c r="B278" s="39"/>
      <c r="C278" s="39"/>
      <c r="D278" s="39"/>
      <c r="E278" s="40"/>
      <c r="F278" s="40"/>
    </row>
    <row r="279" spans="2:6" x14ac:dyDescent="0.25">
      <c r="B279" s="39"/>
      <c r="C279" s="39"/>
      <c r="D279" s="39"/>
      <c r="E279" s="40"/>
      <c r="F279" s="40"/>
    </row>
    <row r="280" spans="2:6" x14ac:dyDescent="0.25">
      <c r="B280" s="39"/>
      <c r="C280" s="39"/>
      <c r="D280" s="39"/>
      <c r="E280" s="40"/>
      <c r="F280" s="40"/>
    </row>
    <row r="281" spans="2:6" x14ac:dyDescent="0.25">
      <c r="B281" s="39"/>
      <c r="C281" s="39"/>
      <c r="D281" s="39"/>
      <c r="E281" s="40"/>
      <c r="F281" s="40"/>
    </row>
    <row r="282" spans="2:6" x14ac:dyDescent="0.25">
      <c r="B282" s="39"/>
      <c r="C282" s="39"/>
      <c r="D282" s="39"/>
      <c r="E282" s="40"/>
      <c r="F282" s="40"/>
    </row>
    <row r="283" spans="2:6" x14ac:dyDescent="0.25">
      <c r="B283" s="39"/>
      <c r="C283" s="39"/>
      <c r="D283" s="39"/>
      <c r="E283" s="40"/>
      <c r="F283" s="40"/>
    </row>
    <row r="284" spans="2:6" x14ac:dyDescent="0.25">
      <c r="B284" s="39"/>
      <c r="C284" s="39"/>
      <c r="D284" s="39"/>
      <c r="E284" s="40"/>
      <c r="F284" s="40"/>
    </row>
    <row r="285" spans="2:6" x14ac:dyDescent="0.25">
      <c r="B285" s="39"/>
      <c r="C285" s="39"/>
      <c r="D285" s="39"/>
      <c r="E285" s="40"/>
      <c r="F285" s="40"/>
    </row>
    <row r="286" spans="2:6" x14ac:dyDescent="0.25">
      <c r="B286" s="39"/>
      <c r="C286" s="39"/>
      <c r="D286" s="39"/>
      <c r="E286" s="40"/>
      <c r="F286" s="40"/>
    </row>
    <row r="287" spans="2:6" x14ac:dyDescent="0.25">
      <c r="B287" s="39"/>
      <c r="C287" s="39"/>
      <c r="D287" s="39"/>
      <c r="E287" s="40"/>
      <c r="F287" s="40"/>
    </row>
    <row r="288" spans="2:6" x14ac:dyDescent="0.25">
      <c r="B288" s="39"/>
      <c r="C288" s="39"/>
      <c r="D288" s="39"/>
      <c r="E288" s="40"/>
      <c r="F288" s="40"/>
    </row>
    <row r="289" spans="2:6" x14ac:dyDescent="0.25">
      <c r="B289" s="39"/>
      <c r="C289" s="39"/>
      <c r="D289" s="39"/>
      <c r="E289" s="40"/>
      <c r="F289" s="40"/>
    </row>
    <row r="290" spans="2:6" x14ac:dyDescent="0.25">
      <c r="B290" s="39"/>
      <c r="C290" s="39"/>
      <c r="D290" s="39"/>
      <c r="E290" s="40"/>
      <c r="F290" s="40"/>
    </row>
    <row r="291" spans="2:6" x14ac:dyDescent="0.25">
      <c r="B291" s="39"/>
      <c r="C291" s="39"/>
      <c r="D291" s="39"/>
      <c r="E291" s="40"/>
      <c r="F291" s="40"/>
    </row>
    <row r="292" spans="2:6" x14ac:dyDescent="0.25">
      <c r="B292" s="39"/>
      <c r="C292" s="39"/>
      <c r="D292" s="39"/>
      <c r="E292" s="40"/>
      <c r="F292" s="40"/>
    </row>
    <row r="293" spans="2:6" x14ac:dyDescent="0.25">
      <c r="B293" s="39"/>
      <c r="C293" s="39"/>
      <c r="D293" s="39"/>
      <c r="E293" s="40"/>
      <c r="F293" s="40"/>
    </row>
    <row r="294" spans="2:6" x14ac:dyDescent="0.25">
      <c r="B294" s="39"/>
      <c r="C294" s="39"/>
      <c r="D294" s="39"/>
      <c r="E294" s="40"/>
      <c r="F294" s="40"/>
    </row>
    <row r="295" spans="2:6" x14ac:dyDescent="0.25">
      <c r="B295" s="39"/>
      <c r="C295" s="39"/>
      <c r="D295" s="39"/>
      <c r="E295" s="40"/>
      <c r="F295" s="40"/>
    </row>
    <row r="296" spans="2:6" x14ac:dyDescent="0.25">
      <c r="B296" s="39"/>
      <c r="C296" s="39"/>
      <c r="D296" s="39"/>
      <c r="E296" s="40"/>
      <c r="F296" s="40"/>
    </row>
    <row r="297" spans="2:6" x14ac:dyDescent="0.25">
      <c r="B297" s="39"/>
      <c r="C297" s="39"/>
      <c r="D297" s="39"/>
      <c r="E297" s="40"/>
      <c r="F297" s="40"/>
    </row>
    <row r="298" spans="2:6" x14ac:dyDescent="0.25">
      <c r="B298" s="39"/>
      <c r="C298" s="39"/>
      <c r="D298" s="39"/>
      <c r="E298" s="40"/>
      <c r="F298" s="40"/>
    </row>
    <row r="299" spans="2:6" x14ac:dyDescent="0.25">
      <c r="B299" s="39"/>
      <c r="C299" s="39"/>
      <c r="D299" s="39"/>
      <c r="E299" s="40"/>
      <c r="F299" s="40"/>
    </row>
    <row r="300" spans="2:6" x14ac:dyDescent="0.25">
      <c r="B300" s="39"/>
      <c r="C300" s="39"/>
      <c r="D300" s="39"/>
      <c r="E300" s="40"/>
      <c r="F300" s="40"/>
    </row>
    <row r="301" spans="2:6" x14ac:dyDescent="0.25">
      <c r="B301" s="39"/>
      <c r="C301" s="39"/>
      <c r="D301" s="39"/>
      <c r="E301" s="40"/>
      <c r="F301" s="40"/>
    </row>
    <row r="302" spans="2:6" x14ac:dyDescent="0.25">
      <c r="B302" s="39"/>
      <c r="C302" s="39"/>
      <c r="D302" s="39"/>
      <c r="E302" s="40"/>
      <c r="F302" s="40"/>
    </row>
    <row r="303" spans="2:6" x14ac:dyDescent="0.25">
      <c r="B303" s="39"/>
      <c r="C303" s="39"/>
      <c r="D303" s="39"/>
      <c r="E303" s="40"/>
      <c r="F303" s="40"/>
    </row>
    <row r="304" spans="2:6" x14ac:dyDescent="0.25">
      <c r="B304" s="39"/>
      <c r="C304" s="39"/>
      <c r="D304" s="39"/>
      <c r="E304" s="40"/>
      <c r="F304" s="40"/>
    </row>
    <row r="305" spans="2:6" x14ac:dyDescent="0.25">
      <c r="B305" s="39"/>
      <c r="C305" s="39"/>
      <c r="D305" s="39"/>
      <c r="E305" s="40"/>
      <c r="F305" s="40"/>
    </row>
    <row r="306" spans="2:6" x14ac:dyDescent="0.25">
      <c r="B306" s="39"/>
      <c r="C306" s="39"/>
      <c r="D306" s="39"/>
      <c r="E306" s="40"/>
      <c r="F306" s="40"/>
    </row>
    <row r="307" spans="2:6" x14ac:dyDescent="0.25">
      <c r="B307" s="39"/>
      <c r="C307" s="39"/>
      <c r="D307" s="39"/>
      <c r="E307" s="40"/>
      <c r="F307" s="40"/>
    </row>
    <row r="308" spans="2:6" x14ac:dyDescent="0.25">
      <c r="B308" s="39"/>
      <c r="C308" s="39"/>
      <c r="D308" s="39"/>
      <c r="E308" s="40"/>
      <c r="F308" s="40"/>
    </row>
    <row r="309" spans="2:6" x14ac:dyDescent="0.25">
      <c r="B309" s="39"/>
      <c r="C309" s="39"/>
      <c r="D309" s="39"/>
      <c r="E309" s="40"/>
      <c r="F309" s="40"/>
    </row>
    <row r="310" spans="2:6" x14ac:dyDescent="0.25">
      <c r="B310" s="39"/>
      <c r="C310" s="39"/>
      <c r="D310" s="39"/>
      <c r="E310" s="40"/>
      <c r="F310" s="40"/>
    </row>
    <row r="311" spans="2:6" x14ac:dyDescent="0.25">
      <c r="B311" s="39"/>
      <c r="C311" s="39"/>
      <c r="D311" s="39"/>
      <c r="E311" s="40"/>
      <c r="F311" s="40"/>
    </row>
    <row r="312" spans="2:6" x14ac:dyDescent="0.25">
      <c r="B312" s="39"/>
      <c r="C312" s="39"/>
      <c r="D312" s="39"/>
      <c r="E312" s="40"/>
      <c r="F312" s="40"/>
    </row>
    <row r="313" spans="2:6" x14ac:dyDescent="0.25">
      <c r="B313" s="39"/>
      <c r="C313" s="39"/>
      <c r="D313" s="39"/>
      <c r="E313" s="40"/>
      <c r="F313" s="40"/>
    </row>
    <row r="314" spans="2:6" x14ac:dyDescent="0.25">
      <c r="B314" s="39"/>
      <c r="C314" s="39"/>
      <c r="D314" s="39"/>
      <c r="E314" s="40"/>
      <c r="F314" s="40"/>
    </row>
    <row r="315" spans="2:6" x14ac:dyDescent="0.25">
      <c r="B315" s="39"/>
      <c r="C315" s="39"/>
      <c r="D315" s="39"/>
      <c r="E315" s="40"/>
      <c r="F315" s="40"/>
    </row>
    <row r="316" spans="2:6" x14ac:dyDescent="0.25">
      <c r="B316" s="39"/>
      <c r="C316" s="39"/>
      <c r="D316" s="39"/>
      <c r="E316" s="40"/>
      <c r="F316" s="40"/>
    </row>
    <row r="317" spans="2:6" x14ac:dyDescent="0.25">
      <c r="B317" s="39"/>
      <c r="C317" s="39"/>
      <c r="D317" s="39"/>
      <c r="E317" s="40"/>
      <c r="F317" s="40"/>
    </row>
    <row r="318" spans="2:6" x14ac:dyDescent="0.25">
      <c r="B318" s="39"/>
      <c r="C318" s="39"/>
      <c r="D318" s="39"/>
      <c r="E318" s="40"/>
      <c r="F318" s="40"/>
    </row>
    <row r="319" spans="2:6" x14ac:dyDescent="0.25">
      <c r="B319" s="39"/>
      <c r="C319" s="39"/>
      <c r="D319" s="39"/>
      <c r="E319" s="40"/>
      <c r="F319" s="40"/>
    </row>
    <row r="320" spans="2:6" x14ac:dyDescent="0.25">
      <c r="B320" s="39"/>
      <c r="C320" s="39"/>
      <c r="D320" s="39"/>
      <c r="E320" s="40"/>
      <c r="F320" s="40"/>
    </row>
    <row r="321" spans="2:6" x14ac:dyDescent="0.25">
      <c r="B321" s="39"/>
      <c r="C321" s="39"/>
      <c r="D321" s="39"/>
      <c r="E321" s="40"/>
      <c r="F321" s="40"/>
    </row>
    <row r="322" spans="2:6" x14ac:dyDescent="0.25">
      <c r="B322" s="39"/>
      <c r="C322" s="39"/>
      <c r="D322" s="39"/>
      <c r="E322" s="40"/>
      <c r="F322" s="40"/>
    </row>
    <row r="323" spans="2:6" x14ac:dyDescent="0.25">
      <c r="B323" s="39"/>
      <c r="C323" s="39"/>
      <c r="D323" s="39"/>
      <c r="E323" s="40"/>
      <c r="F323" s="40"/>
    </row>
    <row r="324" spans="2:6" x14ac:dyDescent="0.25">
      <c r="B324" s="39"/>
      <c r="C324" s="39"/>
      <c r="D324" s="39"/>
      <c r="E324" s="40"/>
      <c r="F324" s="40"/>
    </row>
    <row r="325" spans="2:6" x14ac:dyDescent="0.25">
      <c r="B325" s="39"/>
      <c r="C325" s="39"/>
      <c r="D325" s="39"/>
      <c r="E325" s="40"/>
      <c r="F325" s="40"/>
    </row>
    <row r="326" spans="2:6" x14ac:dyDescent="0.25">
      <c r="B326" s="39"/>
      <c r="C326" s="39"/>
      <c r="D326" s="39"/>
      <c r="E326" s="40"/>
      <c r="F326" s="40"/>
    </row>
    <row r="327" spans="2:6" x14ac:dyDescent="0.25">
      <c r="B327" s="39"/>
      <c r="C327" s="39"/>
      <c r="D327" s="39"/>
      <c r="E327" s="40"/>
      <c r="F327" s="40"/>
    </row>
    <row r="328" spans="2:6" x14ac:dyDescent="0.25">
      <c r="B328" s="39"/>
      <c r="C328" s="39"/>
      <c r="D328" s="39"/>
      <c r="E328" s="40"/>
      <c r="F328" s="40"/>
    </row>
    <row r="329" spans="2:6" x14ac:dyDescent="0.25">
      <c r="B329" s="39"/>
      <c r="C329" s="39"/>
      <c r="D329" s="39"/>
      <c r="E329" s="40"/>
      <c r="F329" s="40"/>
    </row>
    <row r="330" spans="2:6" x14ac:dyDescent="0.25">
      <c r="B330" s="39"/>
      <c r="C330" s="39"/>
      <c r="D330" s="39"/>
      <c r="E330" s="40"/>
      <c r="F330" s="40"/>
    </row>
    <row r="331" spans="2:6" x14ac:dyDescent="0.25">
      <c r="B331" s="39"/>
      <c r="C331" s="39"/>
      <c r="D331" s="39"/>
      <c r="E331" s="40"/>
      <c r="F331" s="40"/>
    </row>
    <row r="332" spans="2:6" x14ac:dyDescent="0.25">
      <c r="B332" s="39"/>
      <c r="C332" s="39"/>
      <c r="D332" s="39"/>
      <c r="E332" s="40"/>
      <c r="F332" s="40"/>
    </row>
    <row r="333" spans="2:6" x14ac:dyDescent="0.25">
      <c r="B333" s="39"/>
      <c r="C333" s="39"/>
      <c r="D333" s="39"/>
      <c r="E333" s="40"/>
      <c r="F333" s="40"/>
    </row>
    <row r="334" spans="2:6" x14ac:dyDescent="0.25">
      <c r="B334" s="39"/>
      <c r="C334" s="39"/>
      <c r="D334" s="39"/>
      <c r="E334" s="40"/>
      <c r="F334" s="40"/>
    </row>
    <row r="335" spans="2:6" x14ac:dyDescent="0.25">
      <c r="B335" s="39"/>
      <c r="C335" s="39"/>
      <c r="D335" s="39"/>
      <c r="E335" s="40"/>
      <c r="F335" s="40"/>
    </row>
    <row r="336" spans="2:6" x14ac:dyDescent="0.25">
      <c r="B336" s="39"/>
      <c r="C336" s="39"/>
      <c r="D336" s="39"/>
      <c r="E336" s="40"/>
      <c r="F336" s="40"/>
    </row>
    <row r="337" spans="2:6" x14ac:dyDescent="0.25">
      <c r="B337" s="39"/>
      <c r="C337" s="39"/>
      <c r="D337" s="39"/>
      <c r="E337" s="40"/>
      <c r="F337" s="40"/>
    </row>
    <row r="338" spans="2:6" x14ac:dyDescent="0.25">
      <c r="B338" s="39"/>
      <c r="C338" s="39"/>
      <c r="D338" s="39"/>
      <c r="E338" s="40"/>
      <c r="F338" s="40"/>
    </row>
    <row r="339" spans="2:6" x14ac:dyDescent="0.25">
      <c r="B339" s="39"/>
      <c r="C339" s="39"/>
      <c r="D339" s="39"/>
      <c r="E339" s="40"/>
      <c r="F339" s="40"/>
    </row>
    <row r="340" spans="2:6" x14ac:dyDescent="0.25">
      <c r="B340" s="39"/>
      <c r="C340" s="39"/>
      <c r="D340" s="39"/>
      <c r="E340" s="40"/>
      <c r="F340" s="40"/>
    </row>
    <row r="341" spans="2:6" x14ac:dyDescent="0.25">
      <c r="B341" s="39"/>
      <c r="C341" s="39"/>
      <c r="D341" s="39"/>
      <c r="E341" s="40"/>
      <c r="F341" s="40"/>
    </row>
    <row r="342" spans="2:6" x14ac:dyDescent="0.25">
      <c r="B342" s="39"/>
      <c r="C342" s="39"/>
      <c r="D342" s="39"/>
      <c r="E342" s="40"/>
      <c r="F342" s="40"/>
    </row>
    <row r="343" spans="2:6" x14ac:dyDescent="0.25">
      <c r="B343" s="39"/>
      <c r="C343" s="39"/>
      <c r="D343" s="39"/>
      <c r="E343" s="40"/>
      <c r="F343" s="40"/>
    </row>
    <row r="344" spans="2:6" x14ac:dyDescent="0.25">
      <c r="B344" s="39"/>
      <c r="C344" s="39"/>
      <c r="D344" s="39"/>
      <c r="E344" s="40"/>
      <c r="F344" s="40"/>
    </row>
    <row r="345" spans="2:6" x14ac:dyDescent="0.25">
      <c r="B345" s="39"/>
      <c r="C345" s="39"/>
      <c r="D345" s="39"/>
      <c r="E345" s="40"/>
      <c r="F345" s="40"/>
    </row>
    <row r="346" spans="2:6" x14ac:dyDescent="0.25">
      <c r="B346" s="39"/>
      <c r="C346" s="39"/>
      <c r="D346" s="39"/>
      <c r="E346" s="40"/>
      <c r="F346" s="40"/>
    </row>
    <row r="347" spans="2:6" x14ac:dyDescent="0.25">
      <c r="B347" s="39"/>
      <c r="C347" s="39"/>
      <c r="D347" s="39"/>
      <c r="E347" s="40"/>
      <c r="F347" s="40"/>
    </row>
    <row r="348" spans="2:6" x14ac:dyDescent="0.25">
      <c r="B348" s="39"/>
      <c r="C348" s="39"/>
      <c r="D348" s="39"/>
      <c r="E348" s="40"/>
      <c r="F348" s="40"/>
    </row>
    <row r="349" spans="2:6" x14ac:dyDescent="0.25">
      <c r="B349" s="39"/>
      <c r="C349" s="39"/>
      <c r="D349" s="39"/>
      <c r="E349" s="40"/>
      <c r="F349" s="40"/>
    </row>
    <row r="350" spans="2:6" x14ac:dyDescent="0.25">
      <c r="B350" s="39"/>
      <c r="C350" s="39"/>
      <c r="D350" s="39"/>
      <c r="E350" s="40"/>
      <c r="F350" s="40"/>
    </row>
    <row r="351" spans="2:6" x14ac:dyDescent="0.25">
      <c r="B351" s="39"/>
      <c r="C351" s="39"/>
      <c r="D351" s="39"/>
      <c r="E351" s="40"/>
      <c r="F351" s="40"/>
    </row>
    <row r="352" spans="2:6" x14ac:dyDescent="0.25">
      <c r="B352" s="39"/>
      <c r="C352" s="39"/>
      <c r="D352" s="39"/>
      <c r="E352" s="40"/>
      <c r="F352" s="40"/>
    </row>
    <row r="353" spans="2:6" x14ac:dyDescent="0.25">
      <c r="B353" s="39"/>
      <c r="C353" s="39"/>
      <c r="D353" s="39"/>
      <c r="E353" s="40"/>
      <c r="F353" s="40"/>
    </row>
    <row r="354" spans="2:6" x14ac:dyDescent="0.25">
      <c r="B354" s="39"/>
      <c r="C354" s="39"/>
      <c r="D354" s="39"/>
      <c r="E354" s="40"/>
      <c r="F354" s="40"/>
    </row>
    <row r="355" spans="2:6" x14ac:dyDescent="0.25">
      <c r="B355" s="39"/>
      <c r="C355" s="39"/>
      <c r="D355" s="39"/>
      <c r="E355" s="40"/>
      <c r="F355" s="40"/>
    </row>
    <row r="356" spans="2:6" x14ac:dyDescent="0.25">
      <c r="B356" s="39"/>
      <c r="C356" s="39"/>
      <c r="D356" s="39"/>
      <c r="E356" s="40"/>
      <c r="F356" s="40"/>
    </row>
    <row r="357" spans="2:6" x14ac:dyDescent="0.25">
      <c r="B357" s="39"/>
      <c r="C357" s="39"/>
      <c r="D357" s="39"/>
      <c r="E357" s="40"/>
      <c r="F357" s="40"/>
    </row>
    <row r="358" spans="2:6" x14ac:dyDescent="0.25">
      <c r="B358" s="39"/>
      <c r="C358" s="39"/>
      <c r="D358" s="39"/>
      <c r="E358" s="40"/>
      <c r="F358" s="40"/>
    </row>
    <row r="359" spans="2:6" x14ac:dyDescent="0.25">
      <c r="B359" s="39"/>
      <c r="C359" s="39"/>
      <c r="D359" s="39"/>
      <c r="E359" s="40"/>
      <c r="F359" s="40"/>
    </row>
    <row r="360" spans="2:6" x14ac:dyDescent="0.25">
      <c r="B360" s="39"/>
      <c r="C360" s="39"/>
      <c r="D360" s="39"/>
      <c r="E360" s="40"/>
      <c r="F360" s="40"/>
    </row>
    <row r="361" spans="2:6" x14ac:dyDescent="0.25">
      <c r="B361" s="39"/>
      <c r="C361" s="39"/>
      <c r="D361" s="39"/>
      <c r="E361" s="40"/>
      <c r="F361" s="40"/>
    </row>
    <row r="362" spans="2:6" x14ac:dyDescent="0.25">
      <c r="B362" s="39"/>
      <c r="C362" s="39"/>
      <c r="D362" s="39"/>
      <c r="E362" s="40"/>
      <c r="F362" s="40"/>
    </row>
    <row r="363" spans="2:6" x14ac:dyDescent="0.25">
      <c r="B363" s="39"/>
      <c r="C363" s="39"/>
      <c r="D363" s="39"/>
      <c r="E363" s="40"/>
      <c r="F363" s="40"/>
    </row>
    <row r="364" spans="2:6" x14ac:dyDescent="0.25">
      <c r="B364" s="39"/>
      <c r="C364" s="39"/>
      <c r="D364" s="39"/>
      <c r="E364" s="40"/>
      <c r="F364" s="40"/>
    </row>
    <row r="365" spans="2:6" x14ac:dyDescent="0.25">
      <c r="B365" s="39"/>
      <c r="C365" s="39"/>
      <c r="D365" s="39"/>
      <c r="E365" s="40"/>
      <c r="F365" s="40"/>
    </row>
    <row r="366" spans="2:6" x14ac:dyDescent="0.25">
      <c r="B366" s="39"/>
      <c r="C366" s="39"/>
      <c r="D366" s="39"/>
      <c r="E366" s="40"/>
      <c r="F366" s="40"/>
    </row>
    <row r="367" spans="2:6" x14ac:dyDescent="0.25">
      <c r="B367" s="39"/>
      <c r="C367" s="39"/>
      <c r="D367" s="39"/>
      <c r="E367" s="40"/>
      <c r="F367" s="40"/>
    </row>
    <row r="368" spans="2:6" x14ac:dyDescent="0.25">
      <c r="B368" s="39"/>
      <c r="C368" s="39"/>
      <c r="D368" s="39"/>
      <c r="E368" s="40"/>
      <c r="F368" s="40"/>
    </row>
    <row r="369" spans="2:6" x14ac:dyDescent="0.25">
      <c r="B369" s="39"/>
      <c r="C369" s="39"/>
      <c r="D369" s="39"/>
      <c r="E369" s="40"/>
      <c r="F369" s="40"/>
    </row>
    <row r="370" spans="2:6" x14ac:dyDescent="0.25">
      <c r="B370" s="39"/>
      <c r="C370" s="39"/>
      <c r="D370" s="39"/>
      <c r="E370" s="40"/>
      <c r="F370" s="40"/>
    </row>
    <row r="371" spans="2:6" x14ac:dyDescent="0.25">
      <c r="B371" s="39"/>
      <c r="C371" s="39"/>
      <c r="D371" s="39"/>
      <c r="E371" s="40"/>
      <c r="F371" s="40"/>
    </row>
    <row r="372" spans="2:6" x14ac:dyDescent="0.25">
      <c r="B372" s="39"/>
      <c r="C372" s="39"/>
      <c r="D372" s="39"/>
      <c r="E372" s="40"/>
      <c r="F372" s="40"/>
    </row>
    <row r="373" spans="2:6" x14ac:dyDescent="0.25">
      <c r="B373" s="39"/>
      <c r="C373" s="39"/>
      <c r="D373" s="39"/>
      <c r="E373" s="40"/>
      <c r="F373" s="40"/>
    </row>
    <row r="374" spans="2:6" x14ac:dyDescent="0.25">
      <c r="B374" s="39"/>
      <c r="C374" s="39"/>
      <c r="D374" s="39"/>
      <c r="E374" s="40"/>
      <c r="F374" s="40"/>
    </row>
    <row r="375" spans="2:6" x14ac:dyDescent="0.25">
      <c r="B375" s="39"/>
      <c r="C375" s="39"/>
      <c r="D375" s="39"/>
      <c r="E375" s="40"/>
      <c r="F375" s="40"/>
    </row>
    <row r="376" spans="2:6" x14ac:dyDescent="0.25">
      <c r="B376" s="39"/>
      <c r="C376" s="39"/>
      <c r="D376" s="39"/>
      <c r="E376" s="40"/>
      <c r="F376" s="40"/>
    </row>
    <row r="377" spans="2:6" x14ac:dyDescent="0.25">
      <c r="B377" s="39"/>
      <c r="C377" s="39"/>
      <c r="D377" s="39"/>
      <c r="E377" s="40"/>
      <c r="F377" s="40"/>
    </row>
    <row r="378" spans="2:6" x14ac:dyDescent="0.25">
      <c r="B378" s="39"/>
      <c r="C378" s="39"/>
      <c r="D378" s="39"/>
      <c r="E378" s="40"/>
      <c r="F378" s="40"/>
    </row>
    <row r="379" spans="2:6" x14ac:dyDescent="0.25">
      <c r="B379" s="39"/>
      <c r="C379" s="39"/>
      <c r="D379" s="39"/>
      <c r="E379" s="40"/>
      <c r="F379" s="40"/>
    </row>
    <row r="380" spans="2:6" x14ac:dyDescent="0.25">
      <c r="B380" s="39"/>
      <c r="C380" s="39"/>
      <c r="D380" s="39"/>
      <c r="E380" s="40"/>
      <c r="F380" s="40"/>
    </row>
    <row r="381" spans="2:6" x14ac:dyDescent="0.25">
      <c r="B381" s="39"/>
      <c r="C381" s="39"/>
      <c r="D381" s="39"/>
      <c r="E381" s="40"/>
      <c r="F381" s="40"/>
    </row>
    <row r="382" spans="2:6" x14ac:dyDescent="0.25">
      <c r="B382" s="39"/>
      <c r="C382" s="39"/>
      <c r="D382" s="39"/>
      <c r="E382" s="40"/>
      <c r="F382" s="40"/>
    </row>
    <row r="383" spans="2:6" x14ac:dyDescent="0.25">
      <c r="B383" s="39"/>
      <c r="C383" s="39"/>
      <c r="D383" s="39"/>
      <c r="E383" s="40"/>
      <c r="F383" s="40"/>
    </row>
    <row r="384" spans="2:6" x14ac:dyDescent="0.25">
      <c r="B384" s="39"/>
      <c r="C384" s="39"/>
      <c r="D384" s="39"/>
      <c r="E384" s="40"/>
      <c r="F384" s="40"/>
    </row>
    <row r="385" spans="2:6" x14ac:dyDescent="0.25">
      <c r="B385" s="39"/>
      <c r="C385" s="39"/>
      <c r="D385" s="39"/>
      <c r="E385" s="40"/>
      <c r="F385" s="40"/>
    </row>
    <row r="386" spans="2:6" x14ac:dyDescent="0.25">
      <c r="B386" s="39"/>
      <c r="C386" s="39"/>
      <c r="D386" s="39"/>
      <c r="E386" s="40"/>
      <c r="F386" s="40"/>
    </row>
    <row r="387" spans="2:6" x14ac:dyDescent="0.25">
      <c r="B387" s="39"/>
      <c r="C387" s="39"/>
      <c r="D387" s="39"/>
      <c r="E387" s="40"/>
      <c r="F387" s="40"/>
    </row>
    <row r="388" spans="2:6" x14ac:dyDescent="0.25">
      <c r="B388" s="39"/>
      <c r="C388" s="39"/>
      <c r="D388" s="39"/>
      <c r="E388" s="40"/>
      <c r="F388" s="40"/>
    </row>
    <row r="389" spans="2:6" x14ac:dyDescent="0.25">
      <c r="B389" s="39"/>
      <c r="C389" s="39"/>
      <c r="D389" s="39"/>
      <c r="E389" s="40"/>
      <c r="F389" s="40"/>
    </row>
    <row r="390" spans="2:6" x14ac:dyDescent="0.25">
      <c r="B390" s="39"/>
      <c r="C390" s="39"/>
      <c r="D390" s="39"/>
      <c r="E390" s="40"/>
      <c r="F390" s="40"/>
    </row>
    <row r="391" spans="2:6" x14ac:dyDescent="0.25">
      <c r="B391" s="39"/>
      <c r="C391" s="39"/>
      <c r="D391" s="39"/>
      <c r="E391" s="40"/>
      <c r="F391" s="40"/>
    </row>
    <row r="392" spans="2:6" x14ac:dyDescent="0.25">
      <c r="B392" s="39"/>
      <c r="C392" s="39"/>
      <c r="D392" s="39"/>
      <c r="E392" s="40"/>
      <c r="F392" s="40"/>
    </row>
    <row r="393" spans="2:6" x14ac:dyDescent="0.25">
      <c r="B393" s="39"/>
      <c r="C393" s="39"/>
      <c r="D393" s="39"/>
      <c r="E393" s="40"/>
      <c r="F393" s="40"/>
    </row>
    <row r="394" spans="2:6" x14ac:dyDescent="0.25">
      <c r="B394" s="39"/>
      <c r="C394" s="39"/>
      <c r="D394" s="39"/>
      <c r="E394" s="40"/>
      <c r="F394" s="40"/>
    </row>
    <row r="395" spans="2:6" x14ac:dyDescent="0.25">
      <c r="B395" s="39"/>
      <c r="C395" s="39"/>
      <c r="D395" s="39"/>
      <c r="E395" s="40"/>
      <c r="F395" s="40"/>
    </row>
    <row r="396" spans="2:6" x14ac:dyDescent="0.25">
      <c r="B396" s="39"/>
      <c r="C396" s="39"/>
      <c r="D396" s="39"/>
      <c r="E396" s="40"/>
      <c r="F396" s="40"/>
    </row>
    <row r="397" spans="2:6" x14ac:dyDescent="0.25">
      <c r="B397" s="39"/>
      <c r="C397" s="39"/>
      <c r="D397" s="39"/>
      <c r="E397" s="40"/>
      <c r="F397" s="40"/>
    </row>
    <row r="398" spans="2:6" x14ac:dyDescent="0.25">
      <c r="B398" s="39"/>
      <c r="C398" s="39"/>
      <c r="D398" s="39"/>
      <c r="E398" s="40"/>
      <c r="F398" s="40"/>
    </row>
    <row r="399" spans="2:6" x14ac:dyDescent="0.25">
      <c r="B399" s="39"/>
      <c r="C399" s="39"/>
      <c r="D399" s="39"/>
      <c r="E399" s="40"/>
      <c r="F399" s="40"/>
    </row>
    <row r="400" spans="2:6" x14ac:dyDescent="0.25">
      <c r="B400" s="39"/>
      <c r="C400" s="39"/>
      <c r="D400" s="39"/>
      <c r="E400" s="40"/>
      <c r="F400" s="40"/>
    </row>
    <row r="401" spans="2:6" x14ac:dyDescent="0.25">
      <c r="B401" s="39"/>
      <c r="C401" s="39"/>
      <c r="D401" s="39"/>
      <c r="E401" s="40"/>
      <c r="F401" s="40"/>
    </row>
    <row r="402" spans="2:6" x14ac:dyDescent="0.25">
      <c r="B402" s="39"/>
      <c r="C402" s="39"/>
      <c r="D402" s="39"/>
      <c r="E402" s="40"/>
      <c r="F402" s="40"/>
    </row>
    <row r="403" spans="2:6" x14ac:dyDescent="0.25">
      <c r="B403" s="39"/>
      <c r="C403" s="39"/>
      <c r="D403" s="39"/>
      <c r="E403" s="40"/>
      <c r="F403" s="40"/>
    </row>
    <row r="404" spans="2:6" x14ac:dyDescent="0.25">
      <c r="B404" s="39"/>
      <c r="C404" s="39"/>
      <c r="D404" s="39"/>
      <c r="E404" s="40"/>
      <c r="F404" s="40"/>
    </row>
    <row r="405" spans="2:6" x14ac:dyDescent="0.25">
      <c r="B405" s="39"/>
      <c r="C405" s="39"/>
      <c r="D405" s="39"/>
      <c r="E405" s="40"/>
      <c r="F405" s="40"/>
    </row>
    <row r="406" spans="2:6" x14ac:dyDescent="0.25">
      <c r="B406" s="39"/>
      <c r="C406" s="39"/>
      <c r="D406" s="39"/>
      <c r="E406" s="40"/>
      <c r="F406" s="40"/>
    </row>
    <row r="407" spans="2:6" x14ac:dyDescent="0.25">
      <c r="B407" s="39"/>
      <c r="C407" s="39"/>
      <c r="D407" s="39"/>
      <c r="E407" s="40"/>
      <c r="F407" s="40"/>
    </row>
    <row r="408" spans="2:6" x14ac:dyDescent="0.25">
      <c r="B408" s="39"/>
      <c r="C408" s="39"/>
      <c r="D408" s="39"/>
      <c r="E408" s="40"/>
      <c r="F408" s="40"/>
    </row>
    <row r="409" spans="2:6" x14ac:dyDescent="0.25">
      <c r="B409" s="39"/>
      <c r="C409" s="39"/>
      <c r="D409" s="39"/>
      <c r="E409" s="40"/>
      <c r="F409" s="40"/>
    </row>
    <row r="410" spans="2:6" x14ac:dyDescent="0.25">
      <c r="B410" s="39"/>
      <c r="C410" s="39"/>
      <c r="D410" s="39"/>
      <c r="E410" s="40"/>
      <c r="F410" s="40"/>
    </row>
    <row r="411" spans="2:6" x14ac:dyDescent="0.25">
      <c r="B411" s="39"/>
      <c r="C411" s="39"/>
      <c r="D411" s="39"/>
      <c r="E411" s="40"/>
      <c r="F411" s="40"/>
    </row>
    <row r="412" spans="2:6" x14ac:dyDescent="0.25">
      <c r="B412" s="39"/>
      <c r="C412" s="39"/>
      <c r="D412" s="39"/>
      <c r="E412" s="40"/>
      <c r="F412" s="40"/>
    </row>
    <row r="413" spans="2:6" x14ac:dyDescent="0.25">
      <c r="B413" s="39"/>
      <c r="C413" s="39"/>
      <c r="D413" s="39"/>
      <c r="E413" s="40"/>
      <c r="F413" s="40"/>
    </row>
    <row r="414" spans="2:6" x14ac:dyDescent="0.25">
      <c r="B414" s="39"/>
      <c r="C414" s="39"/>
      <c r="D414" s="39"/>
      <c r="E414" s="40"/>
      <c r="F414" s="40"/>
    </row>
    <row r="415" spans="2:6" x14ac:dyDescent="0.25">
      <c r="B415" s="39"/>
      <c r="C415" s="39"/>
      <c r="D415" s="39"/>
      <c r="E415" s="40"/>
      <c r="F415" s="40"/>
    </row>
    <row r="416" spans="2:6" x14ac:dyDescent="0.25">
      <c r="B416" s="39"/>
      <c r="C416" s="39"/>
      <c r="D416" s="39"/>
      <c r="E416" s="40"/>
      <c r="F416" s="40"/>
    </row>
    <row r="417" spans="2:6" x14ac:dyDescent="0.25">
      <c r="B417" s="39"/>
      <c r="C417" s="39"/>
      <c r="D417" s="39"/>
      <c r="E417" s="40"/>
      <c r="F417" s="40"/>
    </row>
    <row r="418" spans="2:6" x14ac:dyDescent="0.25">
      <c r="B418" s="39"/>
      <c r="C418" s="39"/>
      <c r="D418" s="39"/>
      <c r="E418" s="40"/>
      <c r="F418" s="40"/>
    </row>
    <row r="419" spans="2:6" x14ac:dyDescent="0.25">
      <c r="B419" s="39"/>
      <c r="C419" s="39"/>
      <c r="D419" s="39"/>
      <c r="E419" s="40"/>
      <c r="F419" s="40"/>
    </row>
    <row r="420" spans="2:6" x14ac:dyDescent="0.25">
      <c r="B420" s="39"/>
      <c r="C420" s="39"/>
      <c r="D420" s="39"/>
      <c r="E420" s="40"/>
      <c r="F420" s="40"/>
    </row>
    <row r="421" spans="2:6" x14ac:dyDescent="0.25">
      <c r="B421" s="39"/>
      <c r="C421" s="39"/>
      <c r="D421" s="39"/>
      <c r="E421" s="40"/>
      <c r="F421" s="40"/>
    </row>
    <row r="422" spans="2:6" x14ac:dyDescent="0.25">
      <c r="B422" s="39"/>
      <c r="C422" s="39"/>
      <c r="D422" s="39"/>
      <c r="E422" s="40"/>
      <c r="F422" s="40"/>
    </row>
    <row r="423" spans="2:6" x14ac:dyDescent="0.25">
      <c r="B423" s="39"/>
      <c r="C423" s="39"/>
      <c r="D423" s="39"/>
      <c r="E423" s="40"/>
      <c r="F423" s="40"/>
    </row>
    <row r="424" spans="2:6" x14ac:dyDescent="0.25">
      <c r="B424" s="39"/>
      <c r="C424" s="39"/>
      <c r="D424" s="39"/>
      <c r="E424" s="40"/>
      <c r="F424" s="40"/>
    </row>
    <row r="425" spans="2:6" x14ac:dyDescent="0.25">
      <c r="B425" s="39"/>
      <c r="C425" s="39"/>
      <c r="D425" s="39"/>
      <c r="E425" s="40"/>
      <c r="F425" s="40"/>
    </row>
    <row r="426" spans="2:6" x14ac:dyDescent="0.25">
      <c r="B426" s="39"/>
      <c r="C426" s="39"/>
      <c r="D426" s="39"/>
      <c r="E426" s="40"/>
      <c r="F426" s="40"/>
    </row>
    <row r="427" spans="2:6" x14ac:dyDescent="0.25">
      <c r="B427" s="39"/>
      <c r="C427" s="39"/>
      <c r="D427" s="39"/>
      <c r="E427" s="40"/>
      <c r="F427" s="40"/>
    </row>
    <row r="428" spans="2:6" x14ac:dyDescent="0.25">
      <c r="B428" s="39"/>
      <c r="C428" s="39"/>
      <c r="D428" s="39"/>
      <c r="E428" s="40"/>
      <c r="F428" s="40"/>
    </row>
    <row r="429" spans="2:6" x14ac:dyDescent="0.25">
      <c r="B429" s="39"/>
      <c r="C429" s="39"/>
      <c r="D429" s="39"/>
      <c r="E429" s="40"/>
      <c r="F429" s="40"/>
    </row>
    <row r="430" spans="2:6" x14ac:dyDescent="0.25">
      <c r="B430" s="39"/>
      <c r="C430" s="39"/>
      <c r="D430" s="39"/>
      <c r="E430" s="40"/>
      <c r="F430" s="40"/>
    </row>
    <row r="431" spans="2:6" x14ac:dyDescent="0.25">
      <c r="B431" s="39"/>
      <c r="C431" s="39"/>
      <c r="D431" s="39"/>
      <c r="E431" s="40"/>
      <c r="F431" s="40"/>
    </row>
    <row r="432" spans="2:6" x14ac:dyDescent="0.25">
      <c r="B432" s="39"/>
      <c r="C432" s="39"/>
      <c r="D432" s="39"/>
      <c r="E432" s="40"/>
      <c r="F432" s="40"/>
    </row>
    <row r="433" spans="2:6" x14ac:dyDescent="0.25">
      <c r="B433" s="39"/>
      <c r="C433" s="39"/>
      <c r="D433" s="39"/>
      <c r="E433" s="40"/>
      <c r="F433" s="40"/>
    </row>
    <row r="434" spans="2:6" x14ac:dyDescent="0.25">
      <c r="B434" s="39"/>
      <c r="C434" s="39"/>
      <c r="D434" s="39"/>
      <c r="E434" s="40"/>
      <c r="F434" s="40"/>
    </row>
    <row r="435" spans="2:6" x14ac:dyDescent="0.25">
      <c r="B435" s="39"/>
      <c r="C435" s="39"/>
      <c r="D435" s="39"/>
      <c r="E435" s="40"/>
      <c r="F435" s="40"/>
    </row>
    <row r="436" spans="2:6" x14ac:dyDescent="0.25">
      <c r="B436" s="39"/>
      <c r="C436" s="39"/>
      <c r="D436" s="39"/>
      <c r="E436" s="40"/>
      <c r="F436" s="40"/>
    </row>
    <row r="437" spans="2:6" x14ac:dyDescent="0.25">
      <c r="B437" s="39"/>
      <c r="C437" s="39"/>
      <c r="D437" s="39"/>
      <c r="E437" s="40"/>
      <c r="F437" s="40"/>
    </row>
    <row r="438" spans="2:6" x14ac:dyDescent="0.25">
      <c r="B438" s="39"/>
      <c r="C438" s="39"/>
      <c r="D438" s="39"/>
      <c r="E438" s="40"/>
      <c r="F438" s="40"/>
    </row>
    <row r="439" spans="2:6" x14ac:dyDescent="0.25">
      <c r="B439" s="39"/>
      <c r="C439" s="39"/>
      <c r="D439" s="39"/>
      <c r="E439" s="40"/>
      <c r="F439" s="40"/>
    </row>
    <row r="440" spans="2:6" x14ac:dyDescent="0.25">
      <c r="B440" s="39"/>
      <c r="C440" s="39"/>
      <c r="D440" s="39"/>
      <c r="E440" s="40"/>
      <c r="F440" s="40"/>
    </row>
    <row r="441" spans="2:6" x14ac:dyDescent="0.25">
      <c r="B441" s="39"/>
      <c r="C441" s="39"/>
      <c r="D441" s="39"/>
      <c r="E441" s="40"/>
      <c r="F441" s="40"/>
    </row>
    <row r="442" spans="2:6" x14ac:dyDescent="0.25">
      <c r="B442" s="39"/>
      <c r="C442" s="39"/>
      <c r="D442" s="39"/>
      <c r="E442" s="40"/>
      <c r="F442" s="40"/>
    </row>
    <row r="443" spans="2:6" x14ac:dyDescent="0.25">
      <c r="B443" s="39"/>
      <c r="C443" s="39"/>
      <c r="D443" s="39"/>
      <c r="E443" s="40"/>
      <c r="F443" s="40"/>
    </row>
    <row r="444" spans="2:6" x14ac:dyDescent="0.25">
      <c r="B444" s="39"/>
      <c r="C444" s="39"/>
      <c r="D444" s="39"/>
      <c r="E444" s="40"/>
      <c r="F444" s="40"/>
    </row>
    <row r="445" spans="2:6" x14ac:dyDescent="0.25">
      <c r="B445" s="39"/>
      <c r="C445" s="39"/>
      <c r="D445" s="39"/>
      <c r="E445" s="40"/>
      <c r="F445" s="40"/>
    </row>
    <row r="446" spans="2:6" x14ac:dyDescent="0.25">
      <c r="B446" s="39"/>
      <c r="C446" s="39"/>
      <c r="D446" s="39"/>
      <c r="E446" s="40"/>
      <c r="F446" s="40"/>
    </row>
    <row r="447" spans="2:6" x14ac:dyDescent="0.25">
      <c r="B447" s="39"/>
      <c r="C447" s="39"/>
      <c r="D447" s="39"/>
      <c r="E447" s="40"/>
      <c r="F447" s="40"/>
    </row>
    <row r="448" spans="2:6" x14ac:dyDescent="0.25">
      <c r="B448" s="39"/>
      <c r="C448" s="39"/>
      <c r="D448" s="39"/>
      <c r="E448" s="40"/>
      <c r="F448" s="40"/>
    </row>
    <row r="449" spans="2:6" x14ac:dyDescent="0.25">
      <c r="B449" s="39"/>
      <c r="C449" s="39"/>
      <c r="D449" s="39"/>
      <c r="E449" s="40"/>
      <c r="F449" s="40"/>
    </row>
    <row r="450" spans="2:6" x14ac:dyDescent="0.25">
      <c r="B450" s="39"/>
      <c r="C450" s="39"/>
      <c r="D450" s="39"/>
      <c r="E450" s="40"/>
      <c r="F450" s="40"/>
    </row>
    <row r="451" spans="2:6" x14ac:dyDescent="0.25">
      <c r="B451" s="39"/>
      <c r="C451" s="39"/>
      <c r="D451" s="39"/>
      <c r="E451" s="40"/>
      <c r="F451" s="40"/>
    </row>
    <row r="452" spans="2:6" x14ac:dyDescent="0.25">
      <c r="B452" s="39"/>
      <c r="C452" s="39"/>
      <c r="D452" s="39"/>
      <c r="E452" s="40"/>
      <c r="F452" s="40"/>
    </row>
    <row r="453" spans="2:6" x14ac:dyDescent="0.25">
      <c r="B453" s="39"/>
      <c r="C453" s="39"/>
      <c r="D453" s="39"/>
      <c r="E453" s="40"/>
      <c r="F453" s="40"/>
    </row>
    <row r="454" spans="2:6" x14ac:dyDescent="0.25">
      <c r="B454" s="39"/>
      <c r="C454" s="39"/>
      <c r="D454" s="39"/>
      <c r="E454" s="40"/>
      <c r="F454" s="40"/>
    </row>
    <row r="455" spans="2:6" x14ac:dyDescent="0.25">
      <c r="B455" s="39"/>
      <c r="C455" s="39"/>
      <c r="D455" s="39"/>
      <c r="E455" s="40"/>
      <c r="F455" s="40"/>
    </row>
    <row r="456" spans="2:6" x14ac:dyDescent="0.25">
      <c r="B456" s="39"/>
      <c r="C456" s="39"/>
      <c r="D456" s="39"/>
      <c r="E456" s="40"/>
      <c r="F456" s="40"/>
    </row>
    <row r="457" spans="2:6" x14ac:dyDescent="0.25">
      <c r="B457" s="39"/>
      <c r="C457" s="39"/>
      <c r="D457" s="39"/>
      <c r="E457" s="40"/>
      <c r="F457" s="40"/>
    </row>
    <row r="458" spans="2:6" x14ac:dyDescent="0.25">
      <c r="B458" s="39"/>
      <c r="C458" s="39"/>
      <c r="D458" s="39"/>
      <c r="E458" s="40"/>
      <c r="F458" s="40"/>
    </row>
    <row r="459" spans="2:6" x14ac:dyDescent="0.25">
      <c r="B459" s="39"/>
      <c r="C459" s="39"/>
      <c r="D459" s="39"/>
      <c r="E459" s="40"/>
      <c r="F459" s="40"/>
    </row>
    <row r="460" spans="2:6" x14ac:dyDescent="0.25">
      <c r="B460" s="39"/>
      <c r="C460" s="39"/>
      <c r="D460" s="39"/>
      <c r="E460" s="40"/>
      <c r="F460" s="40"/>
    </row>
    <row r="461" spans="2:6" x14ac:dyDescent="0.25">
      <c r="B461" s="39"/>
      <c r="C461" s="39"/>
      <c r="D461" s="39"/>
      <c r="E461" s="40"/>
      <c r="F461" s="40"/>
    </row>
    <row r="462" spans="2:6" x14ac:dyDescent="0.25">
      <c r="B462" s="39"/>
      <c r="C462" s="39"/>
      <c r="D462" s="39"/>
      <c r="E462" s="40"/>
      <c r="F462" s="40"/>
    </row>
    <row r="463" spans="2:6" x14ac:dyDescent="0.25">
      <c r="B463" s="39"/>
      <c r="C463" s="39"/>
      <c r="D463" s="39"/>
      <c r="E463" s="40"/>
      <c r="F463" s="40"/>
    </row>
    <row r="464" spans="2:6" x14ac:dyDescent="0.25">
      <c r="B464" s="39"/>
      <c r="C464" s="39"/>
      <c r="D464" s="39"/>
      <c r="E464" s="40"/>
      <c r="F464" s="40"/>
    </row>
    <row r="465" spans="2:6" x14ac:dyDescent="0.25">
      <c r="B465" s="39"/>
      <c r="C465" s="39"/>
      <c r="D465" s="39"/>
      <c r="E465" s="40"/>
      <c r="F465" s="40"/>
    </row>
    <row r="466" spans="2:6" x14ac:dyDescent="0.25">
      <c r="B466" s="39"/>
      <c r="C466" s="39"/>
      <c r="D466" s="39"/>
      <c r="E466" s="40"/>
      <c r="F466" s="40"/>
    </row>
    <row r="467" spans="2:6" x14ac:dyDescent="0.25">
      <c r="B467" s="39"/>
      <c r="C467" s="39"/>
      <c r="D467" s="39"/>
      <c r="E467" s="40"/>
      <c r="F467" s="40"/>
    </row>
    <row r="468" spans="2:6" x14ac:dyDescent="0.25">
      <c r="B468" s="39"/>
      <c r="C468" s="39"/>
      <c r="D468" s="39"/>
      <c r="E468" s="40"/>
      <c r="F468" s="40"/>
    </row>
    <row r="469" spans="2:6" x14ac:dyDescent="0.25">
      <c r="B469" s="39"/>
      <c r="C469" s="39"/>
      <c r="D469" s="39"/>
      <c r="E469" s="40"/>
      <c r="F469" s="40"/>
    </row>
    <row r="470" spans="2:6" x14ac:dyDescent="0.25">
      <c r="B470" s="39"/>
      <c r="C470" s="39"/>
      <c r="D470" s="39"/>
      <c r="E470" s="40"/>
      <c r="F470" s="40"/>
    </row>
    <row r="471" spans="2:6" x14ac:dyDescent="0.25">
      <c r="B471" s="39"/>
      <c r="C471" s="39"/>
      <c r="D471" s="39"/>
      <c r="E471" s="40"/>
      <c r="F471" s="40"/>
    </row>
    <row r="472" spans="2:6" x14ac:dyDescent="0.25">
      <c r="B472" s="39"/>
      <c r="C472" s="39"/>
      <c r="D472" s="39"/>
      <c r="E472" s="40"/>
      <c r="F472" s="40"/>
    </row>
    <row r="473" spans="2:6" x14ac:dyDescent="0.25">
      <c r="B473" s="39"/>
      <c r="C473" s="39"/>
      <c r="D473" s="39"/>
      <c r="E473" s="40"/>
      <c r="F473" s="40"/>
    </row>
    <row r="474" spans="2:6" x14ac:dyDescent="0.25">
      <c r="B474" s="39"/>
      <c r="C474" s="39"/>
      <c r="D474" s="39"/>
      <c r="E474" s="40"/>
      <c r="F474" s="40"/>
    </row>
    <row r="475" spans="2:6" x14ac:dyDescent="0.25">
      <c r="B475" s="39"/>
      <c r="C475" s="39"/>
      <c r="D475" s="39"/>
      <c r="E475" s="40"/>
      <c r="F475" s="40"/>
    </row>
    <row r="476" spans="2:6" x14ac:dyDescent="0.25">
      <c r="B476" s="39"/>
      <c r="C476" s="39"/>
      <c r="D476" s="39"/>
      <c r="E476" s="40"/>
      <c r="F476" s="40"/>
    </row>
    <row r="477" spans="2:6" x14ac:dyDescent="0.25">
      <c r="B477" s="39"/>
      <c r="C477" s="39"/>
      <c r="D477" s="39"/>
      <c r="E477" s="40"/>
      <c r="F477" s="40"/>
    </row>
    <row r="478" spans="2:6" x14ac:dyDescent="0.25">
      <c r="B478" s="39"/>
      <c r="C478" s="39"/>
      <c r="D478" s="39"/>
      <c r="E478" s="40"/>
      <c r="F478" s="40"/>
    </row>
    <row r="479" spans="2:6" x14ac:dyDescent="0.25">
      <c r="B479" s="39"/>
      <c r="C479" s="39"/>
      <c r="D479" s="39"/>
      <c r="E479" s="40"/>
      <c r="F479" s="40"/>
    </row>
    <row r="480" spans="2:6" x14ac:dyDescent="0.25">
      <c r="B480" s="39"/>
      <c r="C480" s="39"/>
      <c r="D480" s="39"/>
      <c r="E480" s="40"/>
      <c r="F480" s="40"/>
    </row>
    <row r="481" spans="2:6" x14ac:dyDescent="0.25">
      <c r="B481" s="39"/>
      <c r="C481" s="39"/>
      <c r="D481" s="39"/>
      <c r="E481" s="40"/>
      <c r="F481" s="40"/>
    </row>
    <row r="482" spans="2:6" x14ac:dyDescent="0.25">
      <c r="B482" s="39"/>
      <c r="C482" s="39"/>
      <c r="D482" s="39"/>
      <c r="E482" s="40"/>
      <c r="F482" s="40"/>
    </row>
    <row r="483" spans="2:6" x14ac:dyDescent="0.25">
      <c r="B483" s="39"/>
      <c r="C483" s="39"/>
      <c r="D483" s="39"/>
      <c r="E483" s="40"/>
      <c r="F483" s="40"/>
    </row>
    <row r="484" spans="2:6" x14ac:dyDescent="0.25">
      <c r="B484" s="39"/>
      <c r="C484" s="39"/>
      <c r="D484" s="39"/>
      <c r="E484" s="40"/>
      <c r="F484" s="40"/>
    </row>
    <row r="485" spans="2:6" x14ac:dyDescent="0.25">
      <c r="B485" s="39"/>
      <c r="C485" s="39"/>
      <c r="D485" s="39"/>
      <c r="E485" s="40"/>
      <c r="F485" s="40"/>
    </row>
    <row r="486" spans="2:6" x14ac:dyDescent="0.25">
      <c r="B486" s="39"/>
      <c r="C486" s="39"/>
      <c r="D486" s="39"/>
      <c r="E486" s="40"/>
      <c r="F486" s="40"/>
    </row>
    <row r="487" spans="2:6" x14ac:dyDescent="0.25">
      <c r="B487" s="39"/>
      <c r="C487" s="39"/>
      <c r="D487" s="39"/>
      <c r="E487" s="40"/>
      <c r="F487" s="40"/>
    </row>
    <row r="488" spans="2:6" x14ac:dyDescent="0.25">
      <c r="B488" s="39"/>
      <c r="C488" s="39"/>
      <c r="D488" s="39"/>
      <c r="E488" s="40"/>
      <c r="F488" s="40"/>
    </row>
    <row r="489" spans="2:6" x14ac:dyDescent="0.25">
      <c r="B489" s="39"/>
      <c r="C489" s="39"/>
      <c r="D489" s="39"/>
      <c r="E489" s="40"/>
      <c r="F489" s="40"/>
    </row>
    <row r="490" spans="2:6" x14ac:dyDescent="0.25">
      <c r="B490" s="39"/>
      <c r="C490" s="39"/>
      <c r="D490" s="39"/>
      <c r="E490" s="40"/>
      <c r="F490" s="40"/>
    </row>
    <row r="491" spans="2:6" x14ac:dyDescent="0.25">
      <c r="B491" s="39"/>
      <c r="C491" s="39"/>
      <c r="D491" s="39"/>
      <c r="E491" s="40"/>
      <c r="F491" s="40"/>
    </row>
    <row r="492" spans="2:6" x14ac:dyDescent="0.25">
      <c r="B492" s="39"/>
      <c r="C492" s="39"/>
      <c r="D492" s="39"/>
      <c r="E492" s="40"/>
      <c r="F492" s="40"/>
    </row>
    <row r="493" spans="2:6" x14ac:dyDescent="0.25">
      <c r="B493" s="39"/>
      <c r="C493" s="39"/>
      <c r="D493" s="39"/>
      <c r="E493" s="40"/>
      <c r="F493" s="40"/>
    </row>
    <row r="494" spans="2:6" x14ac:dyDescent="0.25">
      <c r="B494" s="39"/>
      <c r="C494" s="39"/>
      <c r="D494" s="39"/>
      <c r="E494" s="40"/>
      <c r="F494" s="40"/>
    </row>
    <row r="495" spans="2:6" x14ac:dyDescent="0.25">
      <c r="B495" s="39"/>
      <c r="C495" s="39"/>
      <c r="D495" s="39"/>
      <c r="E495" s="40"/>
      <c r="F495" s="40"/>
    </row>
    <row r="496" spans="2:6" x14ac:dyDescent="0.25">
      <c r="B496" s="39"/>
      <c r="C496" s="39"/>
      <c r="D496" s="39"/>
      <c r="E496" s="40"/>
      <c r="F496" s="40"/>
    </row>
    <row r="497" spans="2:6" x14ac:dyDescent="0.25">
      <c r="B497" s="39"/>
      <c r="C497" s="39"/>
      <c r="D497" s="39"/>
      <c r="E497" s="40"/>
      <c r="F497" s="40"/>
    </row>
    <row r="498" spans="2:6" x14ac:dyDescent="0.25">
      <c r="B498" s="39"/>
      <c r="C498" s="39"/>
      <c r="D498" s="39"/>
      <c r="E498" s="40"/>
      <c r="F498" s="40"/>
    </row>
    <row r="499" spans="2:6" x14ac:dyDescent="0.25">
      <c r="B499" s="39"/>
      <c r="C499" s="39"/>
      <c r="D499" s="39"/>
      <c r="E499" s="40"/>
      <c r="F499" s="40"/>
    </row>
    <row r="500" spans="2:6" x14ac:dyDescent="0.25">
      <c r="B500" s="39"/>
      <c r="C500" s="39"/>
      <c r="D500" s="39"/>
      <c r="E500" s="40"/>
      <c r="F500" s="40"/>
    </row>
    <row r="501" spans="2:6" x14ac:dyDescent="0.25">
      <c r="B501" s="39"/>
      <c r="C501" s="39"/>
      <c r="D501" s="39"/>
      <c r="E501" s="40"/>
      <c r="F501" s="40"/>
    </row>
    <row r="502" spans="2:6" x14ac:dyDescent="0.25">
      <c r="B502" s="39"/>
      <c r="C502" s="39"/>
      <c r="D502" s="39"/>
      <c r="E502" s="40"/>
      <c r="F502" s="40"/>
    </row>
    <row r="503" spans="2:6" x14ac:dyDescent="0.25">
      <c r="B503" s="39"/>
      <c r="C503" s="39"/>
      <c r="D503" s="39"/>
      <c r="E503" s="40"/>
      <c r="F503" s="40"/>
    </row>
    <row r="504" spans="2:6" x14ac:dyDescent="0.25">
      <c r="B504" s="39"/>
      <c r="C504" s="39"/>
      <c r="D504" s="39"/>
      <c r="E504" s="40"/>
      <c r="F504" s="40"/>
    </row>
    <row r="505" spans="2:6" x14ac:dyDescent="0.25">
      <c r="B505" s="39"/>
      <c r="C505" s="39"/>
      <c r="D505" s="39"/>
      <c r="E505" s="40"/>
      <c r="F505" s="40"/>
    </row>
    <row r="506" spans="2:6" x14ac:dyDescent="0.25">
      <c r="B506" s="39"/>
      <c r="C506" s="39"/>
      <c r="D506" s="39"/>
      <c r="E506" s="40"/>
      <c r="F506" s="40"/>
    </row>
    <row r="507" spans="2:6" x14ac:dyDescent="0.25">
      <c r="B507" s="39"/>
      <c r="C507" s="39"/>
      <c r="D507" s="39"/>
      <c r="E507" s="40"/>
      <c r="F507" s="40"/>
    </row>
    <row r="508" spans="2:6" x14ac:dyDescent="0.25">
      <c r="B508" s="39"/>
      <c r="C508" s="39"/>
      <c r="D508" s="39"/>
      <c r="E508" s="40"/>
      <c r="F508" s="40"/>
    </row>
    <row r="509" spans="2:6" x14ac:dyDescent="0.25">
      <c r="B509" s="39"/>
      <c r="C509" s="39"/>
      <c r="D509" s="39"/>
      <c r="E509" s="40"/>
      <c r="F509" s="40"/>
    </row>
    <row r="510" spans="2:6" x14ac:dyDescent="0.25">
      <c r="B510" s="39"/>
      <c r="C510" s="39"/>
      <c r="D510" s="39"/>
      <c r="E510" s="40"/>
      <c r="F510" s="40"/>
    </row>
    <row r="511" spans="2:6" x14ac:dyDescent="0.25">
      <c r="B511" s="39"/>
      <c r="C511" s="39"/>
      <c r="D511" s="39"/>
      <c r="E511" s="40"/>
      <c r="F511" s="40"/>
    </row>
    <row r="512" spans="2:6" x14ac:dyDescent="0.25">
      <c r="B512" s="39"/>
      <c r="C512" s="39"/>
      <c r="D512" s="39"/>
      <c r="E512" s="40"/>
      <c r="F512" s="40"/>
    </row>
    <row r="513" spans="2:6" x14ac:dyDescent="0.25">
      <c r="B513" s="39"/>
      <c r="C513" s="39"/>
      <c r="D513" s="39"/>
      <c r="E513" s="40"/>
      <c r="F513" s="40"/>
    </row>
    <row r="514" spans="2:6" x14ac:dyDescent="0.25">
      <c r="B514" s="39"/>
      <c r="C514" s="39"/>
      <c r="D514" s="39"/>
      <c r="E514" s="40"/>
      <c r="F514" s="40"/>
    </row>
    <row r="515" spans="2:6" x14ac:dyDescent="0.25">
      <c r="B515" s="39"/>
      <c r="C515" s="39"/>
      <c r="D515" s="39"/>
      <c r="E515" s="40"/>
      <c r="F515" s="40"/>
    </row>
    <row r="516" spans="2:6" x14ac:dyDescent="0.25">
      <c r="B516" s="39"/>
      <c r="C516" s="39"/>
      <c r="D516" s="39"/>
      <c r="E516" s="40"/>
      <c r="F516" s="40"/>
    </row>
    <row r="517" spans="2:6" x14ac:dyDescent="0.25">
      <c r="B517" s="39"/>
      <c r="C517" s="39"/>
      <c r="D517" s="39"/>
      <c r="E517" s="40"/>
      <c r="F517" s="40"/>
    </row>
    <row r="518" spans="2:6" x14ac:dyDescent="0.25">
      <c r="B518" s="39"/>
      <c r="C518" s="39"/>
      <c r="D518" s="39"/>
      <c r="E518" s="40"/>
      <c r="F518" s="40"/>
    </row>
    <row r="519" spans="2:6" x14ac:dyDescent="0.25">
      <c r="B519" s="39"/>
      <c r="C519" s="39"/>
      <c r="D519" s="39"/>
      <c r="E519" s="40"/>
      <c r="F519" s="40"/>
    </row>
    <row r="520" spans="2:6" x14ac:dyDescent="0.25">
      <c r="B520" s="39"/>
      <c r="C520" s="39"/>
      <c r="D520" s="39"/>
      <c r="E520" s="40"/>
      <c r="F520" s="40"/>
    </row>
    <row r="521" spans="2:6" x14ac:dyDescent="0.25">
      <c r="B521" s="39"/>
      <c r="C521" s="39"/>
      <c r="D521" s="39"/>
      <c r="E521" s="40"/>
      <c r="F521" s="40"/>
    </row>
    <row r="522" spans="2:6" x14ac:dyDescent="0.25">
      <c r="B522" s="39"/>
      <c r="C522" s="39"/>
      <c r="D522" s="39"/>
      <c r="E522" s="40"/>
      <c r="F522" s="40"/>
    </row>
    <row r="523" spans="2:6" x14ac:dyDescent="0.25">
      <c r="B523" s="39"/>
      <c r="C523" s="39"/>
      <c r="D523" s="39"/>
      <c r="E523" s="40"/>
      <c r="F523" s="40"/>
    </row>
    <row r="524" spans="2:6" x14ac:dyDescent="0.25">
      <c r="B524" s="39"/>
      <c r="C524" s="39"/>
      <c r="D524" s="39"/>
      <c r="E524" s="40"/>
      <c r="F524" s="40"/>
    </row>
    <row r="525" spans="2:6" x14ac:dyDescent="0.25">
      <c r="B525" s="39"/>
      <c r="C525" s="39"/>
      <c r="D525" s="39"/>
      <c r="E525" s="40"/>
      <c r="F525" s="40"/>
    </row>
    <row r="526" spans="2:6" x14ac:dyDescent="0.25">
      <c r="B526" s="39"/>
      <c r="C526" s="39"/>
      <c r="D526" s="39"/>
      <c r="E526" s="40"/>
      <c r="F526" s="40"/>
    </row>
    <row r="527" spans="2:6" x14ac:dyDescent="0.25">
      <c r="B527" s="39"/>
      <c r="C527" s="39"/>
      <c r="D527" s="39"/>
      <c r="E527" s="40"/>
      <c r="F527" s="40"/>
    </row>
    <row r="528" spans="2:6" x14ac:dyDescent="0.25">
      <c r="B528" s="39"/>
      <c r="C528" s="39"/>
      <c r="D528" s="39"/>
      <c r="E528" s="40"/>
      <c r="F528" s="40"/>
    </row>
    <row r="529" spans="2:6" x14ac:dyDescent="0.25">
      <c r="B529" s="39"/>
      <c r="C529" s="39"/>
      <c r="D529" s="39"/>
      <c r="E529" s="40"/>
      <c r="F529" s="40"/>
    </row>
    <row r="530" spans="2:6" x14ac:dyDescent="0.25">
      <c r="B530" s="39"/>
      <c r="C530" s="39"/>
      <c r="D530" s="39"/>
      <c r="E530" s="40"/>
      <c r="F530" s="40"/>
    </row>
    <row r="531" spans="2:6" x14ac:dyDescent="0.25">
      <c r="B531" s="39"/>
      <c r="C531" s="39"/>
      <c r="D531" s="39"/>
      <c r="E531" s="40"/>
      <c r="F531" s="40"/>
    </row>
    <row r="532" spans="2:6" x14ac:dyDescent="0.25">
      <c r="B532" s="39"/>
      <c r="C532" s="39"/>
      <c r="D532" s="39"/>
      <c r="E532" s="40"/>
      <c r="F532" s="40"/>
    </row>
    <row r="533" spans="2:6" x14ac:dyDescent="0.25">
      <c r="B533" s="39"/>
      <c r="C533" s="39"/>
      <c r="D533" s="39"/>
      <c r="E533" s="40"/>
      <c r="F533" s="40"/>
    </row>
    <row r="534" spans="2:6" x14ac:dyDescent="0.25">
      <c r="B534" s="39"/>
      <c r="C534" s="39"/>
      <c r="D534" s="39"/>
      <c r="E534" s="40"/>
      <c r="F534" s="40"/>
    </row>
    <row r="535" spans="2:6" x14ac:dyDescent="0.25">
      <c r="B535" s="39"/>
      <c r="C535" s="39"/>
      <c r="D535" s="39"/>
      <c r="E535" s="40"/>
      <c r="F535" s="40"/>
    </row>
    <row r="536" spans="2:6" x14ac:dyDescent="0.25">
      <c r="B536" s="39"/>
      <c r="C536" s="39"/>
      <c r="D536" s="39"/>
      <c r="E536" s="40"/>
      <c r="F536" s="40"/>
    </row>
    <row r="537" spans="2:6" x14ac:dyDescent="0.25">
      <c r="B537" s="39"/>
      <c r="C537" s="39"/>
      <c r="D537" s="39"/>
      <c r="E537" s="40"/>
      <c r="F537" s="40"/>
    </row>
    <row r="538" spans="2:6" x14ac:dyDescent="0.25">
      <c r="B538" s="39"/>
      <c r="C538" s="39"/>
      <c r="D538" s="39"/>
      <c r="E538" s="40"/>
      <c r="F538" s="40"/>
    </row>
    <row r="539" spans="2:6" x14ac:dyDescent="0.25">
      <c r="B539" s="39"/>
      <c r="C539" s="39"/>
      <c r="D539" s="39"/>
      <c r="E539" s="40"/>
      <c r="F539" s="40"/>
    </row>
    <row r="540" spans="2:6" x14ac:dyDescent="0.25">
      <c r="B540" s="39"/>
      <c r="C540" s="39"/>
      <c r="D540" s="39"/>
      <c r="E540" s="40"/>
      <c r="F540" s="40"/>
    </row>
    <row r="541" spans="2:6" x14ac:dyDescent="0.25">
      <c r="B541" s="39"/>
      <c r="C541" s="39"/>
      <c r="D541" s="39"/>
      <c r="E541" s="40"/>
      <c r="F541" s="40"/>
    </row>
    <row r="542" spans="2:6" x14ac:dyDescent="0.25">
      <c r="B542" s="39"/>
      <c r="C542" s="39"/>
      <c r="D542" s="39"/>
      <c r="E542" s="40"/>
      <c r="F542" s="40"/>
    </row>
    <row r="543" spans="2:6" x14ac:dyDescent="0.25">
      <c r="B543" s="39"/>
      <c r="C543" s="39"/>
      <c r="D543" s="39"/>
      <c r="E543" s="40"/>
      <c r="F543" s="40"/>
    </row>
    <row r="544" spans="2:6" x14ac:dyDescent="0.25">
      <c r="B544" s="39"/>
      <c r="C544" s="39"/>
      <c r="D544" s="39"/>
      <c r="E544" s="40"/>
      <c r="F544" s="40"/>
    </row>
    <row r="545" spans="2:6" x14ac:dyDescent="0.25">
      <c r="B545" s="39"/>
      <c r="C545" s="39"/>
      <c r="D545" s="39"/>
      <c r="E545" s="40"/>
      <c r="F545" s="40"/>
    </row>
    <row r="546" spans="2:6" x14ac:dyDescent="0.25">
      <c r="B546" s="39"/>
      <c r="C546" s="39"/>
      <c r="D546" s="39"/>
      <c r="E546" s="40"/>
      <c r="F546" s="40"/>
    </row>
    <row r="547" spans="2:6" x14ac:dyDescent="0.25">
      <c r="B547" s="39"/>
      <c r="C547" s="39"/>
      <c r="D547" s="39"/>
      <c r="E547" s="40"/>
      <c r="F547" s="40"/>
    </row>
    <row r="548" spans="2:6" x14ac:dyDescent="0.25">
      <c r="B548" s="39"/>
      <c r="C548" s="39"/>
      <c r="D548" s="39"/>
      <c r="E548" s="40"/>
      <c r="F548" s="40"/>
    </row>
    <row r="549" spans="2:6" x14ac:dyDescent="0.25">
      <c r="B549" s="39"/>
      <c r="C549" s="39"/>
      <c r="D549" s="39"/>
      <c r="E549" s="40"/>
      <c r="F549" s="40"/>
    </row>
    <row r="550" spans="2:6" x14ac:dyDescent="0.25">
      <c r="B550" s="39"/>
      <c r="C550" s="39"/>
      <c r="D550" s="39"/>
      <c r="E550" s="40"/>
      <c r="F550" s="40"/>
    </row>
    <row r="551" spans="2:6" x14ac:dyDescent="0.25">
      <c r="B551" s="39"/>
      <c r="C551" s="39"/>
      <c r="D551" s="39"/>
      <c r="E551" s="40"/>
      <c r="F551" s="40"/>
    </row>
    <row r="552" spans="2:6" x14ac:dyDescent="0.25">
      <c r="B552" s="39"/>
      <c r="C552" s="39"/>
      <c r="D552" s="39"/>
      <c r="E552" s="40"/>
      <c r="F552" s="40"/>
    </row>
    <row r="553" spans="2:6" x14ac:dyDescent="0.25">
      <c r="B553" s="39"/>
      <c r="C553" s="39"/>
      <c r="D553" s="39"/>
      <c r="E553" s="40"/>
      <c r="F553" s="40"/>
    </row>
    <row r="554" spans="2:6" x14ac:dyDescent="0.25">
      <c r="B554" s="39"/>
      <c r="C554" s="39"/>
      <c r="D554" s="39"/>
      <c r="E554" s="40"/>
      <c r="F554" s="40"/>
    </row>
    <row r="555" spans="2:6" x14ac:dyDescent="0.25">
      <c r="B555" s="39"/>
      <c r="C555" s="39"/>
      <c r="D555" s="39"/>
      <c r="E555" s="40"/>
      <c r="F555" s="40"/>
    </row>
    <row r="556" spans="2:6" x14ac:dyDescent="0.25">
      <c r="B556" s="39"/>
      <c r="C556" s="39"/>
      <c r="D556" s="39"/>
      <c r="E556" s="40"/>
      <c r="F556" s="40"/>
    </row>
    <row r="557" spans="2:6" x14ac:dyDescent="0.25">
      <c r="B557" s="39"/>
      <c r="C557" s="39"/>
      <c r="D557" s="39"/>
      <c r="E557" s="40"/>
      <c r="F557" s="40"/>
    </row>
    <row r="558" spans="2:6" x14ac:dyDescent="0.25">
      <c r="B558" s="39"/>
      <c r="C558" s="39"/>
      <c r="D558" s="39"/>
      <c r="E558" s="40"/>
      <c r="F558" s="40"/>
    </row>
    <row r="559" spans="2:6" x14ac:dyDescent="0.25">
      <c r="B559" s="39"/>
      <c r="C559" s="39"/>
      <c r="D559" s="39"/>
      <c r="E559" s="40"/>
      <c r="F559" s="40"/>
    </row>
    <row r="560" spans="2:6" x14ac:dyDescent="0.25">
      <c r="B560" s="39"/>
      <c r="C560" s="39"/>
      <c r="D560" s="39"/>
      <c r="E560" s="40"/>
      <c r="F560" s="40"/>
    </row>
    <row r="561" spans="2:6" x14ac:dyDescent="0.25">
      <c r="B561" s="39"/>
      <c r="C561" s="39"/>
      <c r="D561" s="39"/>
      <c r="E561" s="40"/>
      <c r="F561" s="40"/>
    </row>
    <row r="562" spans="2:6" x14ac:dyDescent="0.25">
      <c r="B562" s="39"/>
      <c r="C562" s="39"/>
      <c r="D562" s="39"/>
      <c r="E562" s="40"/>
      <c r="F562" s="40"/>
    </row>
    <row r="563" spans="2:6" x14ac:dyDescent="0.25">
      <c r="B563" s="39"/>
      <c r="C563" s="39"/>
      <c r="D563" s="39"/>
      <c r="E563" s="40"/>
      <c r="F563" s="40"/>
    </row>
    <row r="564" spans="2:6" x14ac:dyDescent="0.25">
      <c r="B564" s="39"/>
      <c r="C564" s="39"/>
      <c r="D564" s="39"/>
      <c r="E564" s="40"/>
      <c r="F564" s="40"/>
    </row>
    <row r="565" spans="2:6" x14ac:dyDescent="0.25">
      <c r="B565" s="39"/>
      <c r="C565" s="39"/>
      <c r="D565" s="39"/>
      <c r="E565" s="40"/>
      <c r="F565" s="40"/>
    </row>
    <row r="566" spans="2:6" x14ac:dyDescent="0.25">
      <c r="B566" s="39"/>
      <c r="C566" s="39"/>
      <c r="D566" s="39"/>
      <c r="E566" s="40"/>
      <c r="F566" s="40"/>
    </row>
    <row r="567" spans="2:6" x14ac:dyDescent="0.25">
      <c r="B567" s="39"/>
      <c r="C567" s="39"/>
      <c r="D567" s="39"/>
      <c r="E567" s="40"/>
      <c r="F567" s="40"/>
    </row>
    <row r="568" spans="2:6" x14ac:dyDescent="0.25">
      <c r="B568" s="39"/>
      <c r="C568" s="39"/>
      <c r="D568" s="39"/>
      <c r="E568" s="40"/>
      <c r="F568" s="40"/>
    </row>
    <row r="569" spans="2:6" x14ac:dyDescent="0.25">
      <c r="B569" s="39"/>
      <c r="C569" s="39"/>
      <c r="D569" s="39"/>
      <c r="E569" s="40"/>
      <c r="F569" s="40"/>
    </row>
    <row r="570" spans="2:6" x14ac:dyDescent="0.25">
      <c r="B570" s="39"/>
      <c r="C570" s="39"/>
      <c r="D570" s="39"/>
      <c r="E570" s="40"/>
      <c r="F570" s="40"/>
    </row>
    <row r="571" spans="2:6" x14ac:dyDescent="0.25">
      <c r="B571" s="39"/>
      <c r="C571" s="39"/>
      <c r="D571" s="39"/>
      <c r="E571" s="40"/>
      <c r="F571" s="40"/>
    </row>
    <row r="572" spans="2:6" x14ac:dyDescent="0.25">
      <c r="B572" s="39"/>
      <c r="C572" s="39"/>
      <c r="D572" s="39"/>
      <c r="E572" s="40"/>
      <c r="F572" s="40"/>
    </row>
    <row r="573" spans="2:6" x14ac:dyDescent="0.25">
      <c r="B573" s="39"/>
      <c r="C573" s="39"/>
      <c r="D573" s="39"/>
      <c r="E573" s="40"/>
      <c r="F573" s="40"/>
    </row>
    <row r="574" spans="2:6" x14ac:dyDescent="0.25">
      <c r="B574" s="39"/>
      <c r="C574" s="39"/>
      <c r="D574" s="39"/>
      <c r="E574" s="40"/>
      <c r="F574" s="40"/>
    </row>
    <row r="575" spans="2:6" x14ac:dyDescent="0.25">
      <c r="B575" s="39"/>
      <c r="C575" s="39"/>
      <c r="D575" s="39"/>
      <c r="E575" s="40"/>
      <c r="F575" s="40"/>
    </row>
    <row r="576" spans="2:6" x14ac:dyDescent="0.25">
      <c r="B576" s="39"/>
      <c r="C576" s="39"/>
      <c r="D576" s="39"/>
      <c r="E576" s="40"/>
      <c r="F576" s="40"/>
    </row>
    <row r="577" spans="2:6" x14ac:dyDescent="0.25">
      <c r="B577" s="39"/>
      <c r="C577" s="39"/>
      <c r="D577" s="39"/>
      <c r="E577" s="40"/>
      <c r="F577" s="40"/>
    </row>
    <row r="578" spans="2:6" x14ac:dyDescent="0.25">
      <c r="B578" s="39"/>
      <c r="C578" s="39"/>
      <c r="D578" s="39"/>
      <c r="E578" s="40"/>
      <c r="F578" s="40"/>
    </row>
    <row r="579" spans="2:6" x14ac:dyDescent="0.25">
      <c r="B579" s="39"/>
      <c r="C579" s="39"/>
      <c r="D579" s="39"/>
      <c r="E579" s="40"/>
      <c r="F579" s="40"/>
    </row>
    <row r="580" spans="2:6" x14ac:dyDescent="0.25">
      <c r="B580" s="39"/>
      <c r="C580" s="39"/>
      <c r="D580" s="39"/>
      <c r="E580" s="40"/>
      <c r="F580" s="40"/>
    </row>
    <row r="581" spans="2:6" x14ac:dyDescent="0.25">
      <c r="B581" s="39"/>
      <c r="C581" s="39"/>
      <c r="D581" s="39"/>
      <c r="E581" s="40"/>
      <c r="F581" s="40"/>
    </row>
    <row r="582" spans="2:6" x14ac:dyDescent="0.25">
      <c r="B582" s="39"/>
      <c r="C582" s="39"/>
      <c r="D582" s="39"/>
      <c r="E582" s="40"/>
      <c r="F582" s="40"/>
    </row>
    <row r="583" spans="2:6" x14ac:dyDescent="0.25">
      <c r="B583" s="39"/>
      <c r="C583" s="39"/>
      <c r="D583" s="39"/>
      <c r="E583" s="40"/>
      <c r="F583" s="40"/>
    </row>
    <row r="584" spans="2:6" x14ac:dyDescent="0.25">
      <c r="B584" s="39"/>
      <c r="C584" s="39"/>
      <c r="D584" s="39"/>
      <c r="E584" s="40"/>
      <c r="F584" s="40"/>
    </row>
    <row r="585" spans="2:6" x14ac:dyDescent="0.25">
      <c r="B585" s="39"/>
      <c r="C585" s="39"/>
      <c r="D585" s="39"/>
      <c r="E585" s="40"/>
      <c r="F585" s="40"/>
    </row>
    <row r="586" spans="2:6" x14ac:dyDescent="0.25">
      <c r="B586" s="39"/>
      <c r="C586" s="39"/>
      <c r="D586" s="39"/>
      <c r="E586" s="40"/>
      <c r="F586" s="40"/>
    </row>
    <row r="587" spans="2:6" x14ac:dyDescent="0.25">
      <c r="B587" s="39"/>
      <c r="C587" s="39"/>
      <c r="D587" s="39"/>
      <c r="E587" s="40"/>
      <c r="F587" s="40"/>
    </row>
    <row r="588" spans="2:6" x14ac:dyDescent="0.25">
      <c r="B588" s="39"/>
      <c r="C588" s="39"/>
      <c r="D588" s="39"/>
      <c r="E588" s="40"/>
      <c r="F588" s="40"/>
    </row>
    <row r="589" spans="2:6" x14ac:dyDescent="0.25">
      <c r="B589" s="39"/>
      <c r="C589" s="39"/>
      <c r="D589" s="39"/>
      <c r="E589" s="40"/>
      <c r="F589" s="40"/>
    </row>
    <row r="590" spans="2:6" x14ac:dyDescent="0.25">
      <c r="B590" s="39"/>
      <c r="C590" s="39"/>
      <c r="D590" s="39"/>
      <c r="E590" s="40"/>
      <c r="F590" s="40"/>
    </row>
    <row r="591" spans="2:6" x14ac:dyDescent="0.25">
      <c r="B591" s="39"/>
      <c r="C591" s="39"/>
      <c r="D591" s="39"/>
      <c r="E591" s="40"/>
      <c r="F591" s="40"/>
    </row>
    <row r="592" spans="2:6" x14ac:dyDescent="0.25">
      <c r="B592" s="39"/>
      <c r="C592" s="39"/>
      <c r="D592" s="39"/>
      <c r="E592" s="40"/>
      <c r="F592" s="40"/>
    </row>
    <row r="593" spans="2:6" x14ac:dyDescent="0.25">
      <c r="B593" s="39"/>
      <c r="C593" s="39"/>
      <c r="D593" s="39"/>
      <c r="E593" s="40"/>
      <c r="F593" s="40"/>
    </row>
    <row r="594" spans="2:6" x14ac:dyDescent="0.25">
      <c r="B594" s="39"/>
      <c r="C594" s="39"/>
      <c r="D594" s="39"/>
      <c r="E594" s="40"/>
      <c r="F594" s="40"/>
    </row>
    <row r="595" spans="2:6" x14ac:dyDescent="0.25">
      <c r="B595" s="39"/>
      <c r="C595" s="39"/>
      <c r="D595" s="39"/>
      <c r="E595" s="40"/>
      <c r="F595" s="40"/>
    </row>
    <row r="596" spans="2:6" x14ac:dyDescent="0.25">
      <c r="B596" s="39"/>
      <c r="C596" s="39"/>
      <c r="D596" s="39"/>
      <c r="E596" s="40"/>
      <c r="F596" s="40"/>
    </row>
    <row r="597" spans="2:6" x14ac:dyDescent="0.25">
      <c r="B597" s="39"/>
      <c r="C597" s="39"/>
      <c r="D597" s="39"/>
      <c r="E597" s="40"/>
      <c r="F597" s="40"/>
    </row>
    <row r="598" spans="2:6" x14ac:dyDescent="0.25">
      <c r="B598" s="39"/>
      <c r="C598" s="39"/>
      <c r="D598" s="39"/>
      <c r="E598" s="40"/>
      <c r="F598" s="40"/>
    </row>
    <row r="599" spans="2:6" x14ac:dyDescent="0.25">
      <c r="B599" s="39"/>
      <c r="C599" s="39"/>
      <c r="D599" s="39"/>
      <c r="E599" s="40"/>
      <c r="F599" s="40"/>
    </row>
    <row r="600" spans="2:6" x14ac:dyDescent="0.25">
      <c r="B600" s="39"/>
      <c r="C600" s="39"/>
      <c r="D600" s="39"/>
      <c r="E600" s="40"/>
      <c r="F600" s="40"/>
    </row>
    <row r="601" spans="2:6" x14ac:dyDescent="0.25">
      <c r="B601" s="39"/>
      <c r="C601" s="39"/>
      <c r="D601" s="39"/>
      <c r="E601" s="40"/>
      <c r="F601" s="40"/>
    </row>
    <row r="602" spans="2:6" x14ac:dyDescent="0.25">
      <c r="B602" s="39"/>
      <c r="C602" s="39"/>
      <c r="D602" s="39"/>
      <c r="E602" s="40"/>
      <c r="F602" s="40"/>
    </row>
    <row r="603" spans="2:6" x14ac:dyDescent="0.25">
      <c r="B603" s="39"/>
      <c r="C603" s="39"/>
      <c r="D603" s="39"/>
      <c r="E603" s="40"/>
      <c r="F603" s="40"/>
    </row>
    <row r="604" spans="2:6" x14ac:dyDescent="0.25">
      <c r="B604" s="39"/>
      <c r="C604" s="39"/>
      <c r="D604" s="39"/>
      <c r="E604" s="40"/>
      <c r="F604" s="40"/>
    </row>
    <row r="605" spans="2:6" x14ac:dyDescent="0.25">
      <c r="B605" s="39"/>
      <c r="C605" s="39"/>
      <c r="D605" s="39"/>
      <c r="E605" s="40"/>
      <c r="F605" s="40"/>
    </row>
    <row r="606" spans="2:6" x14ac:dyDescent="0.25">
      <c r="B606" s="39"/>
      <c r="C606" s="39"/>
      <c r="D606" s="39"/>
      <c r="E606" s="40"/>
      <c r="F606" s="40"/>
    </row>
    <row r="607" spans="2:6" x14ac:dyDescent="0.25">
      <c r="B607" s="39"/>
      <c r="C607" s="39"/>
      <c r="D607" s="39"/>
      <c r="E607" s="40"/>
      <c r="F607" s="40"/>
    </row>
    <row r="608" spans="2:6" x14ac:dyDescent="0.25">
      <c r="B608" s="39"/>
      <c r="C608" s="39"/>
      <c r="D608" s="39"/>
      <c r="E608" s="40"/>
      <c r="F608" s="40"/>
    </row>
    <row r="609" spans="2:6" x14ac:dyDescent="0.25">
      <c r="B609" s="39"/>
      <c r="C609" s="39"/>
      <c r="D609" s="39"/>
      <c r="E609" s="40"/>
      <c r="F609" s="40"/>
    </row>
    <row r="610" spans="2:6" x14ac:dyDescent="0.25">
      <c r="B610" s="39"/>
      <c r="C610" s="39"/>
      <c r="D610" s="39"/>
      <c r="E610" s="40"/>
      <c r="F610" s="40"/>
    </row>
    <row r="611" spans="2:6" x14ac:dyDescent="0.25">
      <c r="B611" s="39"/>
      <c r="C611" s="39"/>
      <c r="D611" s="39"/>
      <c r="E611" s="40"/>
      <c r="F611" s="40"/>
    </row>
    <row r="612" spans="2:6" x14ac:dyDescent="0.25">
      <c r="B612" s="39"/>
      <c r="C612" s="39"/>
      <c r="D612" s="39"/>
      <c r="E612" s="40"/>
      <c r="F612" s="40"/>
    </row>
    <row r="613" spans="2:6" x14ac:dyDescent="0.25">
      <c r="B613" s="39"/>
      <c r="C613" s="39"/>
      <c r="D613" s="39"/>
      <c r="E613" s="40"/>
      <c r="F613" s="40"/>
    </row>
    <row r="614" spans="2:6" x14ac:dyDescent="0.25">
      <c r="B614" s="39"/>
      <c r="C614" s="39"/>
      <c r="D614" s="39"/>
      <c r="E614" s="40"/>
      <c r="F614" s="40"/>
    </row>
    <row r="615" spans="2:6" x14ac:dyDescent="0.25">
      <c r="B615" s="39"/>
      <c r="C615" s="39"/>
      <c r="D615" s="39"/>
      <c r="E615" s="40"/>
      <c r="F615" s="40"/>
    </row>
    <row r="616" spans="2:6" x14ac:dyDescent="0.25">
      <c r="B616" s="39"/>
      <c r="C616" s="39"/>
      <c r="D616" s="39"/>
      <c r="E616" s="40"/>
      <c r="F616" s="40"/>
    </row>
    <row r="617" spans="2:6" x14ac:dyDescent="0.25">
      <c r="B617" s="39"/>
      <c r="C617" s="39"/>
      <c r="D617" s="39"/>
      <c r="E617" s="40"/>
      <c r="F617" s="40"/>
    </row>
    <row r="618" spans="2:6" x14ac:dyDescent="0.25">
      <c r="B618" s="39"/>
      <c r="C618" s="39"/>
      <c r="D618" s="39"/>
      <c r="E618" s="40"/>
      <c r="F618" s="40"/>
    </row>
    <row r="619" spans="2:6" x14ac:dyDescent="0.25">
      <c r="B619" s="39"/>
      <c r="C619" s="39"/>
      <c r="D619" s="39"/>
      <c r="E619" s="40"/>
      <c r="F619" s="40"/>
    </row>
    <row r="620" spans="2:6" x14ac:dyDescent="0.25">
      <c r="B620" s="39"/>
      <c r="C620" s="39"/>
      <c r="D620" s="39"/>
      <c r="E620" s="40"/>
      <c r="F620" s="40"/>
    </row>
    <row r="621" spans="2:6" x14ac:dyDescent="0.25">
      <c r="B621" s="39"/>
      <c r="C621" s="39"/>
      <c r="D621" s="39"/>
      <c r="E621" s="40"/>
      <c r="F621" s="40"/>
    </row>
    <row r="622" spans="2:6" x14ac:dyDescent="0.25">
      <c r="B622" s="39"/>
      <c r="C622" s="39"/>
      <c r="D622" s="39"/>
      <c r="E622" s="40"/>
      <c r="F622" s="40"/>
    </row>
    <row r="623" spans="2:6" x14ac:dyDescent="0.25">
      <c r="B623" s="39"/>
      <c r="C623" s="39"/>
      <c r="D623" s="39"/>
      <c r="E623" s="40"/>
      <c r="F623" s="40"/>
    </row>
    <row r="624" spans="2:6" x14ac:dyDescent="0.25">
      <c r="B624" s="39"/>
      <c r="C624" s="39"/>
      <c r="D624" s="39"/>
      <c r="E624" s="40"/>
      <c r="F624" s="40"/>
    </row>
    <row r="625" spans="2:6" x14ac:dyDescent="0.25">
      <c r="B625" s="39"/>
      <c r="C625" s="39"/>
      <c r="D625" s="39"/>
      <c r="E625" s="40"/>
      <c r="F625" s="40"/>
    </row>
    <row r="626" spans="2:6" x14ac:dyDescent="0.25">
      <c r="B626" s="39"/>
      <c r="C626" s="39"/>
      <c r="D626" s="39"/>
      <c r="E626" s="40"/>
      <c r="F626" s="40"/>
    </row>
    <row r="627" spans="2:6" x14ac:dyDescent="0.25">
      <c r="B627" s="39"/>
      <c r="C627" s="39"/>
      <c r="D627" s="39"/>
      <c r="E627" s="40"/>
      <c r="F627" s="40"/>
    </row>
    <row r="628" spans="2:6" x14ac:dyDescent="0.25">
      <c r="B628" s="39"/>
      <c r="C628" s="39"/>
      <c r="D628" s="39"/>
      <c r="E628" s="40"/>
      <c r="F628" s="40"/>
    </row>
    <row r="629" spans="2:6" x14ac:dyDescent="0.25">
      <c r="B629" s="39"/>
      <c r="C629" s="39"/>
      <c r="D629" s="39"/>
      <c r="E629" s="40"/>
      <c r="F629" s="40"/>
    </row>
    <row r="630" spans="2:6" x14ac:dyDescent="0.25">
      <c r="B630" s="39"/>
      <c r="C630" s="39"/>
      <c r="D630" s="39"/>
      <c r="E630" s="40"/>
      <c r="F630" s="40"/>
    </row>
    <row r="631" spans="2:6" x14ac:dyDescent="0.25">
      <c r="B631" s="39"/>
      <c r="C631" s="39"/>
      <c r="D631" s="39"/>
      <c r="E631" s="40"/>
      <c r="F631" s="40"/>
    </row>
    <row r="632" spans="2:6" x14ac:dyDescent="0.25">
      <c r="B632" s="39"/>
      <c r="C632" s="39"/>
      <c r="D632" s="39"/>
      <c r="E632" s="40"/>
      <c r="F632" s="40"/>
    </row>
    <row r="633" spans="2:6" x14ac:dyDescent="0.25">
      <c r="B633" s="39"/>
      <c r="C633" s="39"/>
      <c r="D633" s="39"/>
      <c r="E633" s="40"/>
      <c r="F633" s="40"/>
    </row>
    <row r="634" spans="2:6" x14ac:dyDescent="0.25">
      <c r="B634" s="39"/>
      <c r="C634" s="39"/>
      <c r="D634" s="39"/>
      <c r="E634" s="40"/>
      <c r="F634" s="40"/>
    </row>
    <row r="635" spans="2:6" x14ac:dyDescent="0.25">
      <c r="B635" s="39"/>
      <c r="C635" s="39"/>
      <c r="D635" s="39"/>
      <c r="E635" s="40"/>
      <c r="F635" s="40"/>
    </row>
    <row r="636" spans="2:6" x14ac:dyDescent="0.25">
      <c r="B636" s="39"/>
      <c r="C636" s="39"/>
      <c r="D636" s="39"/>
      <c r="E636" s="40"/>
      <c r="F636" s="40"/>
    </row>
    <row r="637" spans="2:6" x14ac:dyDescent="0.25">
      <c r="B637" s="39"/>
      <c r="C637" s="39"/>
      <c r="D637" s="39"/>
      <c r="E637" s="40"/>
      <c r="F637" s="40"/>
    </row>
    <row r="638" spans="2:6" x14ac:dyDescent="0.25">
      <c r="B638" s="39"/>
      <c r="C638" s="39"/>
      <c r="D638" s="39"/>
      <c r="E638" s="40"/>
      <c r="F638" s="40"/>
    </row>
    <row r="639" spans="2:6" x14ac:dyDescent="0.25">
      <c r="B639" s="39"/>
      <c r="C639" s="39"/>
      <c r="D639" s="39"/>
      <c r="E639" s="40"/>
      <c r="F639" s="40"/>
    </row>
    <row r="640" spans="2:6" x14ac:dyDescent="0.25">
      <c r="B640" s="39"/>
      <c r="C640" s="39"/>
      <c r="D640" s="39"/>
      <c r="E640" s="40"/>
      <c r="F640" s="40"/>
    </row>
    <row r="641" spans="2:6" x14ac:dyDescent="0.25">
      <c r="B641" s="39"/>
      <c r="C641" s="39"/>
      <c r="D641" s="39"/>
      <c r="E641" s="40"/>
      <c r="F641" s="40"/>
    </row>
    <row r="642" spans="2:6" x14ac:dyDescent="0.25">
      <c r="B642" s="39"/>
      <c r="C642" s="39"/>
      <c r="D642" s="39"/>
      <c r="E642" s="40"/>
      <c r="F642" s="40"/>
    </row>
    <row r="643" spans="2:6" x14ac:dyDescent="0.25">
      <c r="B643" s="39"/>
      <c r="C643" s="39"/>
      <c r="D643" s="39"/>
      <c r="E643" s="40"/>
      <c r="F643" s="40"/>
    </row>
    <row r="644" spans="2:6" x14ac:dyDescent="0.25">
      <c r="B644" s="39"/>
      <c r="C644" s="39"/>
      <c r="D644" s="39"/>
      <c r="E644" s="40"/>
      <c r="F644" s="40"/>
    </row>
    <row r="645" spans="2:6" x14ac:dyDescent="0.25">
      <c r="B645" s="39"/>
      <c r="C645" s="39"/>
      <c r="D645" s="39"/>
      <c r="E645" s="40"/>
      <c r="F645" s="40"/>
    </row>
    <row r="646" spans="2:6" x14ac:dyDescent="0.25">
      <c r="B646" s="39"/>
      <c r="C646" s="39"/>
      <c r="D646" s="39"/>
      <c r="E646" s="40"/>
      <c r="F646" s="40"/>
    </row>
    <row r="647" spans="2:6" x14ac:dyDescent="0.25">
      <c r="B647" s="39"/>
      <c r="C647" s="39"/>
      <c r="D647" s="39"/>
      <c r="E647" s="40"/>
      <c r="F647" s="40"/>
    </row>
    <row r="648" spans="2:6" x14ac:dyDescent="0.25">
      <c r="B648" s="39"/>
      <c r="C648" s="39"/>
      <c r="D648" s="39"/>
      <c r="E648" s="40"/>
      <c r="F648" s="40"/>
    </row>
    <row r="649" spans="2:6" x14ac:dyDescent="0.25">
      <c r="B649" s="39"/>
      <c r="C649" s="39"/>
      <c r="D649" s="39"/>
      <c r="E649" s="40"/>
      <c r="F649" s="40"/>
    </row>
    <row r="650" spans="2:6" x14ac:dyDescent="0.25">
      <c r="B650" s="39"/>
      <c r="C650" s="39"/>
      <c r="D650" s="39"/>
      <c r="E650" s="40"/>
      <c r="F650" s="40"/>
    </row>
    <row r="651" spans="2:6" x14ac:dyDescent="0.25">
      <c r="B651" s="39"/>
      <c r="C651" s="39"/>
      <c r="D651" s="39"/>
      <c r="E651" s="40"/>
      <c r="F651" s="40"/>
    </row>
    <row r="652" spans="2:6" x14ac:dyDescent="0.25">
      <c r="B652" s="39"/>
      <c r="C652" s="39"/>
      <c r="D652" s="39"/>
      <c r="E652" s="40"/>
      <c r="F652" s="40"/>
    </row>
    <row r="653" spans="2:6" x14ac:dyDescent="0.25">
      <c r="B653" s="39"/>
      <c r="C653" s="39"/>
      <c r="D653" s="39"/>
      <c r="E653" s="40"/>
      <c r="F653" s="40"/>
    </row>
    <row r="654" spans="2:6" x14ac:dyDescent="0.25">
      <c r="B654" s="39"/>
      <c r="C654" s="39"/>
      <c r="D654" s="39"/>
      <c r="E654" s="40"/>
      <c r="F654" s="40"/>
    </row>
    <row r="655" spans="2:6" x14ac:dyDescent="0.25">
      <c r="B655" s="39"/>
      <c r="C655" s="39"/>
      <c r="D655" s="39"/>
      <c r="E655" s="40"/>
      <c r="F655" s="40"/>
    </row>
    <row r="656" spans="2:6" x14ac:dyDescent="0.25">
      <c r="B656" s="39"/>
      <c r="C656" s="39"/>
      <c r="D656" s="39"/>
      <c r="E656" s="40"/>
      <c r="F656" s="40"/>
    </row>
    <row r="657" spans="2:6" x14ac:dyDescent="0.25">
      <c r="B657" s="39"/>
      <c r="C657" s="39"/>
      <c r="D657" s="39"/>
      <c r="E657" s="40"/>
      <c r="F657" s="40"/>
    </row>
    <row r="658" spans="2:6" x14ac:dyDescent="0.25">
      <c r="B658" s="39"/>
      <c r="C658" s="39"/>
      <c r="D658" s="39"/>
      <c r="E658" s="40"/>
      <c r="F658" s="40"/>
    </row>
    <row r="659" spans="2:6" x14ac:dyDescent="0.25">
      <c r="B659" s="39"/>
      <c r="C659" s="39"/>
      <c r="D659" s="39"/>
      <c r="E659" s="40"/>
      <c r="F659" s="40"/>
    </row>
    <row r="660" spans="2:6" x14ac:dyDescent="0.25">
      <c r="B660" s="39"/>
      <c r="C660" s="39"/>
      <c r="D660" s="39"/>
      <c r="E660" s="40"/>
      <c r="F660" s="40"/>
    </row>
    <row r="661" spans="2:6" x14ac:dyDescent="0.25">
      <c r="B661" s="39"/>
      <c r="C661" s="39"/>
      <c r="D661" s="39"/>
      <c r="E661" s="40"/>
      <c r="F661" s="40"/>
    </row>
    <row r="662" spans="2:6" x14ac:dyDescent="0.25">
      <c r="B662" s="39"/>
      <c r="C662" s="39"/>
      <c r="D662" s="39"/>
      <c r="E662" s="40"/>
      <c r="F662" s="40"/>
    </row>
    <row r="663" spans="2:6" x14ac:dyDescent="0.25">
      <c r="B663" s="39"/>
      <c r="C663" s="39"/>
      <c r="D663" s="39"/>
      <c r="E663" s="40"/>
      <c r="F663" s="40"/>
    </row>
    <row r="664" spans="2:6" x14ac:dyDescent="0.25">
      <c r="B664" s="39"/>
      <c r="C664" s="39"/>
      <c r="D664" s="39"/>
      <c r="E664" s="40"/>
      <c r="F664" s="40"/>
    </row>
    <row r="665" spans="2:6" x14ac:dyDescent="0.25">
      <c r="B665" s="39"/>
      <c r="C665" s="39"/>
      <c r="D665" s="39"/>
      <c r="E665" s="40"/>
      <c r="F665" s="40"/>
    </row>
    <row r="666" spans="2:6" x14ac:dyDescent="0.25">
      <c r="B666" s="39"/>
      <c r="C666" s="39"/>
      <c r="D666" s="39"/>
      <c r="E666" s="40"/>
      <c r="F666" s="40"/>
    </row>
    <row r="667" spans="2:6" x14ac:dyDescent="0.25">
      <c r="B667" s="39"/>
      <c r="C667" s="39"/>
      <c r="D667" s="39"/>
      <c r="E667" s="40"/>
      <c r="F667" s="40"/>
    </row>
    <row r="668" spans="2:6" x14ac:dyDescent="0.25">
      <c r="B668" s="39"/>
      <c r="C668" s="39"/>
      <c r="D668" s="39"/>
      <c r="E668" s="40"/>
      <c r="F668" s="40"/>
    </row>
    <row r="669" spans="2:6" x14ac:dyDescent="0.25">
      <c r="B669" s="39"/>
      <c r="C669" s="39"/>
      <c r="D669" s="39"/>
      <c r="E669" s="40"/>
      <c r="F669" s="40"/>
    </row>
    <row r="670" spans="2:6" x14ac:dyDescent="0.25">
      <c r="B670" s="39"/>
      <c r="C670" s="39"/>
      <c r="D670" s="39"/>
      <c r="E670" s="40"/>
      <c r="F670" s="40"/>
    </row>
    <row r="671" spans="2:6" x14ac:dyDescent="0.25">
      <c r="B671" s="39"/>
      <c r="C671" s="39"/>
      <c r="D671" s="39"/>
      <c r="E671" s="40"/>
      <c r="F671" s="40"/>
    </row>
    <row r="672" spans="2:6" x14ac:dyDescent="0.25">
      <c r="B672" s="39"/>
      <c r="C672" s="39"/>
      <c r="D672" s="39"/>
      <c r="E672" s="40"/>
      <c r="F672" s="40"/>
    </row>
    <row r="673" spans="2:6" x14ac:dyDescent="0.25">
      <c r="B673" s="39"/>
      <c r="C673" s="39"/>
      <c r="D673" s="39"/>
      <c r="E673" s="40"/>
      <c r="F673" s="40"/>
    </row>
    <row r="674" spans="2:6" x14ac:dyDescent="0.25">
      <c r="B674" s="39"/>
      <c r="C674" s="39"/>
      <c r="D674" s="39"/>
      <c r="E674" s="40"/>
      <c r="F674" s="40"/>
    </row>
    <row r="675" spans="2:6" x14ac:dyDescent="0.25">
      <c r="B675" s="39"/>
      <c r="C675" s="39"/>
      <c r="D675" s="39"/>
      <c r="E675" s="40"/>
      <c r="F675" s="40"/>
    </row>
    <row r="676" spans="2:6" x14ac:dyDescent="0.25">
      <c r="B676" s="39"/>
      <c r="C676" s="39"/>
      <c r="D676" s="39"/>
      <c r="E676" s="40"/>
      <c r="F676" s="40"/>
    </row>
    <row r="677" spans="2:6" x14ac:dyDescent="0.25">
      <c r="B677" s="39"/>
      <c r="C677" s="39"/>
      <c r="D677" s="39"/>
      <c r="E677" s="40"/>
      <c r="F677" s="40"/>
    </row>
    <row r="678" spans="2:6" x14ac:dyDescent="0.25">
      <c r="B678" s="39"/>
      <c r="C678" s="39"/>
      <c r="D678" s="39"/>
      <c r="E678" s="40"/>
      <c r="F678" s="40"/>
    </row>
    <row r="679" spans="2:6" x14ac:dyDescent="0.25">
      <c r="B679" s="39"/>
      <c r="C679" s="39"/>
      <c r="D679" s="39"/>
      <c r="E679" s="40"/>
      <c r="F679" s="40"/>
    </row>
    <row r="680" spans="2:6" x14ac:dyDescent="0.25">
      <c r="B680" s="39"/>
      <c r="C680" s="39"/>
      <c r="D680" s="39"/>
      <c r="E680" s="40"/>
      <c r="F680" s="40"/>
    </row>
    <row r="681" spans="2:6" x14ac:dyDescent="0.25">
      <c r="B681" s="39"/>
      <c r="C681" s="39"/>
      <c r="D681" s="39"/>
      <c r="E681" s="40"/>
      <c r="F681" s="40"/>
    </row>
    <row r="682" spans="2:6" x14ac:dyDescent="0.25">
      <c r="B682" s="39"/>
      <c r="C682" s="39"/>
      <c r="D682" s="39"/>
      <c r="E682" s="40"/>
      <c r="F682" s="40"/>
    </row>
    <row r="683" spans="2:6" x14ac:dyDescent="0.25">
      <c r="B683" s="39"/>
      <c r="C683" s="39"/>
      <c r="D683" s="39"/>
      <c r="E683" s="40"/>
      <c r="F683" s="40"/>
    </row>
    <row r="684" spans="2:6" x14ac:dyDescent="0.25">
      <c r="B684" s="39"/>
      <c r="C684" s="39"/>
      <c r="D684" s="39"/>
      <c r="E684" s="40"/>
      <c r="F684" s="40"/>
    </row>
    <row r="685" spans="2:6" x14ac:dyDescent="0.25">
      <c r="B685" s="39"/>
      <c r="C685" s="39"/>
      <c r="D685" s="39"/>
      <c r="E685" s="40"/>
      <c r="F685" s="40"/>
    </row>
    <row r="686" spans="2:6" x14ac:dyDescent="0.25">
      <c r="B686" s="39"/>
      <c r="C686" s="39"/>
      <c r="D686" s="39"/>
      <c r="E686" s="40"/>
      <c r="F686" s="40"/>
    </row>
    <row r="687" spans="2:6" x14ac:dyDescent="0.25">
      <c r="B687" s="39"/>
      <c r="C687" s="39"/>
      <c r="D687" s="39"/>
      <c r="E687" s="40"/>
      <c r="F687" s="40"/>
    </row>
    <row r="688" spans="2:6" x14ac:dyDescent="0.25">
      <c r="B688" s="39"/>
      <c r="C688" s="39"/>
      <c r="D688" s="39"/>
      <c r="E688" s="40"/>
      <c r="F688" s="40"/>
    </row>
    <row r="689" spans="2:6" x14ac:dyDescent="0.25">
      <c r="B689" s="39"/>
      <c r="C689" s="39"/>
      <c r="D689" s="39"/>
      <c r="E689" s="40"/>
      <c r="F689" s="40"/>
    </row>
    <row r="690" spans="2:6" x14ac:dyDescent="0.25">
      <c r="B690" s="39"/>
      <c r="C690" s="39"/>
      <c r="D690" s="39"/>
      <c r="E690" s="40"/>
      <c r="F690" s="40"/>
    </row>
    <row r="691" spans="2:6" x14ac:dyDescent="0.25">
      <c r="B691" s="39"/>
      <c r="C691" s="39"/>
      <c r="D691" s="39"/>
      <c r="E691" s="40"/>
      <c r="F691" s="40"/>
    </row>
    <row r="692" spans="2:6" x14ac:dyDescent="0.25">
      <c r="B692" s="39"/>
      <c r="C692" s="39"/>
      <c r="D692" s="39"/>
      <c r="E692" s="40"/>
      <c r="F692" s="40"/>
    </row>
    <row r="693" spans="2:6" x14ac:dyDescent="0.25">
      <c r="B693" s="39"/>
      <c r="C693" s="39"/>
      <c r="D693" s="39"/>
      <c r="E693" s="40"/>
      <c r="F693" s="40"/>
    </row>
    <row r="694" spans="2:6" x14ac:dyDescent="0.25">
      <c r="B694" s="39"/>
      <c r="C694" s="39"/>
      <c r="D694" s="39"/>
      <c r="E694" s="40"/>
      <c r="F694" s="40"/>
    </row>
    <row r="695" spans="2:6" x14ac:dyDescent="0.25">
      <c r="B695" s="39"/>
      <c r="C695" s="39"/>
      <c r="D695" s="39"/>
      <c r="E695" s="40"/>
      <c r="F695" s="40"/>
    </row>
    <row r="696" spans="2:6" x14ac:dyDescent="0.25">
      <c r="B696" s="39"/>
      <c r="C696" s="39"/>
      <c r="D696" s="39"/>
      <c r="E696" s="40"/>
      <c r="F696" s="40"/>
    </row>
    <row r="697" spans="2:6" x14ac:dyDescent="0.25">
      <c r="B697" s="39"/>
      <c r="C697" s="39"/>
      <c r="D697" s="39"/>
      <c r="E697" s="40"/>
      <c r="F697" s="40"/>
    </row>
    <row r="698" spans="2:6" x14ac:dyDescent="0.25">
      <c r="B698" s="39"/>
      <c r="C698" s="39"/>
      <c r="D698" s="39"/>
      <c r="E698" s="40"/>
      <c r="F698" s="40"/>
    </row>
    <row r="699" spans="2:6" x14ac:dyDescent="0.25">
      <c r="B699" s="39"/>
      <c r="C699" s="39"/>
      <c r="D699" s="39"/>
      <c r="E699" s="40"/>
      <c r="F699" s="40"/>
    </row>
    <row r="700" spans="2:6" x14ac:dyDescent="0.25">
      <c r="B700" s="39"/>
      <c r="C700" s="39"/>
      <c r="D700" s="39"/>
      <c r="E700" s="40"/>
      <c r="F700" s="40"/>
    </row>
    <row r="701" spans="2:6" x14ac:dyDescent="0.25">
      <c r="B701" s="39"/>
      <c r="C701" s="39"/>
      <c r="D701" s="39"/>
      <c r="E701" s="40"/>
      <c r="F701" s="40"/>
    </row>
    <row r="702" spans="2:6" x14ac:dyDescent="0.25">
      <c r="B702" s="39"/>
      <c r="C702" s="39"/>
      <c r="D702" s="39"/>
      <c r="E702" s="40"/>
      <c r="F702" s="40"/>
    </row>
    <row r="703" spans="2:6" x14ac:dyDescent="0.25">
      <c r="B703" s="39"/>
      <c r="C703" s="39"/>
      <c r="D703" s="39"/>
      <c r="E703" s="40"/>
      <c r="F703" s="40"/>
    </row>
    <row r="704" spans="2:6" x14ac:dyDescent="0.25">
      <c r="B704" s="39"/>
      <c r="C704" s="39"/>
      <c r="D704" s="39"/>
      <c r="E704" s="40"/>
      <c r="F704" s="40"/>
    </row>
    <row r="705" spans="2:6" x14ac:dyDescent="0.25">
      <c r="B705" s="39"/>
      <c r="C705" s="39"/>
      <c r="D705" s="39"/>
      <c r="E705" s="40"/>
      <c r="F705" s="40"/>
    </row>
    <row r="706" spans="2:6" x14ac:dyDescent="0.25">
      <c r="B706" s="39"/>
      <c r="C706" s="39"/>
      <c r="D706" s="39"/>
      <c r="E706" s="40"/>
      <c r="F706" s="40"/>
    </row>
    <row r="707" spans="2:6" x14ac:dyDescent="0.25">
      <c r="B707" s="39"/>
      <c r="C707" s="39"/>
      <c r="D707" s="39"/>
      <c r="E707" s="40"/>
      <c r="F707" s="40"/>
    </row>
    <row r="708" spans="2:6" x14ac:dyDescent="0.25">
      <c r="B708" s="39"/>
      <c r="C708" s="39"/>
      <c r="D708" s="39"/>
      <c r="E708" s="40"/>
      <c r="F708" s="40"/>
    </row>
    <row r="709" spans="2:6" x14ac:dyDescent="0.25">
      <c r="B709" s="39"/>
      <c r="C709" s="39"/>
      <c r="D709" s="39"/>
      <c r="E709" s="40"/>
      <c r="F709" s="40"/>
    </row>
    <row r="710" spans="2:6" x14ac:dyDescent="0.25">
      <c r="B710" s="39"/>
      <c r="C710" s="39"/>
      <c r="D710" s="39"/>
      <c r="E710" s="40"/>
      <c r="F710" s="40"/>
    </row>
    <row r="711" spans="2:6" x14ac:dyDescent="0.25">
      <c r="B711" s="39"/>
      <c r="C711" s="39"/>
      <c r="D711" s="39"/>
      <c r="E711" s="40"/>
      <c r="F711" s="40"/>
    </row>
    <row r="712" spans="2:6" x14ac:dyDescent="0.25">
      <c r="B712" s="39"/>
      <c r="C712" s="39"/>
      <c r="D712" s="39"/>
      <c r="E712" s="40"/>
      <c r="F712" s="40"/>
    </row>
    <row r="713" spans="2:6" x14ac:dyDescent="0.25">
      <c r="B713" s="39"/>
      <c r="C713" s="39"/>
      <c r="D713" s="39"/>
      <c r="E713" s="40"/>
      <c r="F713" s="40"/>
    </row>
    <row r="714" spans="2:6" x14ac:dyDescent="0.25">
      <c r="B714" s="39"/>
      <c r="C714" s="39"/>
      <c r="D714" s="39"/>
      <c r="E714" s="40"/>
      <c r="F714" s="40"/>
    </row>
    <row r="715" spans="2:6" x14ac:dyDescent="0.25">
      <c r="B715" s="39"/>
      <c r="C715" s="39"/>
      <c r="D715" s="39"/>
      <c r="E715" s="40"/>
      <c r="F715" s="40"/>
    </row>
    <row r="716" spans="2:6" x14ac:dyDescent="0.25">
      <c r="B716" s="39"/>
      <c r="C716" s="39"/>
      <c r="D716" s="39"/>
      <c r="E716" s="40"/>
      <c r="F716" s="40"/>
    </row>
    <row r="717" spans="2:6" x14ac:dyDescent="0.25">
      <c r="B717" s="39"/>
      <c r="C717" s="39"/>
      <c r="D717" s="39"/>
      <c r="E717" s="40"/>
      <c r="F717" s="40"/>
    </row>
    <row r="718" spans="2:6" x14ac:dyDescent="0.25">
      <c r="B718" s="39"/>
      <c r="C718" s="39"/>
      <c r="D718" s="39"/>
      <c r="E718" s="40"/>
      <c r="F718" s="40"/>
    </row>
    <row r="719" spans="2:6" x14ac:dyDescent="0.25">
      <c r="B719" s="39"/>
      <c r="C719" s="39"/>
      <c r="D719" s="39"/>
      <c r="E719" s="40"/>
      <c r="F719" s="40"/>
    </row>
    <row r="720" spans="2:6" x14ac:dyDescent="0.25">
      <c r="B720" s="39"/>
      <c r="C720" s="39"/>
      <c r="D720" s="39"/>
      <c r="E720" s="40"/>
      <c r="F720" s="40"/>
    </row>
    <row r="721" spans="2:6" x14ac:dyDescent="0.25">
      <c r="B721" s="39"/>
      <c r="C721" s="39"/>
      <c r="D721" s="39"/>
      <c r="E721" s="40"/>
      <c r="F721" s="40"/>
    </row>
    <row r="722" spans="2:6" x14ac:dyDescent="0.25">
      <c r="B722" s="39"/>
      <c r="C722" s="39"/>
      <c r="D722" s="39"/>
      <c r="E722" s="40"/>
      <c r="F722" s="40"/>
    </row>
    <row r="723" spans="2:6" x14ac:dyDescent="0.25">
      <c r="B723" s="39"/>
      <c r="C723" s="39"/>
      <c r="D723" s="39"/>
      <c r="E723" s="40"/>
      <c r="F723" s="40"/>
    </row>
    <row r="724" spans="2:6" x14ac:dyDescent="0.25">
      <c r="B724" s="39"/>
      <c r="C724" s="39"/>
      <c r="D724" s="39"/>
      <c r="E724" s="40"/>
      <c r="F724" s="40"/>
    </row>
    <row r="725" spans="2:6" x14ac:dyDescent="0.25">
      <c r="B725" s="39"/>
      <c r="C725" s="39"/>
      <c r="D725" s="39"/>
      <c r="E725" s="40"/>
      <c r="F725" s="40"/>
    </row>
    <row r="726" spans="2:6" x14ac:dyDescent="0.25">
      <c r="B726" s="39"/>
      <c r="C726" s="39"/>
      <c r="D726" s="39"/>
      <c r="E726" s="40"/>
      <c r="F726" s="40"/>
    </row>
    <row r="727" spans="2:6" x14ac:dyDescent="0.25">
      <c r="B727" s="39"/>
      <c r="C727" s="39"/>
      <c r="D727" s="39"/>
      <c r="E727" s="40"/>
      <c r="F727" s="40"/>
    </row>
    <row r="728" spans="2:6" x14ac:dyDescent="0.25">
      <c r="B728" s="39"/>
      <c r="C728" s="39"/>
      <c r="D728" s="39"/>
      <c r="E728" s="40"/>
      <c r="F728" s="40"/>
    </row>
    <row r="729" spans="2:6" x14ac:dyDescent="0.25">
      <c r="B729" s="39"/>
      <c r="C729" s="39"/>
      <c r="D729" s="39"/>
      <c r="E729" s="40"/>
      <c r="F729" s="40"/>
    </row>
    <row r="730" spans="2:6" x14ac:dyDescent="0.25">
      <c r="B730" s="39"/>
      <c r="C730" s="39"/>
      <c r="D730" s="39"/>
      <c r="E730" s="40"/>
      <c r="F730" s="40"/>
    </row>
    <row r="731" spans="2:6" x14ac:dyDescent="0.25">
      <c r="B731" s="39"/>
      <c r="C731" s="39"/>
      <c r="D731" s="39"/>
      <c r="E731" s="40"/>
      <c r="F731" s="40"/>
    </row>
    <row r="732" spans="2:6" x14ac:dyDescent="0.25">
      <c r="B732" s="39"/>
      <c r="C732" s="39"/>
      <c r="D732" s="39"/>
      <c r="E732" s="40"/>
      <c r="F732" s="40"/>
    </row>
    <row r="733" spans="2:6" x14ac:dyDescent="0.25">
      <c r="B733" s="39"/>
      <c r="C733" s="39"/>
      <c r="D733" s="39"/>
      <c r="E733" s="40"/>
      <c r="F733" s="40"/>
    </row>
    <row r="734" spans="2:6" x14ac:dyDescent="0.25">
      <c r="B734" s="39"/>
      <c r="C734" s="39"/>
      <c r="D734" s="39"/>
      <c r="E734" s="40"/>
      <c r="F734" s="40"/>
    </row>
    <row r="735" spans="2:6" x14ac:dyDescent="0.25">
      <c r="B735" s="39"/>
      <c r="C735" s="39"/>
      <c r="D735" s="39"/>
      <c r="E735" s="40"/>
      <c r="F735" s="40"/>
    </row>
    <row r="736" spans="2:6" x14ac:dyDescent="0.25">
      <c r="B736" s="39"/>
      <c r="C736" s="39"/>
      <c r="D736" s="39"/>
      <c r="E736" s="40"/>
      <c r="F736" s="40"/>
    </row>
    <row r="737" spans="2:6" x14ac:dyDescent="0.25">
      <c r="B737" s="39"/>
      <c r="C737" s="39"/>
      <c r="D737" s="39"/>
      <c r="E737" s="40"/>
      <c r="F737" s="40"/>
    </row>
    <row r="738" spans="2:6" x14ac:dyDescent="0.25">
      <c r="B738" s="39"/>
      <c r="C738" s="39"/>
      <c r="D738" s="39"/>
      <c r="E738" s="40"/>
      <c r="F738" s="40"/>
    </row>
    <row r="739" spans="2:6" x14ac:dyDescent="0.25">
      <c r="B739" s="39"/>
      <c r="C739" s="39"/>
      <c r="D739" s="39"/>
      <c r="E739" s="40"/>
      <c r="F739" s="40"/>
    </row>
    <row r="740" spans="2:6" x14ac:dyDescent="0.25">
      <c r="B740" s="39"/>
      <c r="C740" s="39"/>
      <c r="D740" s="39"/>
      <c r="E740" s="40"/>
      <c r="F740" s="40"/>
    </row>
    <row r="741" spans="2:6" x14ac:dyDescent="0.25">
      <c r="B741" s="39"/>
      <c r="C741" s="39"/>
      <c r="D741" s="39"/>
      <c r="E741" s="40"/>
      <c r="F741" s="40"/>
    </row>
    <row r="742" spans="2:6" x14ac:dyDescent="0.25">
      <c r="B742" s="39"/>
      <c r="C742" s="39"/>
      <c r="D742" s="39"/>
      <c r="E742" s="40"/>
      <c r="F742" s="40"/>
    </row>
    <row r="743" spans="2:6" x14ac:dyDescent="0.25">
      <c r="B743" s="39"/>
      <c r="C743" s="39"/>
      <c r="D743" s="39"/>
      <c r="E743" s="40"/>
      <c r="F743" s="40"/>
    </row>
    <row r="744" spans="2:6" x14ac:dyDescent="0.25">
      <c r="B744" s="39"/>
      <c r="C744" s="39"/>
      <c r="D744" s="39"/>
      <c r="E744" s="40"/>
      <c r="F744" s="40"/>
    </row>
    <row r="745" spans="2:6" x14ac:dyDescent="0.25">
      <c r="B745" s="39"/>
      <c r="C745" s="39"/>
      <c r="D745" s="39"/>
      <c r="E745" s="40"/>
      <c r="F745" s="40"/>
    </row>
    <row r="746" spans="2:6" x14ac:dyDescent="0.25">
      <c r="B746" s="39"/>
      <c r="C746" s="39"/>
      <c r="D746" s="39"/>
      <c r="E746" s="40"/>
      <c r="F746" s="40"/>
    </row>
    <row r="747" spans="2:6" x14ac:dyDescent="0.25">
      <c r="B747" s="39"/>
      <c r="C747" s="39"/>
      <c r="D747" s="39"/>
      <c r="E747" s="40"/>
      <c r="F747" s="40"/>
    </row>
    <row r="748" spans="2:6" x14ac:dyDescent="0.25">
      <c r="B748" s="39"/>
      <c r="C748" s="39"/>
      <c r="D748" s="39"/>
      <c r="E748" s="40"/>
      <c r="F748" s="40"/>
    </row>
    <row r="749" spans="2:6" x14ac:dyDescent="0.25">
      <c r="B749" s="39"/>
      <c r="C749" s="39"/>
      <c r="D749" s="39"/>
      <c r="E749" s="40"/>
      <c r="F749" s="40"/>
    </row>
    <row r="750" spans="2:6" x14ac:dyDescent="0.25">
      <c r="B750" s="39"/>
      <c r="C750" s="39"/>
      <c r="D750" s="39"/>
      <c r="E750" s="40"/>
      <c r="F750" s="40"/>
    </row>
    <row r="751" spans="2:6" x14ac:dyDescent="0.25">
      <c r="B751" s="39"/>
      <c r="C751" s="39"/>
      <c r="D751" s="39"/>
      <c r="E751" s="40"/>
      <c r="F751" s="40"/>
    </row>
    <row r="752" spans="2:6" x14ac:dyDescent="0.25">
      <c r="B752" s="39"/>
      <c r="C752" s="39"/>
      <c r="D752" s="39"/>
      <c r="E752" s="40"/>
      <c r="F752" s="40"/>
    </row>
    <row r="753" spans="2:6" x14ac:dyDescent="0.25">
      <c r="B753" s="39"/>
      <c r="C753" s="39"/>
      <c r="D753" s="39"/>
      <c r="E753" s="40"/>
      <c r="F753" s="40"/>
    </row>
    <row r="754" spans="2:6" x14ac:dyDescent="0.25">
      <c r="B754" s="39"/>
      <c r="C754" s="39"/>
      <c r="D754" s="39"/>
      <c r="E754" s="40"/>
      <c r="F754" s="40"/>
    </row>
    <row r="755" spans="2:6" x14ac:dyDescent="0.25">
      <c r="B755" s="39"/>
      <c r="C755" s="39"/>
      <c r="D755" s="39"/>
      <c r="E755" s="40"/>
      <c r="F755" s="40"/>
    </row>
    <row r="756" spans="2:6" x14ac:dyDescent="0.25">
      <c r="B756" s="39"/>
      <c r="C756" s="39"/>
      <c r="D756" s="39"/>
      <c r="E756" s="40"/>
      <c r="F756" s="40"/>
    </row>
    <row r="757" spans="2:6" x14ac:dyDescent="0.25">
      <c r="B757" s="39"/>
      <c r="C757" s="39"/>
      <c r="D757" s="39"/>
      <c r="E757" s="40"/>
      <c r="F757" s="40"/>
    </row>
    <row r="758" spans="2:6" x14ac:dyDescent="0.25">
      <c r="B758" s="39"/>
      <c r="C758" s="39"/>
      <c r="D758" s="39"/>
      <c r="E758" s="40"/>
      <c r="F758" s="40"/>
    </row>
    <row r="759" spans="2:6" x14ac:dyDescent="0.25">
      <c r="B759" s="39"/>
      <c r="C759" s="39"/>
      <c r="D759" s="39"/>
      <c r="E759" s="40"/>
      <c r="F759" s="40"/>
    </row>
    <row r="760" spans="2:6" x14ac:dyDescent="0.25">
      <c r="B760" s="39"/>
      <c r="C760" s="39"/>
      <c r="D760" s="39"/>
      <c r="E760" s="40"/>
      <c r="F760" s="40"/>
    </row>
    <row r="761" spans="2:6" x14ac:dyDescent="0.25">
      <c r="B761" s="39"/>
      <c r="C761" s="39"/>
      <c r="D761" s="39"/>
      <c r="E761" s="40"/>
      <c r="F761" s="40"/>
    </row>
    <row r="762" spans="2:6" x14ac:dyDescent="0.25">
      <c r="B762" s="39"/>
      <c r="C762" s="39"/>
      <c r="D762" s="39"/>
      <c r="E762" s="40"/>
      <c r="F762" s="40"/>
    </row>
    <row r="763" spans="2:6" x14ac:dyDescent="0.25">
      <c r="B763" s="39"/>
      <c r="C763" s="39"/>
      <c r="D763" s="39"/>
      <c r="E763" s="40"/>
      <c r="F763" s="40"/>
    </row>
    <row r="764" spans="2:6" x14ac:dyDescent="0.25">
      <c r="B764" s="39"/>
      <c r="C764" s="39"/>
      <c r="D764" s="39"/>
      <c r="E764" s="40"/>
      <c r="F764" s="40"/>
    </row>
    <row r="765" spans="2:6" x14ac:dyDescent="0.25">
      <c r="B765" s="39"/>
      <c r="C765" s="39"/>
      <c r="D765" s="39"/>
      <c r="E765" s="40"/>
      <c r="F765" s="40"/>
    </row>
    <row r="766" spans="2:6" x14ac:dyDescent="0.25">
      <c r="B766" s="39"/>
      <c r="C766" s="39"/>
      <c r="D766" s="39"/>
      <c r="E766" s="40"/>
      <c r="F766" s="40"/>
    </row>
    <row r="767" spans="2:6" x14ac:dyDescent="0.25">
      <c r="B767" s="39"/>
      <c r="C767" s="39"/>
      <c r="D767" s="39"/>
      <c r="E767" s="40"/>
      <c r="F767" s="40"/>
    </row>
    <row r="768" spans="2:6" x14ac:dyDescent="0.25">
      <c r="B768" s="39"/>
      <c r="C768" s="39"/>
      <c r="D768" s="39"/>
      <c r="E768" s="40"/>
      <c r="F768" s="40"/>
    </row>
    <row r="769" spans="2:6" x14ac:dyDescent="0.25">
      <c r="B769" s="39"/>
    </row>
    <row r="770" spans="2:6" x14ac:dyDescent="0.25">
      <c r="B770" s="39"/>
    </row>
    <row r="771" spans="2:6" x14ac:dyDescent="0.25">
      <c r="B771" s="39"/>
    </row>
    <row r="772" spans="2:6" x14ac:dyDescent="0.25">
      <c r="B772" s="39"/>
    </row>
    <row r="773" spans="2:6" x14ac:dyDescent="0.25">
      <c r="B773" s="39"/>
    </row>
    <row r="774" spans="2:6" x14ac:dyDescent="0.25">
      <c r="B774" s="39"/>
      <c r="E774"/>
      <c r="F774"/>
    </row>
    <row r="775" spans="2:6" x14ac:dyDescent="0.25">
      <c r="B775" s="39"/>
      <c r="E775"/>
      <c r="F775"/>
    </row>
    <row r="776" spans="2:6" x14ac:dyDescent="0.25">
      <c r="B776" s="39"/>
      <c r="E776"/>
      <c r="F776"/>
    </row>
    <row r="777" spans="2:6" x14ac:dyDescent="0.25">
      <c r="B777" s="39"/>
      <c r="E777"/>
      <c r="F777"/>
    </row>
    <row r="778" spans="2:6" x14ac:dyDescent="0.25">
      <c r="B778" s="39"/>
      <c r="E778"/>
      <c r="F778"/>
    </row>
    <row r="779" spans="2:6" x14ac:dyDescent="0.25">
      <c r="B779" s="39"/>
      <c r="E779"/>
      <c r="F779"/>
    </row>
    <row r="780" spans="2:6" x14ac:dyDescent="0.25">
      <c r="B780" s="39"/>
      <c r="E780"/>
      <c r="F780"/>
    </row>
    <row r="781" spans="2:6" x14ac:dyDescent="0.25">
      <c r="B781" s="39"/>
      <c r="E781"/>
      <c r="F781"/>
    </row>
    <row r="782" spans="2:6" x14ac:dyDescent="0.25">
      <c r="B782" s="39"/>
      <c r="E782"/>
      <c r="F782"/>
    </row>
    <row r="783" spans="2:6" x14ac:dyDescent="0.25">
      <c r="B783" s="39"/>
      <c r="E783"/>
      <c r="F783"/>
    </row>
    <row r="784" spans="2:6" x14ac:dyDescent="0.25">
      <c r="B784" s="39"/>
      <c r="E784"/>
      <c r="F784"/>
    </row>
    <row r="785" spans="2:6" x14ac:dyDescent="0.25">
      <c r="B785" s="39"/>
      <c r="E785"/>
      <c r="F785"/>
    </row>
    <row r="786" spans="2:6" x14ac:dyDescent="0.25">
      <c r="B786" s="39"/>
      <c r="E786"/>
      <c r="F786"/>
    </row>
    <row r="787" spans="2:6" x14ac:dyDescent="0.25">
      <c r="B787" s="39"/>
      <c r="E787"/>
      <c r="F787"/>
    </row>
    <row r="788" spans="2:6" x14ac:dyDescent="0.25">
      <c r="B788" s="39"/>
      <c r="E788"/>
      <c r="F788"/>
    </row>
    <row r="789" spans="2:6" x14ac:dyDescent="0.25">
      <c r="B789" s="39"/>
      <c r="E789"/>
      <c r="F789"/>
    </row>
    <row r="790" spans="2:6" x14ac:dyDescent="0.25">
      <c r="B790" s="39"/>
      <c r="E790"/>
      <c r="F790"/>
    </row>
    <row r="791" spans="2:6" x14ac:dyDescent="0.25">
      <c r="B791" s="39"/>
      <c r="E791"/>
      <c r="F791"/>
    </row>
    <row r="792" spans="2:6" x14ac:dyDescent="0.25">
      <c r="B792" s="39"/>
      <c r="E792"/>
      <c r="F792"/>
    </row>
    <row r="793" spans="2:6" x14ac:dyDescent="0.25">
      <c r="B793" s="39"/>
      <c r="E793"/>
      <c r="F793"/>
    </row>
    <row r="794" spans="2:6" x14ac:dyDescent="0.25">
      <c r="B794" s="39"/>
      <c r="E794"/>
      <c r="F794"/>
    </row>
    <row r="795" spans="2:6" x14ac:dyDescent="0.25">
      <c r="B795" s="39"/>
      <c r="E795"/>
      <c r="F795"/>
    </row>
    <row r="796" spans="2:6" x14ac:dyDescent="0.25">
      <c r="B796" s="39"/>
      <c r="E796"/>
      <c r="F796"/>
    </row>
    <row r="797" spans="2:6" x14ac:dyDescent="0.25">
      <c r="B797" s="39"/>
      <c r="E797"/>
      <c r="F797"/>
    </row>
    <row r="798" spans="2:6" x14ac:dyDescent="0.25">
      <c r="B798" s="39"/>
      <c r="E798"/>
      <c r="F798"/>
    </row>
    <row r="799" spans="2:6" x14ac:dyDescent="0.25">
      <c r="B799" s="39"/>
      <c r="E799"/>
      <c r="F799"/>
    </row>
    <row r="800" spans="2:6" x14ac:dyDescent="0.25">
      <c r="B800" s="39"/>
      <c r="E800"/>
      <c r="F800"/>
    </row>
    <row r="801" spans="2:6" x14ac:dyDescent="0.25">
      <c r="B801" s="39"/>
      <c r="E801"/>
      <c r="F801"/>
    </row>
    <row r="802" spans="2:6" x14ac:dyDescent="0.25">
      <c r="B802" s="39"/>
      <c r="E802"/>
      <c r="F802"/>
    </row>
    <row r="803" spans="2:6" x14ac:dyDescent="0.25">
      <c r="B803" s="39"/>
      <c r="E803"/>
      <c r="F803"/>
    </row>
    <row r="804" spans="2:6" x14ac:dyDescent="0.25">
      <c r="B804" s="39"/>
      <c r="E804"/>
      <c r="F804"/>
    </row>
    <row r="805" spans="2:6" x14ac:dyDescent="0.25">
      <c r="B805" s="39"/>
      <c r="E805"/>
      <c r="F805"/>
    </row>
    <row r="806" spans="2:6" x14ac:dyDescent="0.25">
      <c r="B806" s="39"/>
      <c r="E806"/>
      <c r="F806"/>
    </row>
    <row r="807" spans="2:6" x14ac:dyDescent="0.25">
      <c r="B807" s="39"/>
      <c r="E807"/>
      <c r="F807"/>
    </row>
    <row r="808" spans="2:6" x14ac:dyDescent="0.25">
      <c r="B808" s="39"/>
      <c r="E808"/>
      <c r="F808"/>
    </row>
    <row r="809" spans="2:6" x14ac:dyDescent="0.25">
      <c r="B809" s="39"/>
      <c r="E809"/>
      <c r="F809"/>
    </row>
    <row r="810" spans="2:6" x14ac:dyDescent="0.25">
      <c r="B810" s="39"/>
      <c r="E810"/>
      <c r="F810"/>
    </row>
    <row r="811" spans="2:6" x14ac:dyDescent="0.25">
      <c r="B811" s="39"/>
      <c r="E811"/>
      <c r="F811"/>
    </row>
    <row r="812" spans="2:6" x14ac:dyDescent="0.25">
      <c r="B812" s="39"/>
      <c r="E812"/>
      <c r="F812"/>
    </row>
    <row r="813" spans="2:6" x14ac:dyDescent="0.25">
      <c r="B813" s="39"/>
      <c r="E813"/>
      <c r="F813"/>
    </row>
    <row r="814" spans="2:6" x14ac:dyDescent="0.25">
      <c r="B814" s="39"/>
      <c r="E814"/>
      <c r="F814"/>
    </row>
    <row r="815" spans="2:6" x14ac:dyDescent="0.25">
      <c r="B815" s="39"/>
      <c r="E815"/>
      <c r="F815"/>
    </row>
    <row r="816" spans="2:6" x14ac:dyDescent="0.25">
      <c r="B816" s="39"/>
      <c r="E816"/>
      <c r="F816"/>
    </row>
    <row r="817" spans="2:6" x14ac:dyDescent="0.25">
      <c r="B817" s="39"/>
      <c r="E817"/>
      <c r="F817"/>
    </row>
    <row r="818" spans="2:6" x14ac:dyDescent="0.25">
      <c r="B818" s="39"/>
      <c r="E818"/>
      <c r="F818"/>
    </row>
    <row r="819" spans="2:6" x14ac:dyDescent="0.25">
      <c r="B819" s="39"/>
      <c r="E819"/>
      <c r="F819"/>
    </row>
    <row r="820" spans="2:6" x14ac:dyDescent="0.25">
      <c r="B820" s="39"/>
      <c r="E820"/>
      <c r="F820"/>
    </row>
    <row r="821" spans="2:6" x14ac:dyDescent="0.25">
      <c r="B821" s="39"/>
      <c r="E821"/>
      <c r="F821"/>
    </row>
    <row r="822" spans="2:6" x14ac:dyDescent="0.25">
      <c r="B822" s="39"/>
      <c r="E822"/>
      <c r="F822"/>
    </row>
    <row r="823" spans="2:6" x14ac:dyDescent="0.25">
      <c r="B823" s="39"/>
      <c r="E823"/>
      <c r="F823"/>
    </row>
    <row r="824" spans="2:6" x14ac:dyDescent="0.25">
      <c r="B824" s="39"/>
      <c r="E824"/>
      <c r="F824"/>
    </row>
    <row r="825" spans="2:6" x14ac:dyDescent="0.25">
      <c r="B825" s="39"/>
      <c r="E825"/>
      <c r="F825"/>
    </row>
    <row r="826" spans="2:6" x14ac:dyDescent="0.25">
      <c r="B826" s="39"/>
      <c r="E826"/>
      <c r="F826"/>
    </row>
    <row r="827" spans="2:6" x14ac:dyDescent="0.25">
      <c r="B827" s="39"/>
      <c r="E827"/>
      <c r="F827"/>
    </row>
    <row r="828" spans="2:6" x14ac:dyDescent="0.25">
      <c r="B828" s="39"/>
      <c r="E828"/>
      <c r="F828"/>
    </row>
    <row r="829" spans="2:6" x14ac:dyDescent="0.25">
      <c r="B829" s="39"/>
      <c r="E829"/>
      <c r="F829"/>
    </row>
    <row r="830" spans="2:6" x14ac:dyDescent="0.25">
      <c r="B830" s="39"/>
      <c r="E830"/>
      <c r="F830"/>
    </row>
    <row r="831" spans="2:6" x14ac:dyDescent="0.25">
      <c r="B831" s="39"/>
      <c r="E831"/>
      <c r="F831"/>
    </row>
    <row r="832" spans="2:6" x14ac:dyDescent="0.25">
      <c r="B832" s="39"/>
      <c r="E832"/>
      <c r="F832"/>
    </row>
    <row r="833" spans="2:6" x14ac:dyDescent="0.25">
      <c r="B833" s="39"/>
      <c r="E833"/>
      <c r="F833"/>
    </row>
    <row r="834" spans="2:6" x14ac:dyDescent="0.25">
      <c r="B834" s="39"/>
      <c r="E834"/>
      <c r="F834"/>
    </row>
    <row r="835" spans="2:6" x14ac:dyDescent="0.25">
      <c r="B835" s="39"/>
      <c r="E835"/>
      <c r="F835"/>
    </row>
    <row r="836" spans="2:6" x14ac:dyDescent="0.25">
      <c r="B836" s="39"/>
      <c r="E836"/>
      <c r="F836"/>
    </row>
    <row r="837" spans="2:6" x14ac:dyDescent="0.25">
      <c r="B837" s="39"/>
      <c r="E837"/>
      <c r="F837"/>
    </row>
    <row r="838" spans="2:6" x14ac:dyDescent="0.25">
      <c r="B838" s="39"/>
      <c r="E838"/>
      <c r="F838"/>
    </row>
    <row r="839" spans="2:6" x14ac:dyDescent="0.25">
      <c r="B839" s="39"/>
      <c r="E839"/>
      <c r="F839"/>
    </row>
    <row r="840" spans="2:6" x14ac:dyDescent="0.25">
      <c r="B840" s="39"/>
      <c r="E840"/>
      <c r="F840"/>
    </row>
    <row r="841" spans="2:6" x14ac:dyDescent="0.25">
      <c r="B841" s="39"/>
      <c r="E841"/>
      <c r="F841"/>
    </row>
    <row r="842" spans="2:6" x14ac:dyDescent="0.25">
      <c r="B842" s="39"/>
      <c r="E842"/>
      <c r="F842"/>
    </row>
    <row r="843" spans="2:6" x14ac:dyDescent="0.25">
      <c r="B843" s="39"/>
      <c r="E843"/>
      <c r="F843"/>
    </row>
    <row r="844" spans="2:6" x14ac:dyDescent="0.25">
      <c r="B844" s="39"/>
      <c r="E844"/>
      <c r="F844"/>
    </row>
    <row r="845" spans="2:6" x14ac:dyDescent="0.25">
      <c r="B845" s="39"/>
      <c r="E845"/>
      <c r="F845"/>
    </row>
    <row r="846" spans="2:6" x14ac:dyDescent="0.25">
      <c r="B846" s="39"/>
      <c r="E846"/>
      <c r="F846"/>
    </row>
    <row r="847" spans="2:6" x14ac:dyDescent="0.25">
      <c r="B847" s="39"/>
      <c r="E847"/>
      <c r="F847"/>
    </row>
    <row r="848" spans="2:6" x14ac:dyDescent="0.25">
      <c r="B848" s="39"/>
      <c r="E848"/>
      <c r="F848"/>
    </row>
    <row r="849" spans="2:6" x14ac:dyDescent="0.25">
      <c r="B849" s="39"/>
      <c r="E849"/>
      <c r="F849"/>
    </row>
    <row r="850" spans="2:6" x14ac:dyDescent="0.25">
      <c r="B850" s="39"/>
      <c r="E850"/>
      <c r="F850"/>
    </row>
    <row r="851" spans="2:6" x14ac:dyDescent="0.25">
      <c r="B851" s="39"/>
      <c r="E851"/>
      <c r="F851"/>
    </row>
    <row r="852" spans="2:6" x14ac:dyDescent="0.25">
      <c r="B852" s="39"/>
      <c r="E852"/>
      <c r="F852"/>
    </row>
    <row r="853" spans="2:6" x14ac:dyDescent="0.25">
      <c r="B853" s="39"/>
      <c r="E853"/>
      <c r="F853"/>
    </row>
    <row r="854" spans="2:6" x14ac:dyDescent="0.25">
      <c r="B854" s="39"/>
      <c r="E854"/>
      <c r="F854"/>
    </row>
    <row r="855" spans="2:6" x14ac:dyDescent="0.25">
      <c r="B855" s="39"/>
      <c r="E855"/>
      <c r="F855"/>
    </row>
    <row r="856" spans="2:6" x14ac:dyDescent="0.25">
      <c r="B856" s="39"/>
      <c r="E856"/>
      <c r="F856"/>
    </row>
    <row r="857" spans="2:6" x14ac:dyDescent="0.25">
      <c r="B857" s="39"/>
      <c r="E857"/>
      <c r="F857"/>
    </row>
    <row r="858" spans="2:6" x14ac:dyDescent="0.25">
      <c r="B858" s="39"/>
      <c r="E858"/>
      <c r="F858"/>
    </row>
    <row r="859" spans="2:6" x14ac:dyDescent="0.25">
      <c r="B859" s="39"/>
      <c r="E859"/>
      <c r="F859"/>
    </row>
    <row r="860" spans="2:6" x14ac:dyDescent="0.25">
      <c r="B860" s="39"/>
      <c r="E860"/>
      <c r="F860"/>
    </row>
    <row r="861" spans="2:6" x14ac:dyDescent="0.25">
      <c r="B861" s="39"/>
      <c r="E861"/>
      <c r="F861"/>
    </row>
    <row r="862" spans="2:6" x14ac:dyDescent="0.25">
      <c r="B862" s="39"/>
      <c r="E862"/>
      <c r="F862"/>
    </row>
    <row r="863" spans="2:6" x14ac:dyDescent="0.25">
      <c r="B863" s="39"/>
      <c r="E863"/>
      <c r="F863"/>
    </row>
    <row r="864" spans="2:6" x14ac:dyDescent="0.25">
      <c r="B864" s="39"/>
      <c r="E864"/>
      <c r="F864"/>
    </row>
    <row r="865" spans="2:6" x14ac:dyDescent="0.25">
      <c r="B865" s="39"/>
      <c r="E865"/>
      <c r="F865"/>
    </row>
    <row r="866" spans="2:6" x14ac:dyDescent="0.25">
      <c r="B866" s="39"/>
      <c r="E866"/>
      <c r="F866"/>
    </row>
    <row r="867" spans="2:6" x14ac:dyDescent="0.25">
      <c r="B867" s="39"/>
      <c r="E867"/>
      <c r="F867"/>
    </row>
    <row r="868" spans="2:6" x14ac:dyDescent="0.25">
      <c r="B868" s="39"/>
      <c r="E868"/>
      <c r="F868"/>
    </row>
    <row r="869" spans="2:6" x14ac:dyDescent="0.25">
      <c r="B869" s="39"/>
      <c r="E869"/>
      <c r="F869"/>
    </row>
    <row r="870" spans="2:6" x14ac:dyDescent="0.25">
      <c r="B870" s="39"/>
      <c r="E870"/>
      <c r="F870"/>
    </row>
    <row r="871" spans="2:6" x14ac:dyDescent="0.25">
      <c r="B871" s="39"/>
      <c r="E871"/>
      <c r="F871"/>
    </row>
    <row r="872" spans="2:6" x14ac:dyDescent="0.25">
      <c r="B872" s="39"/>
      <c r="E872"/>
      <c r="F872"/>
    </row>
    <row r="873" spans="2:6" x14ac:dyDescent="0.25">
      <c r="B873" s="39"/>
      <c r="E873"/>
      <c r="F873"/>
    </row>
    <row r="874" spans="2:6" x14ac:dyDescent="0.25">
      <c r="B874" s="39"/>
      <c r="E874"/>
      <c r="F874"/>
    </row>
    <row r="875" spans="2:6" x14ac:dyDescent="0.25">
      <c r="B875" s="39"/>
      <c r="E875"/>
      <c r="F875"/>
    </row>
    <row r="876" spans="2:6" x14ac:dyDescent="0.25">
      <c r="B876" s="39"/>
      <c r="E876"/>
      <c r="F876"/>
    </row>
    <row r="877" spans="2:6" x14ac:dyDescent="0.25">
      <c r="B877" s="39"/>
      <c r="E877"/>
      <c r="F877"/>
    </row>
    <row r="878" spans="2:6" x14ac:dyDescent="0.25">
      <c r="B878" s="39"/>
      <c r="E878"/>
      <c r="F878"/>
    </row>
    <row r="879" spans="2:6" x14ac:dyDescent="0.25">
      <c r="B879" s="39"/>
      <c r="E879"/>
      <c r="F879"/>
    </row>
    <row r="880" spans="2:6" x14ac:dyDescent="0.25">
      <c r="B880" s="39"/>
      <c r="E880"/>
      <c r="F880"/>
    </row>
    <row r="881" spans="2:6" x14ac:dyDescent="0.25">
      <c r="B881" s="39"/>
      <c r="E881"/>
      <c r="F881"/>
    </row>
    <row r="882" spans="2:6" x14ac:dyDescent="0.25">
      <c r="B882" s="39"/>
      <c r="E882"/>
      <c r="F882"/>
    </row>
    <row r="883" spans="2:6" x14ac:dyDescent="0.25">
      <c r="B883" s="39"/>
      <c r="E883"/>
      <c r="F883"/>
    </row>
    <row r="884" spans="2:6" x14ac:dyDescent="0.25">
      <c r="B884" s="39"/>
      <c r="E884"/>
      <c r="F884"/>
    </row>
    <row r="885" spans="2:6" x14ac:dyDescent="0.25">
      <c r="B885" s="39"/>
      <c r="E885"/>
      <c r="F885"/>
    </row>
    <row r="886" spans="2:6" x14ac:dyDescent="0.25">
      <c r="B886" s="39"/>
      <c r="E886"/>
      <c r="F886"/>
    </row>
    <row r="887" spans="2:6" x14ac:dyDescent="0.25">
      <c r="B887" s="39"/>
      <c r="E887"/>
      <c r="F887"/>
    </row>
    <row r="888" spans="2:6" x14ac:dyDescent="0.25">
      <c r="B888" s="39"/>
      <c r="E888"/>
      <c r="F888"/>
    </row>
    <row r="889" spans="2:6" x14ac:dyDescent="0.25">
      <c r="B889" s="39"/>
      <c r="E889"/>
      <c r="F889"/>
    </row>
    <row r="890" spans="2:6" x14ac:dyDescent="0.25">
      <c r="B890" s="39"/>
      <c r="E890"/>
      <c r="F890"/>
    </row>
    <row r="891" spans="2:6" x14ac:dyDescent="0.25">
      <c r="B891" s="39"/>
      <c r="E891"/>
      <c r="F891"/>
    </row>
    <row r="892" spans="2:6" x14ac:dyDescent="0.25">
      <c r="B892" s="39"/>
      <c r="E892"/>
      <c r="F892"/>
    </row>
    <row r="893" spans="2:6" x14ac:dyDescent="0.25">
      <c r="B893" s="39"/>
      <c r="E893"/>
      <c r="F893"/>
    </row>
    <row r="894" spans="2:6" x14ac:dyDescent="0.25">
      <c r="B894" s="39"/>
      <c r="E894"/>
      <c r="F894"/>
    </row>
    <row r="895" spans="2:6" x14ac:dyDescent="0.25">
      <c r="B895" s="39"/>
      <c r="E895"/>
      <c r="F895"/>
    </row>
    <row r="896" spans="2:6" x14ac:dyDescent="0.25">
      <c r="B896" s="39"/>
      <c r="E896"/>
      <c r="F896"/>
    </row>
    <row r="897" spans="2:6" x14ac:dyDescent="0.25">
      <c r="B897" s="39"/>
      <c r="E897"/>
      <c r="F897"/>
    </row>
    <row r="898" spans="2:6" x14ac:dyDescent="0.25">
      <c r="B898" s="39"/>
      <c r="E898"/>
      <c r="F898"/>
    </row>
    <row r="899" spans="2:6" x14ac:dyDescent="0.25">
      <c r="B899" s="39"/>
      <c r="E899"/>
      <c r="F899"/>
    </row>
    <row r="900" spans="2:6" x14ac:dyDescent="0.25">
      <c r="B900" s="39"/>
      <c r="E900"/>
      <c r="F900"/>
    </row>
    <row r="901" spans="2:6" x14ac:dyDescent="0.25">
      <c r="B901" s="39"/>
      <c r="E901"/>
      <c r="F901"/>
    </row>
    <row r="902" spans="2:6" x14ac:dyDescent="0.25">
      <c r="B902" s="39"/>
      <c r="E902"/>
      <c r="F902"/>
    </row>
    <row r="903" spans="2:6" x14ac:dyDescent="0.25">
      <c r="B903" s="39"/>
      <c r="E903"/>
      <c r="F903"/>
    </row>
    <row r="904" spans="2:6" x14ac:dyDescent="0.25">
      <c r="B904" s="39"/>
      <c r="E904"/>
      <c r="F904"/>
    </row>
    <row r="905" spans="2:6" x14ac:dyDescent="0.25">
      <c r="B905" s="39"/>
      <c r="E905"/>
      <c r="F905"/>
    </row>
    <row r="906" spans="2:6" x14ac:dyDescent="0.25">
      <c r="B906" s="39"/>
      <c r="E906"/>
      <c r="F906"/>
    </row>
    <row r="907" spans="2:6" x14ac:dyDescent="0.25">
      <c r="B907" s="39"/>
      <c r="E907"/>
      <c r="F907"/>
    </row>
    <row r="908" spans="2:6" x14ac:dyDescent="0.25">
      <c r="B908" s="39"/>
      <c r="E908"/>
      <c r="F908"/>
    </row>
    <row r="909" spans="2:6" x14ac:dyDescent="0.25">
      <c r="B909" s="39"/>
      <c r="E909"/>
      <c r="F909"/>
    </row>
    <row r="910" spans="2:6" x14ac:dyDescent="0.25">
      <c r="B910" s="39"/>
      <c r="E910"/>
      <c r="F910"/>
    </row>
    <row r="911" spans="2:6" x14ac:dyDescent="0.25">
      <c r="B911" s="39"/>
      <c r="E911"/>
      <c r="F911"/>
    </row>
    <row r="912" spans="2:6" x14ac:dyDescent="0.25">
      <c r="B912" s="39"/>
      <c r="E912"/>
      <c r="F912"/>
    </row>
    <row r="913" spans="2:6" x14ac:dyDescent="0.25">
      <c r="B913" s="39"/>
      <c r="E913"/>
      <c r="F913"/>
    </row>
    <row r="914" spans="2:6" x14ac:dyDescent="0.25">
      <c r="B914" s="39"/>
      <c r="E914"/>
      <c r="F914"/>
    </row>
    <row r="915" spans="2:6" x14ac:dyDescent="0.25">
      <c r="B915" s="39"/>
      <c r="E915"/>
      <c r="F915"/>
    </row>
    <row r="916" spans="2:6" x14ac:dyDescent="0.25">
      <c r="B916" s="39"/>
      <c r="E916"/>
      <c r="F916"/>
    </row>
    <row r="917" spans="2:6" x14ac:dyDescent="0.25">
      <c r="B917" s="39"/>
      <c r="E917"/>
      <c r="F917"/>
    </row>
    <row r="918" spans="2:6" x14ac:dyDescent="0.25">
      <c r="B918" s="39"/>
      <c r="E918"/>
      <c r="F918"/>
    </row>
    <row r="919" spans="2:6" x14ac:dyDescent="0.25">
      <c r="B919" s="39"/>
      <c r="E919"/>
      <c r="F919"/>
    </row>
    <row r="920" spans="2:6" x14ac:dyDescent="0.25">
      <c r="B920" s="39"/>
      <c r="E920"/>
      <c r="F920"/>
    </row>
    <row r="921" spans="2:6" x14ac:dyDescent="0.25">
      <c r="B921" s="39"/>
      <c r="E921"/>
      <c r="F921"/>
    </row>
    <row r="922" spans="2:6" x14ac:dyDescent="0.25">
      <c r="B922" s="39"/>
      <c r="E922"/>
      <c r="F922"/>
    </row>
    <row r="923" spans="2:6" x14ac:dyDescent="0.25">
      <c r="B923" s="39"/>
      <c r="E923"/>
      <c r="F923"/>
    </row>
    <row r="924" spans="2:6" x14ac:dyDescent="0.25">
      <c r="B924" s="39"/>
      <c r="E924"/>
      <c r="F924"/>
    </row>
    <row r="925" spans="2:6" x14ac:dyDescent="0.25">
      <c r="B925" s="39"/>
      <c r="E925"/>
      <c r="F925"/>
    </row>
    <row r="926" spans="2:6" x14ac:dyDescent="0.25">
      <c r="B926" s="39"/>
      <c r="E926"/>
      <c r="F926"/>
    </row>
    <row r="927" spans="2:6" x14ac:dyDescent="0.25">
      <c r="B927" s="39"/>
      <c r="E927"/>
      <c r="F927"/>
    </row>
    <row r="928" spans="2:6" x14ac:dyDescent="0.25">
      <c r="B928" s="39"/>
      <c r="E928"/>
      <c r="F928"/>
    </row>
  </sheetData>
  <autoFilter ref="B7:P219" xr:uid="{00000000-0009-0000-0000-000001000000}">
    <sortState xmlns:xlrd2="http://schemas.microsoft.com/office/spreadsheetml/2017/richdata2" ref="B8:P219">
      <sortCondition ref="F7:F219"/>
    </sortState>
  </autoFilter>
  <sortState xmlns:xlrd2="http://schemas.microsoft.com/office/spreadsheetml/2017/richdata2" ref="A8:P208">
    <sortCondition descending="1" ref="P8:P208"/>
    <sortCondition descending="1" ref="E8:E208"/>
  </sortState>
  <mergeCells count="8">
    <mergeCell ref="L5:M5"/>
    <mergeCell ref="H5:I5"/>
    <mergeCell ref="J5:K5"/>
    <mergeCell ref="N5:O5"/>
    <mergeCell ref="H4:I4"/>
    <mergeCell ref="J4:K4"/>
    <mergeCell ref="L4:M4"/>
    <mergeCell ref="N4:O4"/>
  </mergeCells>
  <phoneticPr fontId="0" type="noConversion"/>
  <conditionalFormatting sqref="A19:A34 A36:A194 A196:A205">
    <cfRule type="duplicateValues" dxfId="263" priority="1653"/>
  </conditionalFormatting>
  <conditionalFormatting sqref="A35">
    <cfRule type="duplicateValues" dxfId="262" priority="50"/>
    <cfRule type="duplicateValues" dxfId="261" priority="49"/>
    <cfRule type="duplicateValues" dxfId="260" priority="48"/>
    <cfRule type="duplicateValues" dxfId="259" priority="47"/>
  </conditionalFormatting>
  <conditionalFormatting sqref="A140:A166">
    <cfRule type="duplicateValues" dxfId="258" priority="1658"/>
  </conditionalFormatting>
  <conditionalFormatting sqref="A167:A194 A203 A196:A200">
    <cfRule type="duplicateValues" dxfId="257" priority="54"/>
  </conditionalFormatting>
  <conditionalFormatting sqref="A195">
    <cfRule type="duplicateValues" dxfId="256" priority="1"/>
    <cfRule type="duplicateValues" dxfId="255" priority="2"/>
    <cfRule type="duplicateValues" dxfId="254" priority="3"/>
  </conditionalFormatting>
  <conditionalFormatting sqref="A201">
    <cfRule type="duplicateValues" dxfId="253" priority="53"/>
  </conditionalFormatting>
  <conditionalFormatting sqref="A202">
    <cfRule type="duplicateValues" dxfId="252" priority="52"/>
  </conditionalFormatting>
  <conditionalFormatting sqref="A204:A205 A19:A27 A137:A139">
    <cfRule type="duplicateValues" dxfId="251" priority="56"/>
  </conditionalFormatting>
  <conditionalFormatting sqref="B19:B34 B36:B194 B196:B202">
    <cfRule type="duplicateValues" dxfId="250" priority="1668"/>
  </conditionalFormatting>
  <conditionalFormatting sqref="B35">
    <cfRule type="duplicateValues" dxfId="249" priority="42"/>
    <cfRule type="duplicateValues" dxfId="248" priority="37"/>
    <cfRule type="duplicateValues" dxfId="247" priority="36"/>
    <cfRule type="duplicateValues" dxfId="246" priority="39"/>
    <cfRule type="duplicateValues" dxfId="245" priority="40"/>
    <cfRule type="duplicateValues" dxfId="244" priority="41"/>
    <cfRule type="duplicateValues" dxfId="243" priority="38"/>
  </conditionalFormatting>
  <conditionalFormatting sqref="B195">
    <cfRule type="duplicateValues" dxfId="242" priority="9"/>
  </conditionalFormatting>
  <conditionalFormatting sqref="B204:B205 B19:B20 B22:B27 B137:B139">
    <cfRule type="duplicateValues" dxfId="241" priority="45"/>
  </conditionalFormatting>
  <conditionalFormatting sqref="B204:B205 B19:B27 B137:B139">
    <cfRule type="duplicateValues" dxfId="240" priority="44"/>
  </conditionalFormatting>
  <conditionalFormatting sqref="B204:B205">
    <cfRule type="duplicateValues" dxfId="239" priority="46"/>
  </conditionalFormatting>
  <conditionalFormatting sqref="B206:C216">
    <cfRule type="expression" dxfId="238" priority="61">
      <formula>$F206=$E$5</formula>
    </cfRule>
  </conditionalFormatting>
  <conditionalFormatting sqref="B8:D18 D206:D216 B217:D217">
    <cfRule type="expression" dxfId="237" priority="63" stopIfTrue="1">
      <formula>#REF!=$E$5</formula>
    </cfRule>
  </conditionalFormatting>
  <conditionalFormatting sqref="B8:P18">
    <cfRule type="expression" dxfId="236" priority="62" stopIfTrue="1">
      <formula>$F8=$E$5</formula>
    </cfRule>
  </conditionalFormatting>
  <conditionalFormatting sqref="D19:D20 D22:D34 D36:D139 I139:K167 F203:F205">
    <cfRule type="expression" dxfId="235" priority="35">
      <formula>$F19=$E$5</formula>
    </cfRule>
  </conditionalFormatting>
  <conditionalFormatting sqref="D19:D27 D137:D194 D196:D200">
    <cfRule type="expression" dxfId="234" priority="33">
      <formula>#REF!=$E$5</formula>
    </cfRule>
  </conditionalFormatting>
  <conditionalFormatting sqref="D19:D34 D36:D194 D196:D205">
    <cfRule type="cellIs" dxfId="233" priority="32" operator="equal">
      <formula>"F"</formula>
    </cfRule>
  </conditionalFormatting>
  <conditionalFormatting sqref="D21">
    <cfRule type="expression" dxfId="232" priority="31">
      <formula>$F21=$E$5</formula>
    </cfRule>
  </conditionalFormatting>
  <conditionalFormatting sqref="D28:D34 D36:D96">
    <cfRule type="expression" dxfId="231" priority="28">
      <formula>#REF!=$E$5</formula>
    </cfRule>
  </conditionalFormatting>
  <conditionalFormatting sqref="D35">
    <cfRule type="expression" dxfId="230" priority="23">
      <formula>$F35=#REF!</formula>
    </cfRule>
    <cfRule type="expression" dxfId="229" priority="22">
      <formula>#REF!=#REF!</formula>
    </cfRule>
    <cfRule type="cellIs" dxfId="228" priority="21" operator="equal">
      <formula>"F"</formula>
    </cfRule>
  </conditionalFormatting>
  <conditionalFormatting sqref="D97:D98 D112">
    <cfRule type="expression" dxfId="227" priority="34">
      <formula>#REF!=$E$5</formula>
    </cfRule>
  </conditionalFormatting>
  <conditionalFormatting sqref="D99:D111">
    <cfRule type="expression" dxfId="226" priority="29">
      <formula>#REF!=$E$5</formula>
    </cfRule>
  </conditionalFormatting>
  <conditionalFormatting sqref="D113:D136">
    <cfRule type="expression" dxfId="225" priority="30">
      <formula>#REF!=$E$5</formula>
    </cfRule>
  </conditionalFormatting>
  <conditionalFormatting sqref="D140:D144">
    <cfRule type="expression" dxfId="224" priority="1675">
      <formula>$F208=$E$5</formula>
    </cfRule>
  </conditionalFormatting>
  <conditionalFormatting sqref="D145:D147">
    <cfRule type="expression" dxfId="223" priority="58">
      <formula>$F214=$E$5</formula>
    </cfRule>
  </conditionalFormatting>
  <conditionalFormatting sqref="D195">
    <cfRule type="cellIs" dxfId="222" priority="5" operator="equal">
      <formula>"F"</formula>
    </cfRule>
    <cfRule type="expression" dxfId="221" priority="6">
      <formula>#REF!=$E$5</formula>
    </cfRule>
  </conditionalFormatting>
  <conditionalFormatting sqref="D201:D202">
    <cfRule type="expression" dxfId="220" priority="25">
      <formula>#REF!=$E$5</formula>
    </cfRule>
    <cfRule type="expression" dxfId="219" priority="1623">
      <formula>#REF!=$E$5</formula>
    </cfRule>
  </conditionalFormatting>
  <conditionalFormatting sqref="D203">
    <cfRule type="expression" dxfId="218" priority="1607">
      <formula>#REF!=$E$5</formula>
    </cfRule>
  </conditionalFormatting>
  <conditionalFormatting sqref="D203:D205">
    <cfRule type="expression" dxfId="217" priority="27">
      <formula>#REF!=$E$5</formula>
    </cfRule>
  </conditionalFormatting>
  <conditionalFormatting sqref="D204:D205">
    <cfRule type="expression" dxfId="216" priority="1622">
      <formula>$F217=$E$5</formula>
    </cfRule>
  </conditionalFormatting>
  <conditionalFormatting sqref="D206:E216 B217:E218 G206:P218 B219:D219 F219:G219 M219 P219:P220 B220:O220">
    <cfRule type="expression" dxfId="215" priority="577" stopIfTrue="1">
      <formula>$F206=$E$5</formula>
    </cfRule>
  </conditionalFormatting>
  <conditionalFormatting sqref="E195">
    <cfRule type="expression" dxfId="214" priority="4">
      <formula>$E195=#REF!</formula>
    </cfRule>
  </conditionalFormatting>
  <conditionalFormatting sqref="F19:F34">
    <cfRule type="expression" dxfId="213" priority="20">
      <formula>$F19=$E$5</formula>
    </cfRule>
  </conditionalFormatting>
  <conditionalFormatting sqref="F35">
    <cfRule type="expression" dxfId="212" priority="18">
      <formula>$F35=#REF!</formula>
    </cfRule>
  </conditionalFormatting>
  <conditionalFormatting sqref="F36:F200 H168:K205">
    <cfRule type="expression" dxfId="211" priority="7">
      <formula>$F36=$E$5</formula>
    </cfRule>
  </conditionalFormatting>
  <conditionalFormatting sqref="F202">
    <cfRule type="expression" dxfId="210" priority="19">
      <formula>$F202=$E$5</formula>
    </cfRule>
  </conditionalFormatting>
  <conditionalFormatting sqref="H97:I97">
    <cfRule type="expression" dxfId="209" priority="12">
      <formula>#REF!=$E$5</formula>
    </cfRule>
  </conditionalFormatting>
  <conditionalFormatting sqref="H19:K96">
    <cfRule type="expression" dxfId="208" priority="10">
      <formula>$F19=$E$5</formula>
    </cfRule>
  </conditionalFormatting>
  <conditionalFormatting sqref="J97:K97 H98:K138">
    <cfRule type="expression" dxfId="207" priority="11">
      <formula>$F97=$E$5</formula>
    </cfRule>
  </conditionalFormatting>
  <conditionalFormatting sqref="L19:P205">
    <cfRule type="expression" dxfId="206" priority="8" stopIfTrue="1">
      <formula>$F19=$E$5</formula>
    </cfRule>
  </conditionalFormatting>
  <dataValidations count="7">
    <dataValidation type="list" showInputMessage="1" showErrorMessage="1" sqref="E5" xr:uid="{00000000-0002-0000-0100-000000000000}">
      <formula1>Liste_Clubs</formula1>
    </dataValidation>
    <dataValidation type="list" allowBlank="1" showInputMessage="1" showErrorMessage="1" sqref="D206:D216 D14:D18" xr:uid="{00000000-0002-0000-0100-000001000000}">
      <formula1>"F,M"</formula1>
    </dataValidation>
    <dataValidation type="list" allowBlank="1" showErrorMessage="1" sqref="D8:D13" xr:uid="{00000000-0002-0000-0100-000002000000}">
      <formula1>"F,M"</formula1>
    </dataValidation>
    <dataValidation type="list" allowBlank="1" showErrorMessage="1" sqref="F8:F17" xr:uid="{B120E9C0-D30F-42E5-873D-1D3889279642}">
      <formula1>"API,ASM,ASV,CAO,CC2,COS,COU,JOUY,TTJ-BUC,USBY,USP,VAU"</formula1>
    </dataValidation>
    <dataValidation type="list" allowBlank="1" showErrorMessage="1" sqref="F18 F206:F218" xr:uid="{F1F13242-3555-4A9C-BED6-B6103CEFE51E}">
      <formula1>"API,ASM,ASV,CAO,CC2,COS,COU,TTJ-BUC,USBY,USP,VAU"</formula1>
    </dataValidation>
    <dataValidation type="list" allowBlank="1" showInputMessage="1" showErrorMessage="1" sqref="D19:D20 D22:D136 D205 D140:D203" xr:uid="{9C174B34-0D5C-444C-A225-807FD356EF7C}">
      <formula1>"F,M"</formula1>
      <formula2>0</formula2>
    </dataValidation>
    <dataValidation type="list" allowBlank="1" showErrorMessage="1" sqref="D21 D204" xr:uid="{8D56E078-B01A-4231-AC70-7B95C3F8828B}">
      <formula1>"F,M"</formula1>
      <formula2>0</formula2>
    </dataValidation>
  </dataValidations>
  <pageMargins left="0.39370078740157483" right="0.39370078740157483" top="0.39370078740157483" bottom="0.27559055118110237" header="0.27559055118110237" footer="0.43307086614173229"/>
  <pageSetup paperSize="9" scale="65" fitToHeight="2" orientation="portrait" horizontalDpi="300" verticalDpi="300" r:id="rId1"/>
  <headerFooter alignWithMargins="0">
    <oddHeader>&amp;C&amp;"Arial,Gras italique"Page &amp;P</oddHeader>
    <oddFooter>&amp;C&amp;"Arial,Gras"le &amp;D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>
    <pageSetUpPr fitToPage="1"/>
  </sheetPr>
  <dimension ref="A1:Z2721"/>
  <sheetViews>
    <sheetView tabSelected="1" topLeftCell="A97" zoomScale="85" zoomScaleNormal="85" workbookViewId="0">
      <selection activeCell="E114" sqref="E114"/>
    </sheetView>
  </sheetViews>
  <sheetFormatPr baseColWidth="10" defaultRowHeight="12.5" x14ac:dyDescent="0.25"/>
  <cols>
    <col min="1" max="1" width="8.453125" style="1" bestFit="1" customWidth="1"/>
    <col min="2" max="2" width="22.1796875" customWidth="1"/>
    <col min="3" max="3" width="12.453125" customWidth="1"/>
    <col min="4" max="4" width="8.453125" bestFit="1" customWidth="1"/>
    <col min="5" max="5" width="13.1796875" bestFit="1" customWidth="1"/>
    <col min="6" max="6" width="10.36328125" style="1" bestFit="1" customWidth="1"/>
    <col min="7" max="7" width="7" style="1" customWidth="1"/>
    <col min="8" max="8" width="8.1796875" hidden="1" customWidth="1"/>
    <col min="9" max="9" width="7.1796875" hidden="1" customWidth="1"/>
    <col min="10" max="10" width="8.1796875" style="1" hidden="1" customWidth="1"/>
    <col min="11" max="11" width="7.1796875" hidden="1" customWidth="1"/>
    <col min="12" max="12" width="8.1796875" bestFit="1" customWidth="1"/>
    <col min="13" max="13" width="9.36328125" customWidth="1"/>
    <col min="14" max="14" width="8.1796875" bestFit="1" customWidth="1"/>
    <col min="15" max="15" width="7.1796875" customWidth="1"/>
    <col min="16" max="16" width="11.453125" style="1"/>
  </cols>
  <sheetData>
    <row r="1" spans="1:26" ht="18" x14ac:dyDescent="0.4">
      <c r="B1" s="8" t="str">
        <f>Poussins!B1</f>
        <v>TOURNOI DE LA VALLEE DE CHEVREUSE 2025-2026</v>
      </c>
      <c r="C1" s="3"/>
      <c r="D1" s="3"/>
      <c r="E1" s="3"/>
      <c r="F1" s="6"/>
      <c r="G1" s="6"/>
      <c r="Z1" s="72"/>
    </row>
    <row r="2" spans="1:26" ht="25.5" customHeight="1" x14ac:dyDescent="0.25">
      <c r="Z2" s="72"/>
    </row>
    <row r="3" spans="1:26" ht="18.5" thickBot="1" x14ac:dyDescent="0.45">
      <c r="B3" s="634" t="s">
        <v>51</v>
      </c>
      <c r="C3" s="635"/>
      <c r="D3" s="635"/>
      <c r="E3" s="635"/>
      <c r="H3" s="12"/>
      <c r="I3" s="12"/>
      <c r="J3" s="15"/>
      <c r="K3" s="12"/>
      <c r="L3" s="12"/>
      <c r="M3" s="12"/>
      <c r="N3" s="12"/>
      <c r="O3" s="12"/>
      <c r="Z3" s="72"/>
    </row>
    <row r="4" spans="1:26" ht="13.5" thickBot="1" x14ac:dyDescent="0.35">
      <c r="C4" s="1" t="s">
        <v>28</v>
      </c>
      <c r="D4" s="1"/>
      <c r="H4" s="629" t="s">
        <v>24</v>
      </c>
      <c r="I4" s="630"/>
      <c r="J4" s="629" t="s">
        <v>25</v>
      </c>
      <c r="K4" s="630"/>
      <c r="L4" s="629" t="s">
        <v>26</v>
      </c>
      <c r="M4" s="630"/>
      <c r="N4" s="629" t="s">
        <v>27</v>
      </c>
      <c r="O4" s="630"/>
      <c r="Z4" s="72"/>
    </row>
    <row r="5" spans="1:26" ht="13.5" thickBot="1" x14ac:dyDescent="0.35">
      <c r="C5" s="35" t="s">
        <v>29</v>
      </c>
      <c r="D5" s="35"/>
      <c r="E5" s="36" t="s">
        <v>80</v>
      </c>
      <c r="H5" s="631">
        <f>Poussins!H5</f>
        <v>45991</v>
      </c>
      <c r="I5" s="632"/>
      <c r="J5" s="631">
        <f>Poussins!J5</f>
        <v>46040</v>
      </c>
      <c r="K5" s="632"/>
      <c r="L5" s="631">
        <f>Poussins!L5</f>
        <v>46103</v>
      </c>
      <c r="M5" s="632"/>
      <c r="N5" s="631">
        <f>Poussins!N5</f>
        <v>46180</v>
      </c>
      <c r="O5" s="632"/>
      <c r="Z5" s="72"/>
    </row>
    <row r="6" spans="1:26" ht="13" thickBot="1" x14ac:dyDescent="0.3">
      <c r="H6" s="144"/>
      <c r="I6" s="10"/>
      <c r="J6" s="37"/>
      <c r="K6" s="10"/>
      <c r="L6" s="144"/>
      <c r="M6" s="10"/>
      <c r="N6" s="144"/>
      <c r="O6" s="10"/>
      <c r="Z6" s="72"/>
    </row>
    <row r="7" spans="1:26" ht="14.5" x14ac:dyDescent="0.35">
      <c r="A7" s="523" t="s">
        <v>387</v>
      </c>
      <c r="B7" s="154" t="s">
        <v>0</v>
      </c>
      <c r="C7" s="496" t="s">
        <v>1</v>
      </c>
      <c r="D7" s="154" t="s">
        <v>109</v>
      </c>
      <c r="E7" s="154" t="s">
        <v>8</v>
      </c>
      <c r="F7" s="497" t="s">
        <v>7</v>
      </c>
      <c r="G7" s="209" t="s">
        <v>41</v>
      </c>
      <c r="H7" s="210" t="s">
        <v>105</v>
      </c>
      <c r="I7" s="498" t="s">
        <v>32</v>
      </c>
      <c r="J7" s="210" t="s">
        <v>106</v>
      </c>
      <c r="K7" s="498" t="s">
        <v>33</v>
      </c>
      <c r="L7" s="210" t="s">
        <v>107</v>
      </c>
      <c r="M7" s="498" t="s">
        <v>34</v>
      </c>
      <c r="N7" s="210" t="s">
        <v>108</v>
      </c>
      <c r="O7" s="498" t="s">
        <v>35</v>
      </c>
      <c r="P7" s="211" t="s">
        <v>6</v>
      </c>
      <c r="Z7" s="72"/>
    </row>
    <row r="8" spans="1:26" ht="15" customHeight="1" x14ac:dyDescent="0.35">
      <c r="A8" s="231">
        <v>4001</v>
      </c>
      <c r="B8" s="178" t="s">
        <v>745</v>
      </c>
      <c r="C8" s="178" t="s">
        <v>73</v>
      </c>
      <c r="D8" s="169" t="s">
        <v>111</v>
      </c>
      <c r="E8" s="179">
        <v>41032</v>
      </c>
      <c r="F8" s="180" t="s">
        <v>10</v>
      </c>
      <c r="G8" s="227">
        <v>500</v>
      </c>
      <c r="H8" s="235" t="s">
        <v>273</v>
      </c>
      <c r="I8" s="183">
        <v>1</v>
      </c>
      <c r="J8" s="465"/>
      <c r="K8" s="198"/>
      <c r="L8" s="235"/>
      <c r="M8" s="183"/>
      <c r="N8" s="230"/>
      <c r="O8" s="183"/>
      <c r="P8" s="220">
        <f t="shared" ref="P8:P39" si="0">SUM(I8:O8)</f>
        <v>1</v>
      </c>
    </row>
    <row r="9" spans="1:26" ht="15" customHeight="1" x14ac:dyDescent="0.35">
      <c r="A9" s="231">
        <v>4002</v>
      </c>
      <c r="B9" s="178" t="s">
        <v>279</v>
      </c>
      <c r="C9" s="178" t="s">
        <v>413</v>
      </c>
      <c r="D9" s="169" t="s">
        <v>110</v>
      </c>
      <c r="E9" s="179">
        <v>40917</v>
      </c>
      <c r="F9" s="180" t="s">
        <v>10</v>
      </c>
      <c r="G9" s="227">
        <v>500</v>
      </c>
      <c r="H9" s="235" t="s">
        <v>273</v>
      </c>
      <c r="I9" s="183">
        <v>8</v>
      </c>
      <c r="J9" s="466" t="s">
        <v>264</v>
      </c>
      <c r="K9" s="198">
        <v>8</v>
      </c>
      <c r="L9" s="235" t="s">
        <v>273</v>
      </c>
      <c r="M9" s="183"/>
      <c r="N9" s="230"/>
      <c r="O9" s="183"/>
      <c r="P9" s="220">
        <f t="shared" si="0"/>
        <v>16</v>
      </c>
    </row>
    <row r="10" spans="1:26" ht="15" customHeight="1" x14ac:dyDescent="0.35">
      <c r="A10" s="231">
        <v>4003</v>
      </c>
      <c r="B10" s="194" t="s">
        <v>198</v>
      </c>
      <c r="C10" s="186" t="s">
        <v>98</v>
      </c>
      <c r="D10" s="156" t="s">
        <v>111</v>
      </c>
      <c r="E10" s="188">
        <v>40861</v>
      </c>
      <c r="F10" s="180" t="s">
        <v>79</v>
      </c>
      <c r="G10" s="233">
        <v>647</v>
      </c>
      <c r="H10" s="235" t="s">
        <v>273</v>
      </c>
      <c r="I10" s="183">
        <v>8</v>
      </c>
      <c r="J10" s="465" t="s">
        <v>273</v>
      </c>
      <c r="K10" s="198">
        <v>6</v>
      </c>
      <c r="L10" s="235"/>
      <c r="M10" s="183"/>
      <c r="N10" s="230"/>
      <c r="O10" s="183"/>
      <c r="P10" s="220">
        <f t="shared" si="0"/>
        <v>14</v>
      </c>
    </row>
    <row r="11" spans="1:26" ht="15" customHeight="1" x14ac:dyDescent="0.35">
      <c r="A11" s="231">
        <v>4004</v>
      </c>
      <c r="B11" s="185" t="s">
        <v>261</v>
      </c>
      <c r="C11" s="186" t="s">
        <v>262</v>
      </c>
      <c r="D11" s="180" t="s">
        <v>111</v>
      </c>
      <c r="E11" s="152">
        <v>40909</v>
      </c>
      <c r="F11" s="180" t="s">
        <v>11</v>
      </c>
      <c r="G11" s="233">
        <v>500</v>
      </c>
      <c r="H11" s="235" t="s">
        <v>273</v>
      </c>
      <c r="I11" s="183">
        <v>2</v>
      </c>
      <c r="J11" s="466" t="s">
        <v>273</v>
      </c>
      <c r="K11" s="198">
        <v>4</v>
      </c>
      <c r="L11" s="235" t="s">
        <v>273</v>
      </c>
      <c r="M11" s="183"/>
      <c r="N11" s="230"/>
      <c r="O11" s="183"/>
      <c r="P11" s="220">
        <f t="shared" si="0"/>
        <v>6</v>
      </c>
      <c r="Z11" s="72"/>
    </row>
    <row r="12" spans="1:26" ht="15" customHeight="1" x14ac:dyDescent="0.35">
      <c r="A12" s="231">
        <v>4005</v>
      </c>
      <c r="B12" s="190" t="s">
        <v>193</v>
      </c>
      <c r="C12" s="190" t="s">
        <v>73</v>
      </c>
      <c r="D12" s="169" t="s">
        <v>111</v>
      </c>
      <c r="E12" s="193">
        <v>41002</v>
      </c>
      <c r="F12" s="180" t="s">
        <v>66</v>
      </c>
      <c r="G12" s="227">
        <v>500</v>
      </c>
      <c r="H12" s="235" t="s">
        <v>273</v>
      </c>
      <c r="I12" s="183">
        <v>2</v>
      </c>
      <c r="J12" s="465"/>
      <c r="K12" s="198"/>
      <c r="L12" s="235" t="s">
        <v>273</v>
      </c>
      <c r="M12" s="183"/>
      <c r="N12" s="230"/>
      <c r="O12" s="183"/>
      <c r="P12" s="220">
        <f t="shared" si="0"/>
        <v>2</v>
      </c>
    </row>
    <row r="13" spans="1:26" ht="15" customHeight="1" x14ac:dyDescent="0.35">
      <c r="A13" s="231">
        <v>4006</v>
      </c>
      <c r="B13" s="190" t="s">
        <v>408</v>
      </c>
      <c r="C13" s="190" t="s">
        <v>433</v>
      </c>
      <c r="D13" s="169" t="s">
        <v>110</v>
      </c>
      <c r="E13" s="193">
        <v>41002</v>
      </c>
      <c r="F13" s="180" t="s">
        <v>9</v>
      </c>
      <c r="G13" s="227">
        <v>500</v>
      </c>
      <c r="H13" s="235"/>
      <c r="I13" s="183"/>
      <c r="J13" s="465"/>
      <c r="K13" s="198"/>
      <c r="L13" s="235"/>
      <c r="M13" s="183"/>
      <c r="N13" s="230"/>
      <c r="O13" s="183"/>
      <c r="P13" s="220">
        <f t="shared" si="0"/>
        <v>0</v>
      </c>
    </row>
    <row r="14" spans="1:26" ht="14.5" x14ac:dyDescent="0.35">
      <c r="A14" s="231">
        <v>4007</v>
      </c>
      <c r="B14" s="190" t="s">
        <v>746</v>
      </c>
      <c r="C14" s="190" t="s">
        <v>747</v>
      </c>
      <c r="D14" s="169" t="s">
        <v>111</v>
      </c>
      <c r="E14" s="200">
        <v>41267</v>
      </c>
      <c r="F14" s="180" t="s">
        <v>77</v>
      </c>
      <c r="G14" s="233">
        <v>500</v>
      </c>
      <c r="H14" s="235" t="s">
        <v>273</v>
      </c>
      <c r="I14" s="183">
        <v>2</v>
      </c>
      <c r="J14" s="465" t="s">
        <v>273</v>
      </c>
      <c r="K14" s="198">
        <v>1</v>
      </c>
      <c r="L14" s="235" t="s">
        <v>273</v>
      </c>
      <c r="M14" s="183"/>
      <c r="N14" s="230"/>
      <c r="O14" s="183"/>
      <c r="P14" s="220">
        <f t="shared" si="0"/>
        <v>3</v>
      </c>
    </row>
    <row r="15" spans="1:26" ht="15" customHeight="1" x14ac:dyDescent="0.35">
      <c r="A15" s="231">
        <v>4008</v>
      </c>
      <c r="B15" s="191" t="s">
        <v>188</v>
      </c>
      <c r="C15" s="191" t="s">
        <v>189</v>
      </c>
      <c r="D15" s="156" t="s">
        <v>111</v>
      </c>
      <c r="E15" s="188">
        <v>41009</v>
      </c>
      <c r="F15" s="180" t="s">
        <v>66</v>
      </c>
      <c r="G15" s="236">
        <v>517</v>
      </c>
      <c r="H15" s="235"/>
      <c r="I15" s="183"/>
      <c r="J15" s="465"/>
      <c r="K15" s="198"/>
      <c r="L15" s="235"/>
      <c r="M15" s="183"/>
      <c r="N15" s="230"/>
      <c r="O15" s="183"/>
      <c r="P15" s="220">
        <f t="shared" si="0"/>
        <v>0</v>
      </c>
    </row>
    <row r="16" spans="1:26" ht="15" customHeight="1" x14ac:dyDescent="0.35">
      <c r="A16" s="231">
        <v>4009</v>
      </c>
      <c r="B16" s="178" t="s">
        <v>633</v>
      </c>
      <c r="C16" s="178" t="s">
        <v>162</v>
      </c>
      <c r="D16" s="169" t="s">
        <v>111</v>
      </c>
      <c r="E16" s="179">
        <v>41118</v>
      </c>
      <c r="F16" s="180" t="s">
        <v>10</v>
      </c>
      <c r="G16" s="227">
        <v>500</v>
      </c>
      <c r="H16" s="235"/>
      <c r="I16" s="183"/>
      <c r="J16" s="465"/>
      <c r="K16" s="198"/>
      <c r="L16" s="235"/>
      <c r="M16" s="183"/>
      <c r="N16" s="230"/>
      <c r="O16" s="183"/>
      <c r="P16" s="220">
        <f t="shared" si="0"/>
        <v>0</v>
      </c>
    </row>
    <row r="17" spans="1:26" ht="15" customHeight="1" x14ac:dyDescent="0.35">
      <c r="A17" s="231">
        <v>4010</v>
      </c>
      <c r="B17" s="189" t="s">
        <v>846</v>
      </c>
      <c r="C17" s="189" t="s">
        <v>415</v>
      </c>
      <c r="D17" s="156" t="s">
        <v>110</v>
      </c>
      <c r="E17" s="188">
        <v>41272</v>
      </c>
      <c r="F17" s="180" t="s">
        <v>13</v>
      </c>
      <c r="G17" s="234" t="s">
        <v>126</v>
      </c>
      <c r="H17" s="235"/>
      <c r="I17" s="183"/>
      <c r="J17" s="465" t="s">
        <v>273</v>
      </c>
      <c r="K17" s="198">
        <v>6</v>
      </c>
      <c r="L17" s="235" t="s">
        <v>273</v>
      </c>
      <c r="M17" s="183"/>
      <c r="N17" s="230"/>
      <c r="O17" s="183"/>
      <c r="P17" s="220">
        <f t="shared" si="0"/>
        <v>6</v>
      </c>
    </row>
    <row r="18" spans="1:26" ht="15" customHeight="1" x14ac:dyDescent="0.35">
      <c r="A18" s="231">
        <v>4011</v>
      </c>
      <c r="B18" s="187" t="s">
        <v>144</v>
      </c>
      <c r="C18" s="187" t="s">
        <v>123</v>
      </c>
      <c r="D18" s="156" t="s">
        <v>110</v>
      </c>
      <c r="E18" s="188">
        <v>40602</v>
      </c>
      <c r="F18" s="180" t="s">
        <v>37</v>
      </c>
      <c r="G18" s="232">
        <v>500</v>
      </c>
      <c r="H18" s="235"/>
      <c r="I18" s="183"/>
      <c r="J18" s="235"/>
      <c r="K18" s="183"/>
      <c r="L18" s="235"/>
      <c r="M18" s="183"/>
      <c r="N18" s="230"/>
      <c r="O18" s="183"/>
      <c r="P18" s="220">
        <f t="shared" si="0"/>
        <v>0</v>
      </c>
      <c r="Z18" s="72"/>
    </row>
    <row r="19" spans="1:26" ht="14.5" x14ac:dyDescent="0.35">
      <c r="A19" s="231">
        <v>4012</v>
      </c>
      <c r="B19" s="187" t="s">
        <v>450</v>
      </c>
      <c r="C19" s="187" t="s">
        <v>62</v>
      </c>
      <c r="D19" s="156" t="s">
        <v>111</v>
      </c>
      <c r="E19" s="188">
        <v>41205</v>
      </c>
      <c r="F19" s="180" t="s">
        <v>12</v>
      </c>
      <c r="G19" s="232">
        <v>500</v>
      </c>
      <c r="H19" s="235"/>
      <c r="I19" s="183"/>
      <c r="J19" s="465"/>
      <c r="K19" s="198"/>
      <c r="L19" s="235"/>
      <c r="M19" s="183"/>
      <c r="N19" s="230"/>
      <c r="O19" s="183"/>
      <c r="P19" s="220">
        <f t="shared" si="0"/>
        <v>0</v>
      </c>
    </row>
    <row r="20" spans="1:26" ht="15" customHeight="1" x14ac:dyDescent="0.35">
      <c r="A20" s="231">
        <v>4013</v>
      </c>
      <c r="B20" s="191" t="s">
        <v>748</v>
      </c>
      <c r="C20" s="192" t="s">
        <v>749</v>
      </c>
      <c r="D20" s="156" t="s">
        <v>111</v>
      </c>
      <c r="E20" s="188">
        <v>40495</v>
      </c>
      <c r="F20" s="180" t="s">
        <v>294</v>
      </c>
      <c r="G20" s="232" t="s">
        <v>126</v>
      </c>
      <c r="H20" s="235"/>
      <c r="I20" s="183"/>
      <c r="J20" s="465"/>
      <c r="K20" s="198"/>
      <c r="L20" s="235"/>
      <c r="M20" s="183"/>
      <c r="N20" s="230"/>
      <c r="O20" s="183"/>
      <c r="P20" s="220">
        <f t="shared" si="0"/>
        <v>0</v>
      </c>
    </row>
    <row r="21" spans="1:26" ht="15" customHeight="1" x14ac:dyDescent="0.35">
      <c r="A21" s="231">
        <v>4014</v>
      </c>
      <c r="B21" s="190" t="s">
        <v>452</v>
      </c>
      <c r="C21" s="190" t="s">
        <v>276</v>
      </c>
      <c r="D21" s="169" t="s">
        <v>111</v>
      </c>
      <c r="E21" s="200">
        <v>41088</v>
      </c>
      <c r="F21" s="180" t="s">
        <v>77</v>
      </c>
      <c r="G21" s="233">
        <v>500</v>
      </c>
      <c r="H21" s="235"/>
      <c r="I21" s="183"/>
      <c r="J21" s="235" t="s">
        <v>273</v>
      </c>
      <c r="K21" s="183">
        <v>2</v>
      </c>
      <c r="L21" s="235"/>
      <c r="M21" s="183"/>
      <c r="N21" s="230"/>
      <c r="O21" s="183"/>
      <c r="P21" s="220">
        <f t="shared" si="0"/>
        <v>2</v>
      </c>
    </row>
    <row r="22" spans="1:26" ht="15" customHeight="1" x14ac:dyDescent="0.35">
      <c r="A22" s="231">
        <v>4015</v>
      </c>
      <c r="B22" s="194" t="s">
        <v>411</v>
      </c>
      <c r="C22" s="186" t="s">
        <v>855</v>
      </c>
      <c r="D22" s="156" t="s">
        <v>110</v>
      </c>
      <c r="E22" s="188">
        <v>40711</v>
      </c>
      <c r="F22" s="180" t="s">
        <v>79</v>
      </c>
      <c r="G22" s="233">
        <v>500</v>
      </c>
      <c r="H22" s="235"/>
      <c r="I22" s="183"/>
      <c r="J22" s="465"/>
      <c r="K22" s="198"/>
      <c r="L22" s="235"/>
      <c r="M22" s="183"/>
      <c r="N22" s="230"/>
      <c r="O22" s="183"/>
      <c r="P22" s="220">
        <f t="shared" si="0"/>
        <v>0</v>
      </c>
    </row>
    <row r="23" spans="1:26" ht="15" customHeight="1" x14ac:dyDescent="0.35">
      <c r="A23" s="231">
        <v>4016</v>
      </c>
      <c r="B23" s="194" t="s">
        <v>409</v>
      </c>
      <c r="C23" s="186" t="s">
        <v>123</v>
      </c>
      <c r="D23" s="156" t="s">
        <v>110</v>
      </c>
      <c r="E23" s="188">
        <v>40897</v>
      </c>
      <c r="F23" s="180" t="s">
        <v>79</v>
      </c>
      <c r="G23" s="233">
        <v>500</v>
      </c>
      <c r="H23" s="235"/>
      <c r="I23" s="183"/>
      <c r="J23" s="465"/>
      <c r="K23" s="198"/>
      <c r="L23" s="235"/>
      <c r="M23" s="183"/>
      <c r="N23" s="230"/>
      <c r="O23" s="183"/>
      <c r="P23" s="220">
        <f t="shared" si="0"/>
        <v>0</v>
      </c>
    </row>
    <row r="24" spans="1:26" ht="15" customHeight="1" x14ac:dyDescent="0.35">
      <c r="A24" s="231">
        <v>4017</v>
      </c>
      <c r="B24" s="190" t="s">
        <v>750</v>
      </c>
      <c r="C24" s="190" t="s">
        <v>70</v>
      </c>
      <c r="D24" s="169" t="s">
        <v>111</v>
      </c>
      <c r="E24" s="193">
        <v>41263</v>
      </c>
      <c r="F24" s="180" t="s">
        <v>9</v>
      </c>
      <c r="G24" s="227">
        <v>500</v>
      </c>
      <c r="H24" s="235" t="s">
        <v>273</v>
      </c>
      <c r="I24" s="183">
        <v>7</v>
      </c>
      <c r="J24" s="465"/>
      <c r="K24" s="198"/>
      <c r="L24" s="235"/>
      <c r="M24" s="183"/>
      <c r="N24" s="230"/>
      <c r="O24" s="183"/>
      <c r="P24" s="220">
        <f t="shared" si="0"/>
        <v>7</v>
      </c>
    </row>
    <row r="25" spans="1:26" ht="15" customHeight="1" x14ac:dyDescent="0.35">
      <c r="A25" s="231">
        <v>4018</v>
      </c>
      <c r="B25" s="190" t="s">
        <v>146</v>
      </c>
      <c r="C25" s="190" t="s">
        <v>91</v>
      </c>
      <c r="D25" s="169" t="s">
        <v>111</v>
      </c>
      <c r="E25" s="193">
        <v>40870</v>
      </c>
      <c r="F25" s="180" t="s">
        <v>9</v>
      </c>
      <c r="G25" s="227">
        <v>1134</v>
      </c>
      <c r="H25" s="235"/>
      <c r="I25" s="183"/>
      <c r="J25" s="465"/>
      <c r="K25" s="198"/>
      <c r="L25" s="235"/>
      <c r="M25" s="183"/>
      <c r="N25" s="230"/>
      <c r="O25" s="183"/>
      <c r="P25" s="220">
        <f t="shared" si="0"/>
        <v>0</v>
      </c>
    </row>
    <row r="26" spans="1:26" ht="14.5" x14ac:dyDescent="0.35">
      <c r="A26" s="231">
        <v>4019</v>
      </c>
      <c r="B26" s="190" t="s">
        <v>239</v>
      </c>
      <c r="C26" s="190" t="s">
        <v>55</v>
      </c>
      <c r="D26" s="169" t="s">
        <v>111</v>
      </c>
      <c r="E26" s="193">
        <v>40269</v>
      </c>
      <c r="F26" s="180" t="s">
        <v>9</v>
      </c>
      <c r="G26" s="227">
        <v>500</v>
      </c>
      <c r="H26" s="235"/>
      <c r="I26" s="183"/>
      <c r="J26" s="465"/>
      <c r="K26" s="198"/>
      <c r="L26" s="235"/>
      <c r="M26" s="183"/>
      <c r="N26" s="230"/>
      <c r="O26" s="183"/>
      <c r="P26" s="220">
        <f t="shared" si="0"/>
        <v>0</v>
      </c>
    </row>
    <row r="27" spans="1:26" ht="14.5" x14ac:dyDescent="0.35">
      <c r="A27" s="231">
        <v>4020</v>
      </c>
      <c r="B27" s="191" t="s">
        <v>191</v>
      </c>
      <c r="C27" s="191" t="s">
        <v>192</v>
      </c>
      <c r="D27" s="156" t="s">
        <v>111</v>
      </c>
      <c r="E27" s="188">
        <v>40865</v>
      </c>
      <c r="F27" s="180" t="s">
        <v>66</v>
      </c>
      <c r="G27" s="236">
        <v>538</v>
      </c>
      <c r="H27" s="235" t="s">
        <v>273</v>
      </c>
      <c r="I27" s="183">
        <v>9</v>
      </c>
      <c r="J27" s="466" t="s">
        <v>273</v>
      </c>
      <c r="K27" s="198">
        <v>9</v>
      </c>
      <c r="L27" s="235" t="s">
        <v>273</v>
      </c>
      <c r="M27" s="183"/>
      <c r="N27" s="230"/>
      <c r="O27" s="183"/>
      <c r="P27" s="220">
        <f t="shared" si="0"/>
        <v>18</v>
      </c>
    </row>
    <row r="28" spans="1:26" ht="14.5" x14ac:dyDescent="0.35">
      <c r="A28" s="231">
        <v>4021</v>
      </c>
      <c r="B28" s="190" t="s">
        <v>751</v>
      </c>
      <c r="C28" s="190" t="s">
        <v>67</v>
      </c>
      <c r="D28" s="169" t="s">
        <v>111</v>
      </c>
      <c r="E28" s="196">
        <v>40465</v>
      </c>
      <c r="F28" s="180" t="s">
        <v>77</v>
      </c>
      <c r="G28" s="233">
        <v>500</v>
      </c>
      <c r="H28" s="235"/>
      <c r="I28" s="183"/>
      <c r="J28" s="235"/>
      <c r="K28" s="183"/>
      <c r="L28" s="235"/>
      <c r="M28" s="183"/>
      <c r="N28" s="230"/>
      <c r="O28" s="183"/>
      <c r="P28" s="220">
        <f t="shared" si="0"/>
        <v>0</v>
      </c>
    </row>
    <row r="29" spans="1:26" ht="15" customHeight="1" x14ac:dyDescent="0.35">
      <c r="A29" s="231">
        <v>4022</v>
      </c>
      <c r="B29" s="186" t="s">
        <v>752</v>
      </c>
      <c r="C29" s="190" t="s">
        <v>157</v>
      </c>
      <c r="D29" s="156" t="s">
        <v>111</v>
      </c>
      <c r="E29" s="153">
        <v>41230</v>
      </c>
      <c r="F29" s="180" t="s">
        <v>294</v>
      </c>
      <c r="G29" s="227">
        <v>500</v>
      </c>
      <c r="H29" s="235" t="s">
        <v>273</v>
      </c>
      <c r="I29" s="183">
        <v>9</v>
      </c>
      <c r="J29" s="453"/>
      <c r="K29" s="183"/>
      <c r="L29" s="235"/>
      <c r="M29" s="183"/>
      <c r="N29" s="230"/>
      <c r="O29" s="183"/>
      <c r="P29" s="220">
        <f t="shared" si="0"/>
        <v>9</v>
      </c>
      <c r="Z29" s="72" t="s">
        <v>66</v>
      </c>
    </row>
    <row r="30" spans="1:26" ht="15" customHeight="1" x14ac:dyDescent="0.35">
      <c r="A30" s="231">
        <v>4023</v>
      </c>
      <c r="B30" s="190" t="s">
        <v>214</v>
      </c>
      <c r="C30" s="190" t="s">
        <v>230</v>
      </c>
      <c r="D30" s="169" t="s">
        <v>110</v>
      </c>
      <c r="E30" s="193">
        <v>40922</v>
      </c>
      <c r="F30" s="180" t="s">
        <v>9</v>
      </c>
      <c r="G30" s="227">
        <v>500</v>
      </c>
      <c r="H30" s="235"/>
      <c r="I30" s="183"/>
      <c r="J30" s="465"/>
      <c r="K30" s="198"/>
      <c r="L30" s="235"/>
      <c r="M30" s="183"/>
      <c r="N30" s="230"/>
      <c r="O30" s="183"/>
      <c r="P30" s="220">
        <f t="shared" si="0"/>
        <v>0</v>
      </c>
    </row>
    <row r="31" spans="1:26" ht="15" customHeight="1" x14ac:dyDescent="0.35">
      <c r="A31" s="231">
        <v>4024</v>
      </c>
      <c r="B31" s="187" t="s">
        <v>207</v>
      </c>
      <c r="C31" s="187" t="s">
        <v>208</v>
      </c>
      <c r="D31" s="156" t="s">
        <v>111</v>
      </c>
      <c r="E31" s="153">
        <v>40713</v>
      </c>
      <c r="F31" s="180" t="s">
        <v>12</v>
      </c>
      <c r="G31" s="232">
        <v>500</v>
      </c>
      <c r="H31" s="235"/>
      <c r="I31" s="183"/>
      <c r="J31" s="465"/>
      <c r="K31" s="199"/>
      <c r="L31" s="235"/>
      <c r="M31" s="183"/>
      <c r="N31" s="230"/>
      <c r="O31" s="183"/>
      <c r="P31" s="220">
        <f t="shared" si="0"/>
        <v>0</v>
      </c>
    </row>
    <row r="32" spans="1:26" ht="15" customHeight="1" x14ac:dyDescent="0.35">
      <c r="A32" s="231">
        <v>4025</v>
      </c>
      <c r="B32" s="189" t="s">
        <v>753</v>
      </c>
      <c r="C32" s="189" t="s">
        <v>88</v>
      </c>
      <c r="D32" s="156" t="s">
        <v>111</v>
      </c>
      <c r="E32" s="188">
        <v>40870</v>
      </c>
      <c r="F32" s="180" t="s">
        <v>13</v>
      </c>
      <c r="G32" s="232">
        <v>500</v>
      </c>
      <c r="H32" s="235" t="s">
        <v>273</v>
      </c>
      <c r="I32" s="183">
        <v>2</v>
      </c>
      <c r="J32" s="465"/>
      <c r="K32" s="198"/>
      <c r="L32" s="235"/>
      <c r="M32" s="183"/>
      <c r="N32" s="230"/>
      <c r="O32" s="183"/>
      <c r="P32" s="220">
        <f t="shared" si="0"/>
        <v>2</v>
      </c>
      <c r="Z32" s="72" t="s">
        <v>54</v>
      </c>
    </row>
    <row r="33" spans="1:16" ht="15" customHeight="1" x14ac:dyDescent="0.35">
      <c r="A33" s="231">
        <v>4026</v>
      </c>
      <c r="B33" s="191" t="s">
        <v>485</v>
      </c>
      <c r="C33" s="192" t="s">
        <v>822</v>
      </c>
      <c r="D33" s="156" t="s">
        <v>111</v>
      </c>
      <c r="E33" s="188">
        <v>40701</v>
      </c>
      <c r="F33" s="180" t="s">
        <v>294</v>
      </c>
      <c r="G33" s="232">
        <v>500</v>
      </c>
      <c r="H33" s="235" t="s">
        <v>273</v>
      </c>
      <c r="I33" s="183">
        <v>2</v>
      </c>
      <c r="J33" s="466"/>
      <c r="K33" s="198"/>
      <c r="L33" s="235"/>
      <c r="M33" s="183"/>
      <c r="N33" s="230"/>
      <c r="O33" s="183"/>
      <c r="P33" s="220">
        <f t="shared" si="0"/>
        <v>2</v>
      </c>
    </row>
    <row r="34" spans="1:16" ht="15" customHeight="1" x14ac:dyDescent="0.35">
      <c r="A34" s="231">
        <v>4027</v>
      </c>
      <c r="B34" s="178" t="s">
        <v>754</v>
      </c>
      <c r="C34" s="178" t="s">
        <v>366</v>
      </c>
      <c r="D34" s="169" t="s">
        <v>110</v>
      </c>
      <c r="E34" s="179">
        <v>40738</v>
      </c>
      <c r="F34" s="180" t="s">
        <v>10</v>
      </c>
      <c r="G34" s="227">
        <v>500</v>
      </c>
      <c r="H34" s="235" t="s">
        <v>273</v>
      </c>
      <c r="I34" s="183">
        <v>7</v>
      </c>
      <c r="J34" s="466" t="s">
        <v>273</v>
      </c>
      <c r="K34" s="198">
        <v>6</v>
      </c>
      <c r="L34" s="235" t="s">
        <v>273</v>
      </c>
      <c r="M34" s="183"/>
      <c r="N34" s="230"/>
      <c r="O34" s="183"/>
      <c r="P34" s="220">
        <f t="shared" si="0"/>
        <v>13</v>
      </c>
    </row>
    <row r="35" spans="1:16" ht="15" customHeight="1" x14ac:dyDescent="0.35">
      <c r="A35" s="231">
        <v>4028</v>
      </c>
      <c r="B35" s="190" t="s">
        <v>755</v>
      </c>
      <c r="C35" s="190" t="s">
        <v>220</v>
      </c>
      <c r="D35" s="169" t="s">
        <v>111</v>
      </c>
      <c r="E35" s="193">
        <v>41104</v>
      </c>
      <c r="F35" s="180" t="s">
        <v>66</v>
      </c>
      <c r="G35" s="227">
        <v>500</v>
      </c>
      <c r="H35" s="235" t="s">
        <v>273</v>
      </c>
      <c r="I35" s="183">
        <v>2</v>
      </c>
      <c r="J35" s="235"/>
      <c r="K35" s="183"/>
      <c r="L35" s="235"/>
      <c r="M35" s="183"/>
      <c r="N35" s="230"/>
      <c r="O35" s="183"/>
      <c r="P35" s="220">
        <f t="shared" si="0"/>
        <v>2</v>
      </c>
    </row>
    <row r="36" spans="1:16" ht="15" customHeight="1" x14ac:dyDescent="0.35">
      <c r="A36" s="231">
        <v>4029</v>
      </c>
      <c r="B36" s="190" t="s">
        <v>231</v>
      </c>
      <c r="C36" s="190" t="s">
        <v>232</v>
      </c>
      <c r="D36" s="169" t="s">
        <v>111</v>
      </c>
      <c r="E36" s="193">
        <v>41104</v>
      </c>
      <c r="F36" s="180" t="s">
        <v>9</v>
      </c>
      <c r="G36" s="227">
        <v>940</v>
      </c>
      <c r="H36" s="235"/>
      <c r="I36" s="183"/>
      <c r="J36" s="235"/>
      <c r="K36" s="183"/>
      <c r="L36" s="235"/>
      <c r="M36" s="183"/>
      <c r="N36" s="230"/>
      <c r="O36" s="183"/>
      <c r="P36" s="220">
        <f t="shared" si="0"/>
        <v>0</v>
      </c>
    </row>
    <row r="37" spans="1:16" ht="15" customHeight="1" x14ac:dyDescent="0.35">
      <c r="A37" s="231">
        <v>4030</v>
      </c>
      <c r="B37" s="190" t="s">
        <v>245</v>
      </c>
      <c r="C37" s="190" t="s">
        <v>246</v>
      </c>
      <c r="D37" s="169" t="s">
        <v>111</v>
      </c>
      <c r="E37" s="196">
        <v>41051</v>
      </c>
      <c r="F37" s="180" t="s">
        <v>77</v>
      </c>
      <c r="G37" s="233">
        <v>575</v>
      </c>
      <c r="H37" s="235" t="s">
        <v>273</v>
      </c>
      <c r="I37" s="183">
        <v>9</v>
      </c>
      <c r="J37" s="235" t="s">
        <v>273</v>
      </c>
      <c r="K37" s="183">
        <v>6</v>
      </c>
      <c r="L37" s="235"/>
      <c r="M37" s="183"/>
      <c r="N37" s="230"/>
      <c r="O37" s="183"/>
      <c r="P37" s="220">
        <f t="shared" si="0"/>
        <v>15</v>
      </c>
    </row>
    <row r="38" spans="1:16" ht="15" customHeight="1" x14ac:dyDescent="0.35">
      <c r="A38" s="231">
        <v>4031</v>
      </c>
      <c r="B38" s="190" t="s">
        <v>756</v>
      </c>
      <c r="C38" s="190" t="s">
        <v>73</v>
      </c>
      <c r="D38" s="169" t="s">
        <v>111</v>
      </c>
      <c r="E38" s="193">
        <v>41123</v>
      </c>
      <c r="F38" s="180" t="s">
        <v>9</v>
      </c>
      <c r="G38" s="227">
        <v>500</v>
      </c>
      <c r="H38" s="235"/>
      <c r="I38" s="183"/>
      <c r="J38" s="465"/>
      <c r="K38" s="198"/>
      <c r="L38" s="235"/>
      <c r="M38" s="183"/>
      <c r="N38" s="230"/>
      <c r="O38" s="183"/>
      <c r="P38" s="220">
        <f t="shared" si="0"/>
        <v>0</v>
      </c>
    </row>
    <row r="39" spans="1:16" ht="15" customHeight="1" x14ac:dyDescent="0.35">
      <c r="A39" s="231">
        <v>4032</v>
      </c>
      <c r="B39" s="190" t="s">
        <v>247</v>
      </c>
      <c r="C39" s="190" t="s">
        <v>56</v>
      </c>
      <c r="D39" s="169" t="s">
        <v>111</v>
      </c>
      <c r="E39" s="193">
        <v>41089</v>
      </c>
      <c r="F39" s="180" t="s">
        <v>77</v>
      </c>
      <c r="G39" s="233">
        <v>500</v>
      </c>
      <c r="H39" s="235" t="s">
        <v>273</v>
      </c>
      <c r="I39" s="183">
        <v>8</v>
      </c>
      <c r="J39" s="235"/>
      <c r="K39" s="183"/>
      <c r="L39" s="235" t="s">
        <v>273</v>
      </c>
      <c r="M39" s="183"/>
      <c r="N39" s="230"/>
      <c r="O39" s="183"/>
      <c r="P39" s="220">
        <f t="shared" si="0"/>
        <v>8</v>
      </c>
    </row>
    <row r="40" spans="1:16" ht="15" customHeight="1" x14ac:dyDescent="0.35">
      <c r="A40" s="231">
        <v>4033</v>
      </c>
      <c r="B40" s="194" t="s">
        <v>757</v>
      </c>
      <c r="C40" s="186" t="s">
        <v>854</v>
      </c>
      <c r="D40" s="156" t="s">
        <v>111</v>
      </c>
      <c r="E40" s="188">
        <v>40958</v>
      </c>
      <c r="F40" s="180" t="s">
        <v>79</v>
      </c>
      <c r="G40" s="233">
        <v>500</v>
      </c>
      <c r="H40" s="235"/>
      <c r="I40" s="183"/>
      <c r="J40" s="235"/>
      <c r="K40" s="183"/>
      <c r="L40" s="235"/>
      <c r="M40" s="183"/>
      <c r="N40" s="230"/>
      <c r="O40" s="183"/>
      <c r="P40" s="220">
        <f t="shared" ref="P40:P71" si="1">SUM(I40:O40)</f>
        <v>0</v>
      </c>
    </row>
    <row r="41" spans="1:16" ht="15" customHeight="1" x14ac:dyDescent="0.35">
      <c r="A41" s="231">
        <v>4034</v>
      </c>
      <c r="B41" s="190" t="s">
        <v>151</v>
      </c>
      <c r="C41" s="190" t="s">
        <v>853</v>
      </c>
      <c r="D41" s="169" t="s">
        <v>111</v>
      </c>
      <c r="E41" s="193">
        <v>40165</v>
      </c>
      <c r="F41" s="180" t="s">
        <v>9</v>
      </c>
      <c r="G41" s="227">
        <v>500</v>
      </c>
      <c r="H41" s="235"/>
      <c r="I41" s="183"/>
      <c r="J41" s="235"/>
      <c r="K41" s="183"/>
      <c r="L41" s="235"/>
      <c r="M41" s="183"/>
      <c r="N41" s="230"/>
      <c r="O41" s="183"/>
      <c r="P41" s="220">
        <f t="shared" si="1"/>
        <v>0</v>
      </c>
    </row>
    <row r="42" spans="1:16" ht="15" customHeight="1" x14ac:dyDescent="0.35">
      <c r="A42" s="231">
        <v>4035</v>
      </c>
      <c r="B42" s="190" t="s">
        <v>402</v>
      </c>
      <c r="C42" s="190" t="s">
        <v>91</v>
      </c>
      <c r="D42" s="169" t="s">
        <v>111</v>
      </c>
      <c r="E42" s="193">
        <v>40694</v>
      </c>
      <c r="F42" s="180" t="s">
        <v>9</v>
      </c>
      <c r="G42" s="227">
        <v>500</v>
      </c>
      <c r="H42" s="235"/>
      <c r="I42" s="183"/>
      <c r="J42" s="235"/>
      <c r="K42" s="183"/>
      <c r="L42" s="235"/>
      <c r="M42" s="183"/>
      <c r="N42" s="230"/>
      <c r="O42" s="183"/>
      <c r="P42" s="220">
        <f t="shared" si="1"/>
        <v>0</v>
      </c>
    </row>
    <row r="43" spans="1:16" ht="15" customHeight="1" x14ac:dyDescent="0.35">
      <c r="A43" s="231">
        <v>4036</v>
      </c>
      <c r="B43" s="190" t="s">
        <v>216</v>
      </c>
      <c r="C43" s="190" t="s">
        <v>852</v>
      </c>
      <c r="D43" s="169" t="s">
        <v>111</v>
      </c>
      <c r="E43" s="193">
        <v>40485</v>
      </c>
      <c r="F43" s="180" t="s">
        <v>9</v>
      </c>
      <c r="G43" s="227">
        <v>983</v>
      </c>
      <c r="H43" s="235"/>
      <c r="I43" s="183"/>
      <c r="J43" s="235"/>
      <c r="K43" s="183"/>
      <c r="L43" s="235"/>
      <c r="M43" s="183"/>
      <c r="N43" s="230"/>
      <c r="O43" s="183"/>
      <c r="P43" s="220">
        <f t="shared" si="1"/>
        <v>0</v>
      </c>
    </row>
    <row r="44" spans="1:16" ht="15" customHeight="1" x14ac:dyDescent="0.35">
      <c r="A44" s="231">
        <v>4037</v>
      </c>
      <c r="B44" s="190" t="s">
        <v>758</v>
      </c>
      <c r="C44" s="190" t="s">
        <v>759</v>
      </c>
      <c r="D44" s="169" t="s">
        <v>111</v>
      </c>
      <c r="E44" s="196">
        <v>40898</v>
      </c>
      <c r="F44" s="180" t="s">
        <v>77</v>
      </c>
      <c r="G44" s="233">
        <v>500</v>
      </c>
      <c r="H44" s="235" t="s">
        <v>273</v>
      </c>
      <c r="I44" s="183">
        <v>3</v>
      </c>
      <c r="J44" s="465" t="s">
        <v>273</v>
      </c>
      <c r="K44" s="198">
        <v>1</v>
      </c>
      <c r="L44" s="235"/>
      <c r="M44" s="183"/>
      <c r="N44" s="230"/>
      <c r="O44" s="183"/>
      <c r="P44" s="220">
        <f t="shared" si="1"/>
        <v>4</v>
      </c>
    </row>
    <row r="45" spans="1:16" ht="15" customHeight="1" x14ac:dyDescent="0.35">
      <c r="A45" s="231">
        <v>4038</v>
      </c>
      <c r="B45" s="189" t="s">
        <v>760</v>
      </c>
      <c r="C45" s="189" t="s">
        <v>47</v>
      </c>
      <c r="D45" s="156" t="s">
        <v>111</v>
      </c>
      <c r="E45" s="188">
        <v>41202</v>
      </c>
      <c r="F45" s="180" t="s">
        <v>13</v>
      </c>
      <c r="G45" s="234" t="s">
        <v>126</v>
      </c>
      <c r="H45" s="235"/>
      <c r="I45" s="183"/>
      <c r="J45" s="466" t="s">
        <v>273</v>
      </c>
      <c r="K45" s="198">
        <v>8</v>
      </c>
      <c r="L45" s="235" t="s">
        <v>273</v>
      </c>
      <c r="M45" s="183"/>
      <c r="N45" s="230"/>
      <c r="O45" s="183"/>
      <c r="P45" s="220">
        <f t="shared" si="1"/>
        <v>8</v>
      </c>
    </row>
    <row r="46" spans="1:16" ht="15" customHeight="1" x14ac:dyDescent="0.35">
      <c r="A46" s="231">
        <v>4039</v>
      </c>
      <c r="B46" s="189" t="s">
        <v>121</v>
      </c>
      <c r="C46" s="189" t="s">
        <v>72</v>
      </c>
      <c r="D46" s="156" t="s">
        <v>111</v>
      </c>
      <c r="E46" s="188">
        <v>40011</v>
      </c>
      <c r="F46" s="180" t="s">
        <v>13</v>
      </c>
      <c r="G46" s="234" t="s">
        <v>761</v>
      </c>
      <c r="H46" s="235"/>
      <c r="I46" s="183"/>
      <c r="J46" s="465"/>
      <c r="K46" s="198"/>
      <c r="L46" s="235"/>
      <c r="M46" s="183"/>
      <c r="N46" s="230"/>
      <c r="O46" s="183"/>
      <c r="P46" s="220">
        <f t="shared" si="1"/>
        <v>0</v>
      </c>
    </row>
    <row r="47" spans="1:16" ht="15" customHeight="1" x14ac:dyDescent="0.35">
      <c r="A47" s="231">
        <v>4040</v>
      </c>
      <c r="B47" s="189" t="s">
        <v>762</v>
      </c>
      <c r="C47" s="189" t="s">
        <v>63</v>
      </c>
      <c r="D47" s="156" t="s">
        <v>111</v>
      </c>
      <c r="E47" s="188">
        <v>41243</v>
      </c>
      <c r="F47" s="180" t="s">
        <v>13</v>
      </c>
      <c r="G47" s="232">
        <v>500</v>
      </c>
      <c r="H47" s="235" t="s">
        <v>273</v>
      </c>
      <c r="I47" s="183">
        <v>4</v>
      </c>
      <c r="J47" s="466" t="s">
        <v>273</v>
      </c>
      <c r="K47" s="198">
        <v>7</v>
      </c>
      <c r="L47" s="235"/>
      <c r="M47" s="183"/>
      <c r="N47" s="230"/>
      <c r="O47" s="183"/>
      <c r="P47" s="220">
        <f t="shared" si="1"/>
        <v>11</v>
      </c>
    </row>
    <row r="48" spans="1:16" ht="15" customHeight="1" x14ac:dyDescent="0.35">
      <c r="A48" s="231">
        <v>4041</v>
      </c>
      <c r="B48" s="190" t="s">
        <v>147</v>
      </c>
      <c r="C48" s="190" t="s">
        <v>678</v>
      </c>
      <c r="D48" s="169" t="s">
        <v>111</v>
      </c>
      <c r="E48" s="193">
        <v>40932</v>
      </c>
      <c r="F48" s="180" t="s">
        <v>9</v>
      </c>
      <c r="G48" s="227">
        <v>726</v>
      </c>
      <c r="H48" s="235"/>
      <c r="I48" s="183"/>
      <c r="J48" s="235"/>
      <c r="K48" s="183"/>
      <c r="L48" s="235"/>
      <c r="M48" s="183"/>
      <c r="N48" s="230"/>
      <c r="O48" s="183"/>
      <c r="P48" s="220">
        <f t="shared" si="1"/>
        <v>0</v>
      </c>
    </row>
    <row r="49" spans="1:16" ht="15" customHeight="1" x14ac:dyDescent="0.35">
      <c r="A49" s="231">
        <v>4042</v>
      </c>
      <c r="B49" s="190" t="s">
        <v>147</v>
      </c>
      <c r="C49" s="190" t="s">
        <v>148</v>
      </c>
      <c r="D49" s="169" t="s">
        <v>111</v>
      </c>
      <c r="E49" s="193">
        <v>40932</v>
      </c>
      <c r="F49" s="180" t="s">
        <v>9</v>
      </c>
      <c r="G49" s="227">
        <v>1036</v>
      </c>
      <c r="H49" s="235"/>
      <c r="I49" s="183"/>
      <c r="J49" s="465"/>
      <c r="K49" s="198"/>
      <c r="L49" s="235"/>
      <c r="M49" s="183"/>
      <c r="N49" s="230"/>
      <c r="O49" s="183"/>
      <c r="P49" s="220">
        <f t="shared" si="1"/>
        <v>0</v>
      </c>
    </row>
    <row r="50" spans="1:16" ht="15" customHeight="1" x14ac:dyDescent="0.35">
      <c r="A50" s="231">
        <v>4043</v>
      </c>
      <c r="B50" s="189" t="s">
        <v>763</v>
      </c>
      <c r="C50" s="189" t="s">
        <v>764</v>
      </c>
      <c r="D50" s="156" t="s">
        <v>111</v>
      </c>
      <c r="E50" s="188">
        <v>40859</v>
      </c>
      <c r="F50" s="180" t="s">
        <v>13</v>
      </c>
      <c r="G50" s="234" t="s">
        <v>126</v>
      </c>
      <c r="H50" s="235"/>
      <c r="I50" s="183"/>
      <c r="J50" s="235"/>
      <c r="K50" s="183"/>
      <c r="L50" s="235"/>
      <c r="M50" s="183"/>
      <c r="N50" s="230"/>
      <c r="O50" s="183"/>
      <c r="P50" s="220">
        <f t="shared" si="1"/>
        <v>0</v>
      </c>
    </row>
    <row r="51" spans="1:16" ht="15" customHeight="1" x14ac:dyDescent="0.35">
      <c r="A51" s="231">
        <v>4044</v>
      </c>
      <c r="B51" s="190" t="s">
        <v>122</v>
      </c>
      <c r="C51" s="190" t="s">
        <v>44</v>
      </c>
      <c r="D51" s="169" t="s">
        <v>111</v>
      </c>
      <c r="E51" s="193">
        <v>39194</v>
      </c>
      <c r="F51" s="180" t="s">
        <v>9</v>
      </c>
      <c r="G51" s="227">
        <v>1054</v>
      </c>
      <c r="H51" s="235"/>
      <c r="I51" s="183"/>
      <c r="J51" s="235"/>
      <c r="K51" s="183"/>
      <c r="L51" s="235"/>
      <c r="M51" s="183"/>
      <c r="N51" s="230"/>
      <c r="O51" s="183"/>
      <c r="P51" s="220">
        <f t="shared" si="1"/>
        <v>0</v>
      </c>
    </row>
    <row r="52" spans="1:16" ht="15" customHeight="1" x14ac:dyDescent="0.35">
      <c r="A52" s="231">
        <v>4045</v>
      </c>
      <c r="B52" s="189" t="s">
        <v>407</v>
      </c>
      <c r="C52" s="189" t="s">
        <v>432</v>
      </c>
      <c r="D52" s="156" t="s">
        <v>110</v>
      </c>
      <c r="E52" s="188">
        <v>41161</v>
      </c>
      <c r="F52" s="180" t="s">
        <v>13</v>
      </c>
      <c r="G52" s="234" t="s">
        <v>126</v>
      </c>
      <c r="H52" s="235"/>
      <c r="I52" s="183"/>
      <c r="J52" s="235"/>
      <c r="K52" s="183"/>
      <c r="L52" s="235"/>
      <c r="M52" s="183"/>
      <c r="N52" s="230"/>
      <c r="O52" s="183"/>
      <c r="P52" s="220">
        <f t="shared" si="1"/>
        <v>0</v>
      </c>
    </row>
    <row r="53" spans="1:16" ht="15" customHeight="1" x14ac:dyDescent="0.35">
      <c r="A53" s="231">
        <v>4046</v>
      </c>
      <c r="B53" s="178" t="s">
        <v>135</v>
      </c>
      <c r="C53" s="178" t="s">
        <v>136</v>
      </c>
      <c r="D53" s="169" t="s">
        <v>111</v>
      </c>
      <c r="E53" s="196">
        <v>40220</v>
      </c>
      <c r="F53" s="180" t="s">
        <v>77</v>
      </c>
      <c r="G53" s="233">
        <v>500</v>
      </c>
      <c r="H53" s="235"/>
      <c r="I53" s="183"/>
      <c r="J53" s="465"/>
      <c r="K53" s="198"/>
      <c r="L53" s="235"/>
      <c r="M53" s="183"/>
      <c r="N53" s="230"/>
      <c r="O53" s="183"/>
      <c r="P53" s="220">
        <f t="shared" si="1"/>
        <v>0</v>
      </c>
    </row>
    <row r="54" spans="1:16" ht="15" customHeight="1" x14ac:dyDescent="0.35">
      <c r="A54" s="231">
        <v>4047</v>
      </c>
      <c r="B54" s="189" t="s">
        <v>765</v>
      </c>
      <c r="C54" s="189" t="s">
        <v>766</v>
      </c>
      <c r="D54" s="156" t="s">
        <v>111</v>
      </c>
      <c r="E54" s="188">
        <v>40756</v>
      </c>
      <c r="F54" s="180" t="s">
        <v>13</v>
      </c>
      <c r="G54" s="232">
        <v>500</v>
      </c>
      <c r="H54" s="235" t="s">
        <v>273</v>
      </c>
      <c r="I54" s="183">
        <v>8</v>
      </c>
      <c r="J54" s="453" t="s">
        <v>273</v>
      </c>
      <c r="K54" s="183">
        <v>2</v>
      </c>
      <c r="L54" s="235" t="s">
        <v>273</v>
      </c>
      <c r="M54" s="183"/>
      <c r="N54" s="230"/>
      <c r="O54" s="183"/>
      <c r="P54" s="220">
        <f t="shared" si="1"/>
        <v>10</v>
      </c>
    </row>
    <row r="55" spans="1:16" ht="15" customHeight="1" x14ac:dyDescent="0.35">
      <c r="A55" s="231">
        <v>4048</v>
      </c>
      <c r="B55" s="190" t="s">
        <v>145</v>
      </c>
      <c r="C55" s="190" t="s">
        <v>45</v>
      </c>
      <c r="D55" s="169" t="s">
        <v>111</v>
      </c>
      <c r="E55" s="193">
        <v>41258</v>
      </c>
      <c r="F55" s="180" t="s">
        <v>9</v>
      </c>
      <c r="G55" s="227">
        <v>840</v>
      </c>
      <c r="H55" s="235"/>
      <c r="I55" s="183"/>
      <c r="J55" s="235"/>
      <c r="K55" s="183"/>
      <c r="L55" s="235"/>
      <c r="M55" s="183"/>
      <c r="N55" s="230"/>
      <c r="O55" s="183"/>
      <c r="P55" s="220">
        <f t="shared" si="1"/>
        <v>0</v>
      </c>
    </row>
    <row r="56" spans="1:16" ht="15" customHeight="1" x14ac:dyDescent="0.35">
      <c r="A56" s="231">
        <v>4049</v>
      </c>
      <c r="B56" s="189" t="s">
        <v>269</v>
      </c>
      <c r="C56" s="189" t="s">
        <v>47</v>
      </c>
      <c r="D56" s="156" t="s">
        <v>111</v>
      </c>
      <c r="E56" s="188">
        <v>41202</v>
      </c>
      <c r="F56" s="180" t="s">
        <v>10</v>
      </c>
      <c r="G56" s="232">
        <v>500</v>
      </c>
      <c r="H56" s="235" t="s">
        <v>273</v>
      </c>
      <c r="I56" s="183">
        <v>4</v>
      </c>
      <c r="J56" s="235"/>
      <c r="K56" s="183"/>
      <c r="L56" s="235"/>
      <c r="M56" s="183"/>
      <c r="N56" s="230"/>
      <c r="O56" s="183"/>
      <c r="P56" s="220">
        <f t="shared" si="1"/>
        <v>4</v>
      </c>
    </row>
    <row r="57" spans="1:16" ht="15" customHeight="1" x14ac:dyDescent="0.35">
      <c r="A57" s="231">
        <v>4050</v>
      </c>
      <c r="B57" s="189" t="s">
        <v>506</v>
      </c>
      <c r="C57" s="189" t="s">
        <v>509</v>
      </c>
      <c r="D57" s="156" t="s">
        <v>111</v>
      </c>
      <c r="E57" s="188">
        <v>41202</v>
      </c>
      <c r="F57" s="180" t="s">
        <v>13</v>
      </c>
      <c r="G57" s="234" t="s">
        <v>126</v>
      </c>
      <c r="H57" s="235"/>
      <c r="I57" s="183"/>
      <c r="J57" s="453" t="s">
        <v>273</v>
      </c>
      <c r="K57" s="183">
        <v>3</v>
      </c>
      <c r="L57" s="235"/>
      <c r="M57" s="183"/>
      <c r="N57" s="230"/>
      <c r="O57" s="183"/>
      <c r="P57" s="220">
        <f t="shared" si="1"/>
        <v>3</v>
      </c>
    </row>
    <row r="58" spans="1:16" ht="16.5" customHeight="1" x14ac:dyDescent="0.35">
      <c r="A58" s="231">
        <v>4051</v>
      </c>
      <c r="B58" s="194" t="s">
        <v>508</v>
      </c>
      <c r="C58" s="186" t="s">
        <v>76</v>
      </c>
      <c r="D58" s="156" t="s">
        <v>111</v>
      </c>
      <c r="E58" s="188">
        <v>40905</v>
      </c>
      <c r="F58" s="180" t="s">
        <v>79</v>
      </c>
      <c r="G58" s="233">
        <v>500</v>
      </c>
      <c r="H58" s="235"/>
      <c r="I58" s="183"/>
      <c r="J58" s="235"/>
      <c r="K58" s="183"/>
      <c r="L58" s="235"/>
      <c r="M58" s="183"/>
      <c r="N58" s="230"/>
      <c r="O58" s="183"/>
      <c r="P58" s="220">
        <f t="shared" si="1"/>
        <v>0</v>
      </c>
    </row>
    <row r="59" spans="1:16" ht="15" customHeight="1" x14ac:dyDescent="0.35">
      <c r="A59" s="231">
        <v>4052</v>
      </c>
      <c r="B59" s="189" t="s">
        <v>81</v>
      </c>
      <c r="C59" s="189" t="s">
        <v>82</v>
      </c>
      <c r="D59" s="156" t="s">
        <v>111</v>
      </c>
      <c r="E59" s="188">
        <v>40069</v>
      </c>
      <c r="F59" s="180" t="s">
        <v>13</v>
      </c>
      <c r="G59" s="232">
        <v>826</v>
      </c>
      <c r="H59" s="235" t="s">
        <v>273</v>
      </c>
      <c r="I59" s="183">
        <v>10</v>
      </c>
      <c r="J59" s="453" t="s">
        <v>273</v>
      </c>
      <c r="K59" s="183">
        <v>12</v>
      </c>
      <c r="L59" s="235" t="s">
        <v>273</v>
      </c>
      <c r="M59" s="183"/>
      <c r="N59" s="230"/>
      <c r="O59" s="183"/>
      <c r="P59" s="220">
        <f t="shared" si="1"/>
        <v>22</v>
      </c>
    </row>
    <row r="60" spans="1:16" ht="16.5" customHeight="1" x14ac:dyDescent="0.35">
      <c r="A60" s="231">
        <v>4053</v>
      </c>
      <c r="B60" s="194" t="s">
        <v>686</v>
      </c>
      <c r="C60" s="186" t="s">
        <v>60</v>
      </c>
      <c r="D60" s="156" t="s">
        <v>111</v>
      </c>
      <c r="E60" s="188">
        <v>41185</v>
      </c>
      <c r="F60" s="180" t="s">
        <v>79</v>
      </c>
      <c r="G60" s="233">
        <v>500</v>
      </c>
      <c r="H60" s="235"/>
      <c r="I60" s="183"/>
      <c r="J60" s="235"/>
      <c r="K60" s="183"/>
      <c r="L60" s="235" t="s">
        <v>273</v>
      </c>
      <c r="M60" s="183"/>
      <c r="N60" s="230"/>
      <c r="O60" s="183"/>
      <c r="P60" s="220">
        <f t="shared" si="1"/>
        <v>0</v>
      </c>
    </row>
    <row r="61" spans="1:16" ht="15" customHeight="1" x14ac:dyDescent="0.35">
      <c r="A61" s="231">
        <v>4054</v>
      </c>
      <c r="B61" s="190" t="s">
        <v>687</v>
      </c>
      <c r="C61" s="190" t="s">
        <v>688</v>
      </c>
      <c r="D61" s="169" t="s">
        <v>111</v>
      </c>
      <c r="E61" s="193">
        <v>40750</v>
      </c>
      <c r="F61" s="180" t="s">
        <v>9</v>
      </c>
      <c r="G61" s="227">
        <v>500</v>
      </c>
      <c r="H61" s="235"/>
      <c r="I61" s="183"/>
      <c r="J61" s="235"/>
      <c r="K61" s="183"/>
      <c r="L61" s="235"/>
      <c r="M61" s="183"/>
      <c r="N61" s="230"/>
      <c r="O61" s="183"/>
      <c r="P61" s="220">
        <f t="shared" si="1"/>
        <v>0</v>
      </c>
    </row>
    <row r="62" spans="1:16" ht="16.5" customHeight="1" x14ac:dyDescent="0.35">
      <c r="A62" s="231">
        <v>4055</v>
      </c>
      <c r="B62" s="191" t="s">
        <v>767</v>
      </c>
      <c r="C62" s="191" t="s">
        <v>149</v>
      </c>
      <c r="D62" s="156" t="s">
        <v>111</v>
      </c>
      <c r="E62" s="188">
        <v>40686</v>
      </c>
      <c r="F62" s="180" t="s">
        <v>66</v>
      </c>
      <c r="G62" s="236">
        <v>879</v>
      </c>
      <c r="H62" s="235" t="s">
        <v>273</v>
      </c>
      <c r="I62" s="183">
        <v>11</v>
      </c>
      <c r="J62" s="453" t="s">
        <v>273</v>
      </c>
      <c r="K62" s="183">
        <v>10</v>
      </c>
      <c r="L62" s="235" t="s">
        <v>273</v>
      </c>
      <c r="M62" s="183"/>
      <c r="N62" s="230"/>
      <c r="O62" s="183"/>
      <c r="P62" s="220">
        <f t="shared" si="1"/>
        <v>21</v>
      </c>
    </row>
    <row r="63" spans="1:16" ht="16.5" customHeight="1" x14ac:dyDescent="0.35">
      <c r="A63" s="231">
        <v>4056</v>
      </c>
      <c r="B63" s="190" t="s">
        <v>338</v>
      </c>
      <c r="C63" s="190" t="s">
        <v>418</v>
      </c>
      <c r="D63" s="169" t="s">
        <v>110</v>
      </c>
      <c r="E63" s="193">
        <v>39874</v>
      </c>
      <c r="F63" s="180" t="s">
        <v>9</v>
      </c>
      <c r="G63" s="227">
        <v>500</v>
      </c>
      <c r="H63" s="235"/>
      <c r="I63" s="183"/>
      <c r="J63" s="235"/>
      <c r="K63" s="183"/>
      <c r="L63" s="235"/>
      <c r="M63" s="183"/>
      <c r="N63" s="230"/>
      <c r="O63" s="183"/>
      <c r="P63" s="220">
        <f t="shared" si="1"/>
        <v>0</v>
      </c>
    </row>
    <row r="64" spans="1:16" ht="16.5" customHeight="1" x14ac:dyDescent="0.35">
      <c r="A64" s="231">
        <v>4057</v>
      </c>
      <c r="B64" s="178" t="s">
        <v>263</v>
      </c>
      <c r="C64" s="178" t="s">
        <v>68</v>
      </c>
      <c r="D64" s="169" t="s">
        <v>111</v>
      </c>
      <c r="E64" s="196">
        <v>40112</v>
      </c>
      <c r="F64" s="180" t="s">
        <v>11</v>
      </c>
      <c r="G64" s="233">
        <v>500</v>
      </c>
      <c r="H64" s="235" t="s">
        <v>273</v>
      </c>
      <c r="I64" s="183">
        <v>4</v>
      </c>
      <c r="J64" s="453" t="s">
        <v>273</v>
      </c>
      <c r="K64" s="183">
        <v>2</v>
      </c>
      <c r="L64" s="235" t="s">
        <v>273</v>
      </c>
      <c r="M64" s="183"/>
      <c r="N64" s="230"/>
      <c r="O64" s="183"/>
      <c r="P64" s="220">
        <f t="shared" si="1"/>
        <v>6</v>
      </c>
    </row>
    <row r="65" spans="1:16" ht="16.5" customHeight="1" x14ac:dyDescent="0.35">
      <c r="A65" s="231">
        <v>4058</v>
      </c>
      <c r="B65" s="178" t="s">
        <v>96</v>
      </c>
      <c r="C65" s="178" t="s">
        <v>67</v>
      </c>
      <c r="D65" s="169" t="s">
        <v>111</v>
      </c>
      <c r="E65" s="196">
        <v>40112</v>
      </c>
      <c r="F65" s="180" t="s">
        <v>77</v>
      </c>
      <c r="G65" s="233">
        <v>756</v>
      </c>
      <c r="H65" s="235"/>
      <c r="I65" s="183"/>
      <c r="J65" s="235" t="s">
        <v>273</v>
      </c>
      <c r="K65" s="183">
        <v>7</v>
      </c>
      <c r="L65" s="235"/>
      <c r="M65" s="183"/>
      <c r="N65" s="230"/>
      <c r="O65" s="183"/>
      <c r="P65" s="220">
        <f t="shared" si="1"/>
        <v>7</v>
      </c>
    </row>
    <row r="66" spans="1:16" ht="16.5" customHeight="1" x14ac:dyDescent="0.35">
      <c r="A66" s="231">
        <v>4059</v>
      </c>
      <c r="B66" s="190" t="s">
        <v>243</v>
      </c>
      <c r="C66" s="190" t="s">
        <v>244</v>
      </c>
      <c r="D66" s="169" t="s">
        <v>111</v>
      </c>
      <c r="E66" s="193">
        <v>40049</v>
      </c>
      <c r="F66" s="180" t="s">
        <v>9</v>
      </c>
      <c r="G66" s="227">
        <v>1113</v>
      </c>
      <c r="H66" s="235"/>
      <c r="I66" s="183"/>
      <c r="J66" s="235"/>
      <c r="K66" s="183"/>
      <c r="L66" s="235"/>
      <c r="M66" s="183"/>
      <c r="N66" s="230"/>
      <c r="O66" s="183"/>
      <c r="P66" s="220">
        <f t="shared" si="1"/>
        <v>0</v>
      </c>
    </row>
    <row r="67" spans="1:16" ht="16.5" customHeight="1" x14ac:dyDescent="0.35">
      <c r="A67" s="231">
        <v>4060</v>
      </c>
      <c r="B67" s="194" t="s">
        <v>197</v>
      </c>
      <c r="C67" s="186" t="s">
        <v>256</v>
      </c>
      <c r="D67" s="156" t="s">
        <v>111</v>
      </c>
      <c r="E67" s="188">
        <v>41157</v>
      </c>
      <c r="F67" s="180" t="s">
        <v>79</v>
      </c>
      <c r="G67" s="233">
        <v>619</v>
      </c>
      <c r="H67" s="235" t="s">
        <v>273</v>
      </c>
      <c r="I67" s="183">
        <v>7</v>
      </c>
      <c r="J67" s="235" t="s">
        <v>273</v>
      </c>
      <c r="K67" s="183">
        <v>8</v>
      </c>
      <c r="L67" s="235"/>
      <c r="M67" s="183"/>
      <c r="N67" s="230"/>
      <c r="O67" s="183"/>
      <c r="P67" s="220">
        <f t="shared" si="1"/>
        <v>15</v>
      </c>
    </row>
    <row r="68" spans="1:16" ht="16.5" customHeight="1" x14ac:dyDescent="0.35">
      <c r="A68" s="231">
        <v>4061</v>
      </c>
      <c r="B68" s="178" t="s">
        <v>768</v>
      </c>
      <c r="C68" s="178" t="s">
        <v>769</v>
      </c>
      <c r="D68" s="169" t="s">
        <v>111</v>
      </c>
      <c r="E68" s="196">
        <v>41172</v>
      </c>
      <c r="F68" s="180" t="s">
        <v>77</v>
      </c>
      <c r="G68" s="233">
        <v>500</v>
      </c>
      <c r="H68" s="235"/>
      <c r="I68" s="183"/>
      <c r="J68" s="235" t="s">
        <v>273</v>
      </c>
      <c r="K68" s="183">
        <v>1</v>
      </c>
      <c r="L68" s="235"/>
      <c r="M68" s="183"/>
      <c r="N68" s="230"/>
      <c r="O68" s="183"/>
      <c r="P68" s="220">
        <f t="shared" si="1"/>
        <v>1</v>
      </c>
    </row>
    <row r="69" spans="1:16" ht="16.5" customHeight="1" x14ac:dyDescent="0.35">
      <c r="A69" s="231">
        <v>4062</v>
      </c>
      <c r="B69" s="191" t="s">
        <v>770</v>
      </c>
      <c r="C69" s="192" t="s">
        <v>203</v>
      </c>
      <c r="D69" s="156" t="s">
        <v>111</v>
      </c>
      <c r="E69" s="188">
        <v>40593</v>
      </c>
      <c r="F69" s="180" t="s">
        <v>294</v>
      </c>
      <c r="G69" s="232" t="s">
        <v>126</v>
      </c>
      <c r="H69" s="235"/>
      <c r="I69" s="183"/>
      <c r="J69" s="235"/>
      <c r="K69" s="183"/>
      <c r="L69" s="235"/>
      <c r="M69" s="183"/>
      <c r="N69" s="230"/>
      <c r="O69" s="183"/>
      <c r="P69" s="220">
        <f t="shared" si="1"/>
        <v>0</v>
      </c>
    </row>
    <row r="70" spans="1:16" ht="16.5" customHeight="1" x14ac:dyDescent="0.35">
      <c r="A70" s="231">
        <v>4063</v>
      </c>
      <c r="B70" s="189" t="s">
        <v>127</v>
      </c>
      <c r="C70" s="189" t="s">
        <v>128</v>
      </c>
      <c r="D70" s="156" t="s">
        <v>111</v>
      </c>
      <c r="E70" s="188">
        <v>40815</v>
      </c>
      <c r="F70" s="180" t="s">
        <v>13</v>
      </c>
      <c r="G70" s="234" t="s">
        <v>771</v>
      </c>
      <c r="H70" s="235"/>
      <c r="I70" s="183"/>
      <c r="J70" s="235"/>
      <c r="K70" s="183"/>
      <c r="L70" s="235"/>
      <c r="M70" s="183"/>
      <c r="N70" s="230"/>
      <c r="O70" s="183"/>
      <c r="P70" s="220">
        <f t="shared" si="1"/>
        <v>0</v>
      </c>
    </row>
    <row r="71" spans="1:16" ht="16.5" customHeight="1" x14ac:dyDescent="0.35">
      <c r="A71" s="231">
        <v>4064</v>
      </c>
      <c r="B71" s="190" t="s">
        <v>234</v>
      </c>
      <c r="C71" s="190" t="s">
        <v>235</v>
      </c>
      <c r="D71" s="169" t="s">
        <v>110</v>
      </c>
      <c r="E71" s="193">
        <v>41135</v>
      </c>
      <c r="F71" s="180" t="s">
        <v>9</v>
      </c>
      <c r="G71" s="227">
        <v>785</v>
      </c>
      <c r="H71" s="235"/>
      <c r="I71" s="183"/>
      <c r="J71" s="235"/>
      <c r="K71" s="183"/>
      <c r="L71" s="235"/>
      <c r="M71" s="183"/>
      <c r="N71" s="230"/>
      <c r="O71" s="183"/>
      <c r="P71" s="220">
        <f t="shared" si="1"/>
        <v>0</v>
      </c>
    </row>
    <row r="72" spans="1:16" ht="16.5" customHeight="1" x14ac:dyDescent="0.35">
      <c r="A72" s="231">
        <v>4065</v>
      </c>
      <c r="B72" s="191" t="s">
        <v>772</v>
      </c>
      <c r="C72" s="192" t="s">
        <v>737</v>
      </c>
      <c r="D72" s="156" t="s">
        <v>111</v>
      </c>
      <c r="E72" s="188">
        <v>41176</v>
      </c>
      <c r="F72" s="180" t="s">
        <v>294</v>
      </c>
      <c r="G72" s="232" t="s">
        <v>126</v>
      </c>
      <c r="H72" s="235"/>
      <c r="I72" s="183"/>
      <c r="J72" s="235"/>
      <c r="K72" s="183"/>
      <c r="L72" s="235"/>
      <c r="M72" s="183"/>
      <c r="N72" s="230"/>
      <c r="O72" s="183"/>
      <c r="P72" s="220">
        <f t="shared" ref="P72:P103" si="2">SUM(I72:O72)</f>
        <v>0</v>
      </c>
    </row>
    <row r="73" spans="1:16" ht="16.5" customHeight="1" x14ac:dyDescent="0.35">
      <c r="A73" s="231">
        <v>4066</v>
      </c>
      <c r="B73" s="187" t="s">
        <v>390</v>
      </c>
      <c r="C73" s="187" t="s">
        <v>773</v>
      </c>
      <c r="D73" s="169" t="s">
        <v>111</v>
      </c>
      <c r="E73" s="153">
        <v>39191</v>
      </c>
      <c r="F73" s="180" t="s">
        <v>66</v>
      </c>
      <c r="G73" s="232">
        <v>500</v>
      </c>
      <c r="H73" s="235" t="s">
        <v>273</v>
      </c>
      <c r="I73" s="183">
        <v>7</v>
      </c>
      <c r="J73" s="235"/>
      <c r="K73" s="183"/>
      <c r="L73" s="235"/>
      <c r="M73" s="183"/>
      <c r="N73" s="230"/>
      <c r="O73" s="183"/>
      <c r="P73" s="220">
        <f t="shared" si="2"/>
        <v>7</v>
      </c>
    </row>
    <row r="74" spans="1:16" ht="16.5" customHeight="1" x14ac:dyDescent="0.35">
      <c r="A74" s="231">
        <v>4067</v>
      </c>
      <c r="B74" s="187" t="s">
        <v>211</v>
      </c>
      <c r="C74" s="187" t="s">
        <v>212</v>
      </c>
      <c r="D74" s="169" t="s">
        <v>111</v>
      </c>
      <c r="E74" s="153">
        <v>39191</v>
      </c>
      <c r="F74" s="180" t="s">
        <v>12</v>
      </c>
      <c r="G74" s="232">
        <v>539</v>
      </c>
      <c r="H74" s="235"/>
      <c r="I74" s="183"/>
      <c r="J74" s="235"/>
      <c r="K74" s="183"/>
      <c r="L74" s="235"/>
      <c r="M74" s="183"/>
      <c r="N74" s="230"/>
      <c r="O74" s="183"/>
      <c r="P74" s="220">
        <f t="shared" si="2"/>
        <v>0</v>
      </c>
    </row>
    <row r="75" spans="1:16" ht="16.5" customHeight="1" x14ac:dyDescent="0.35">
      <c r="A75" s="231">
        <v>4068</v>
      </c>
      <c r="B75" s="185" t="s">
        <v>774</v>
      </c>
      <c r="C75" s="185" t="s">
        <v>78</v>
      </c>
      <c r="D75" s="180" t="s">
        <v>111</v>
      </c>
      <c r="E75" s="152">
        <v>40544</v>
      </c>
      <c r="F75" s="180" t="s">
        <v>11</v>
      </c>
      <c r="G75" s="233">
        <v>500</v>
      </c>
      <c r="H75" s="235" t="s">
        <v>273</v>
      </c>
      <c r="I75" s="183">
        <v>1</v>
      </c>
      <c r="J75" s="453" t="s">
        <v>273</v>
      </c>
      <c r="K75" s="183">
        <v>1</v>
      </c>
      <c r="L75" s="235" t="s">
        <v>273</v>
      </c>
      <c r="M75" s="183"/>
      <c r="N75" s="230"/>
      <c r="O75" s="183"/>
      <c r="P75" s="220">
        <f t="shared" si="2"/>
        <v>2</v>
      </c>
    </row>
    <row r="76" spans="1:16" ht="16.5" customHeight="1" x14ac:dyDescent="0.35">
      <c r="A76" s="231">
        <v>4069</v>
      </c>
      <c r="B76" s="178" t="s">
        <v>206</v>
      </c>
      <c r="C76" s="178" t="s">
        <v>249</v>
      </c>
      <c r="D76" s="169" t="s">
        <v>111</v>
      </c>
      <c r="E76" s="184">
        <v>41037</v>
      </c>
      <c r="F76" s="180" t="s">
        <v>77</v>
      </c>
      <c r="G76" s="227">
        <v>606</v>
      </c>
      <c r="H76" s="235"/>
      <c r="I76" s="183"/>
      <c r="J76" s="235"/>
      <c r="K76" s="183"/>
      <c r="L76" s="235"/>
      <c r="M76" s="183"/>
      <c r="N76" s="230"/>
      <c r="O76" s="183"/>
      <c r="P76" s="220">
        <f t="shared" si="2"/>
        <v>0</v>
      </c>
    </row>
    <row r="77" spans="1:16" ht="16.5" customHeight="1" x14ac:dyDescent="0.35">
      <c r="A77" s="231">
        <v>4070</v>
      </c>
      <c r="B77" s="190" t="s">
        <v>270</v>
      </c>
      <c r="C77" s="190" t="s">
        <v>149</v>
      </c>
      <c r="D77" s="169" t="s">
        <v>111</v>
      </c>
      <c r="E77" s="193">
        <v>40048</v>
      </c>
      <c r="F77" s="180" t="s">
        <v>9</v>
      </c>
      <c r="G77" s="227">
        <v>610</v>
      </c>
      <c r="H77" s="235" t="s">
        <v>273</v>
      </c>
      <c r="I77" s="183">
        <v>8</v>
      </c>
      <c r="J77" s="235" t="s">
        <v>273</v>
      </c>
      <c r="K77" s="183">
        <v>6</v>
      </c>
      <c r="L77" s="235"/>
      <c r="M77" s="183"/>
      <c r="N77" s="230"/>
      <c r="O77" s="183"/>
      <c r="P77" s="220">
        <f t="shared" si="2"/>
        <v>14</v>
      </c>
    </row>
    <row r="78" spans="1:16" ht="16.5" customHeight="1" x14ac:dyDescent="0.35">
      <c r="A78" s="231">
        <v>4071</v>
      </c>
      <c r="B78" s="194" t="s">
        <v>199</v>
      </c>
      <c r="C78" s="186" t="s">
        <v>822</v>
      </c>
      <c r="D78" s="156" t="s">
        <v>111</v>
      </c>
      <c r="E78" s="195">
        <v>40428</v>
      </c>
      <c r="F78" s="180" t="s">
        <v>79</v>
      </c>
      <c r="G78" s="233">
        <v>500</v>
      </c>
      <c r="H78" s="235"/>
      <c r="I78" s="183"/>
      <c r="J78" s="235"/>
      <c r="K78" s="183"/>
      <c r="L78" s="235"/>
      <c r="M78" s="183"/>
      <c r="N78" s="230"/>
      <c r="O78" s="183"/>
      <c r="P78" s="220">
        <f t="shared" si="2"/>
        <v>0</v>
      </c>
    </row>
    <row r="79" spans="1:16" ht="16.5" customHeight="1" x14ac:dyDescent="0.35">
      <c r="A79" s="231">
        <v>4072</v>
      </c>
      <c r="B79" s="187" t="s">
        <v>138</v>
      </c>
      <c r="C79" s="187" t="s">
        <v>62</v>
      </c>
      <c r="D79" s="156" t="s">
        <v>111</v>
      </c>
      <c r="E79" s="153">
        <v>40783</v>
      </c>
      <c r="F79" s="180" t="s">
        <v>12</v>
      </c>
      <c r="G79" s="232">
        <v>816</v>
      </c>
      <c r="H79" s="235"/>
      <c r="I79" s="183"/>
      <c r="J79" s="235"/>
      <c r="K79" s="183"/>
      <c r="L79" s="235"/>
      <c r="M79" s="183"/>
      <c r="N79" s="230"/>
      <c r="O79" s="183"/>
      <c r="P79" s="220">
        <f t="shared" si="2"/>
        <v>0</v>
      </c>
    </row>
    <row r="80" spans="1:16" ht="16.5" customHeight="1" x14ac:dyDescent="0.35">
      <c r="A80" s="231">
        <v>4073</v>
      </c>
      <c r="B80" s="194" t="s">
        <v>351</v>
      </c>
      <c r="C80" s="186" t="s">
        <v>850</v>
      </c>
      <c r="D80" s="156" t="s">
        <v>111</v>
      </c>
      <c r="E80" s="188">
        <v>40551</v>
      </c>
      <c r="F80" s="180" t="s">
        <v>79</v>
      </c>
      <c r="G80" s="233">
        <v>500</v>
      </c>
      <c r="H80" s="235"/>
      <c r="I80" s="183"/>
      <c r="J80" s="235"/>
      <c r="K80" s="183"/>
      <c r="L80" s="235"/>
      <c r="M80" s="183"/>
      <c r="N80" s="230"/>
      <c r="O80" s="183"/>
      <c r="P80" s="220">
        <f t="shared" si="2"/>
        <v>0</v>
      </c>
    </row>
    <row r="81" spans="1:16" ht="16.5" customHeight="1" x14ac:dyDescent="0.35">
      <c r="A81" s="231">
        <v>4074</v>
      </c>
      <c r="B81" s="189" t="s">
        <v>775</v>
      </c>
      <c r="C81" s="189" t="s">
        <v>203</v>
      </c>
      <c r="D81" s="156" t="s">
        <v>111</v>
      </c>
      <c r="E81" s="188">
        <v>40677</v>
      </c>
      <c r="F81" s="180" t="s">
        <v>13</v>
      </c>
      <c r="G81" s="232">
        <v>500</v>
      </c>
      <c r="H81" s="235" t="s">
        <v>273</v>
      </c>
      <c r="I81" s="183">
        <v>3</v>
      </c>
      <c r="J81" s="235"/>
      <c r="K81" s="183"/>
      <c r="L81" s="235"/>
      <c r="M81" s="183"/>
      <c r="N81" s="230"/>
      <c r="O81" s="183"/>
      <c r="P81" s="220">
        <f t="shared" si="2"/>
        <v>3</v>
      </c>
    </row>
    <row r="82" spans="1:16" ht="16.5" customHeight="1" x14ac:dyDescent="0.35">
      <c r="A82" s="231">
        <v>4075</v>
      </c>
      <c r="B82" s="187" t="s">
        <v>169</v>
      </c>
      <c r="C82" s="187" t="s">
        <v>75</v>
      </c>
      <c r="D82" s="156" t="s">
        <v>111</v>
      </c>
      <c r="E82" s="188">
        <v>40958</v>
      </c>
      <c r="F82" s="180" t="s">
        <v>65</v>
      </c>
      <c r="G82" s="232" t="s">
        <v>776</v>
      </c>
      <c r="H82" s="235"/>
      <c r="I82" s="183"/>
      <c r="J82" s="235"/>
      <c r="K82" s="183"/>
      <c r="L82" s="235"/>
      <c r="M82" s="183"/>
      <c r="N82" s="230"/>
      <c r="O82" s="183"/>
      <c r="P82" s="220">
        <f t="shared" si="2"/>
        <v>0</v>
      </c>
    </row>
    <row r="83" spans="1:16" ht="16.5" customHeight="1" x14ac:dyDescent="0.35">
      <c r="A83" s="231">
        <v>4076</v>
      </c>
      <c r="B83" s="178" t="s">
        <v>849</v>
      </c>
      <c r="C83" s="178" t="s">
        <v>826</v>
      </c>
      <c r="D83" s="169" t="s">
        <v>111</v>
      </c>
      <c r="E83" s="179">
        <v>40624</v>
      </c>
      <c r="F83" s="180" t="s">
        <v>10</v>
      </c>
      <c r="G83" s="227">
        <v>597</v>
      </c>
      <c r="H83" s="235"/>
      <c r="I83" s="183"/>
      <c r="J83" s="235" t="s">
        <v>273</v>
      </c>
      <c r="K83" s="183">
        <v>6</v>
      </c>
      <c r="L83" s="235" t="s">
        <v>273</v>
      </c>
      <c r="M83" s="183"/>
      <c r="N83" s="230"/>
      <c r="O83" s="183"/>
      <c r="P83" s="220">
        <f t="shared" si="2"/>
        <v>6</v>
      </c>
    </row>
    <row r="84" spans="1:16" ht="16.5" customHeight="1" x14ac:dyDescent="0.35">
      <c r="A84" s="231">
        <v>4077</v>
      </c>
      <c r="B84" s="177" t="s">
        <v>777</v>
      </c>
      <c r="C84" s="186" t="s">
        <v>124</v>
      </c>
      <c r="D84" s="180" t="s">
        <v>111</v>
      </c>
      <c r="E84" s="152">
        <v>40544</v>
      </c>
      <c r="F84" s="180" t="s">
        <v>11</v>
      </c>
      <c r="G84" s="233">
        <v>500</v>
      </c>
      <c r="H84" s="235" t="s">
        <v>273</v>
      </c>
      <c r="I84" s="183">
        <v>8</v>
      </c>
      <c r="J84" s="453" t="s">
        <v>273</v>
      </c>
      <c r="K84" s="183">
        <v>2</v>
      </c>
      <c r="L84" s="235" t="s">
        <v>273</v>
      </c>
      <c r="M84" s="183"/>
      <c r="N84" s="230"/>
      <c r="O84" s="183"/>
      <c r="P84" s="220">
        <f t="shared" si="2"/>
        <v>10</v>
      </c>
    </row>
    <row r="85" spans="1:16" ht="16.5" customHeight="1" x14ac:dyDescent="0.35">
      <c r="A85" s="231">
        <v>4078</v>
      </c>
      <c r="B85" s="189" t="s">
        <v>257</v>
      </c>
      <c r="C85" s="189" t="s">
        <v>64</v>
      </c>
      <c r="D85" s="156" t="s">
        <v>111</v>
      </c>
      <c r="E85" s="188">
        <v>40522</v>
      </c>
      <c r="F85" s="180" t="s">
        <v>13</v>
      </c>
      <c r="G85" s="234" t="s">
        <v>126</v>
      </c>
      <c r="H85" s="235"/>
      <c r="I85" s="183"/>
      <c r="J85" s="235"/>
      <c r="K85" s="183"/>
      <c r="L85" s="235"/>
      <c r="M85" s="183"/>
      <c r="N85" s="230"/>
      <c r="O85" s="183"/>
      <c r="P85" s="220">
        <f t="shared" si="2"/>
        <v>0</v>
      </c>
    </row>
    <row r="86" spans="1:16" ht="16.5" customHeight="1" x14ac:dyDescent="0.35">
      <c r="A86" s="231">
        <v>4079</v>
      </c>
      <c r="B86" s="178" t="s">
        <v>778</v>
      </c>
      <c r="C86" s="178" t="s">
        <v>416</v>
      </c>
      <c r="D86" s="169" t="s">
        <v>110</v>
      </c>
      <c r="E86" s="179">
        <v>39279</v>
      </c>
      <c r="F86" s="180" t="s">
        <v>10</v>
      </c>
      <c r="G86" s="227">
        <v>500</v>
      </c>
      <c r="H86" s="235" t="s">
        <v>273</v>
      </c>
      <c r="I86" s="183">
        <v>8</v>
      </c>
      <c r="J86" s="235"/>
      <c r="K86" s="183"/>
      <c r="L86" s="235" t="s">
        <v>273</v>
      </c>
      <c r="M86" s="183"/>
      <c r="N86" s="230"/>
      <c r="O86" s="183"/>
      <c r="P86" s="220">
        <f t="shared" si="2"/>
        <v>8</v>
      </c>
    </row>
    <row r="87" spans="1:16" ht="16.5" customHeight="1" x14ac:dyDescent="0.35">
      <c r="A87" s="231">
        <v>4080</v>
      </c>
      <c r="B87" s="194" t="s">
        <v>779</v>
      </c>
      <c r="C87" s="186" t="s">
        <v>62</v>
      </c>
      <c r="D87" s="156" t="s">
        <v>111</v>
      </c>
      <c r="E87" s="188">
        <v>41273</v>
      </c>
      <c r="F87" s="180" t="s">
        <v>79</v>
      </c>
      <c r="G87" s="233">
        <v>500</v>
      </c>
      <c r="H87" s="235"/>
      <c r="I87" s="183"/>
      <c r="J87" s="235"/>
      <c r="K87" s="183"/>
      <c r="L87" s="235"/>
      <c r="M87" s="183"/>
      <c r="N87" s="230"/>
      <c r="O87" s="183"/>
      <c r="P87" s="220">
        <f t="shared" si="2"/>
        <v>0</v>
      </c>
    </row>
    <row r="88" spans="1:16" ht="16.5" customHeight="1" x14ac:dyDescent="0.35">
      <c r="A88" s="231">
        <v>4081</v>
      </c>
      <c r="B88" s="189" t="s">
        <v>780</v>
      </c>
      <c r="C88" s="189" t="s">
        <v>256</v>
      </c>
      <c r="D88" s="156" t="s">
        <v>111</v>
      </c>
      <c r="E88" s="188">
        <v>41009</v>
      </c>
      <c r="F88" s="180" t="s">
        <v>13</v>
      </c>
      <c r="G88" s="234" t="s">
        <v>126</v>
      </c>
      <c r="H88" s="235"/>
      <c r="I88" s="183"/>
      <c r="J88" s="235"/>
      <c r="K88" s="183"/>
      <c r="L88" s="235"/>
      <c r="M88" s="183"/>
      <c r="N88" s="230"/>
      <c r="O88" s="183"/>
      <c r="P88" s="220">
        <f t="shared" si="2"/>
        <v>0</v>
      </c>
    </row>
    <row r="89" spans="1:16" ht="16.5" customHeight="1" x14ac:dyDescent="0.35">
      <c r="A89" s="231">
        <v>4082</v>
      </c>
      <c r="B89" s="190" t="s">
        <v>541</v>
      </c>
      <c r="C89" s="190" t="s">
        <v>202</v>
      </c>
      <c r="D89" s="169" t="s">
        <v>111</v>
      </c>
      <c r="E89" s="193">
        <v>40909</v>
      </c>
      <c r="F89" s="180" t="s">
        <v>9</v>
      </c>
      <c r="G89" s="227">
        <v>500</v>
      </c>
      <c r="H89" s="235"/>
      <c r="I89" s="183"/>
      <c r="J89" s="235"/>
      <c r="K89" s="183"/>
      <c r="L89" s="235"/>
      <c r="M89" s="183"/>
      <c r="N89" s="230"/>
      <c r="O89" s="183"/>
      <c r="P89" s="220">
        <f t="shared" si="2"/>
        <v>0</v>
      </c>
    </row>
    <row r="90" spans="1:16" ht="16.5" customHeight="1" x14ac:dyDescent="0.35">
      <c r="A90" s="231">
        <v>4083</v>
      </c>
      <c r="B90" s="187" t="s">
        <v>406</v>
      </c>
      <c r="C90" s="187" t="s">
        <v>431</v>
      </c>
      <c r="D90" s="156" t="s">
        <v>110</v>
      </c>
      <c r="E90" s="153">
        <v>41269</v>
      </c>
      <c r="F90" s="180" t="s">
        <v>12</v>
      </c>
      <c r="G90" s="232">
        <v>500</v>
      </c>
      <c r="H90" s="235"/>
      <c r="I90" s="183"/>
      <c r="J90" s="235"/>
      <c r="K90" s="183"/>
      <c r="L90" s="235"/>
      <c r="M90" s="183"/>
      <c r="N90" s="230"/>
      <c r="O90" s="183"/>
      <c r="P90" s="220">
        <f t="shared" si="2"/>
        <v>0</v>
      </c>
    </row>
    <row r="91" spans="1:16" ht="16.5" customHeight="1" x14ac:dyDescent="0.35">
      <c r="A91" s="231">
        <v>4084</v>
      </c>
      <c r="B91" s="190" t="s">
        <v>221</v>
      </c>
      <c r="C91" s="190" t="s">
        <v>98</v>
      </c>
      <c r="D91" s="169" t="s">
        <v>111</v>
      </c>
      <c r="E91" s="193">
        <v>39896</v>
      </c>
      <c r="F91" s="180" t="s">
        <v>9</v>
      </c>
      <c r="G91" s="227">
        <v>1146</v>
      </c>
      <c r="H91" s="235" t="s">
        <v>273</v>
      </c>
      <c r="I91" s="183">
        <v>13</v>
      </c>
      <c r="J91" s="235"/>
      <c r="K91" s="183"/>
      <c r="L91" s="235"/>
      <c r="M91" s="183"/>
      <c r="N91" s="230"/>
      <c r="O91" s="183"/>
      <c r="P91" s="220">
        <f t="shared" si="2"/>
        <v>13</v>
      </c>
    </row>
    <row r="92" spans="1:16" ht="16.5" customHeight="1" x14ac:dyDescent="0.35">
      <c r="A92" s="231">
        <v>4085</v>
      </c>
      <c r="B92" s="190" t="s">
        <v>240</v>
      </c>
      <c r="C92" s="190" t="s">
        <v>241</v>
      </c>
      <c r="D92" s="169" t="s">
        <v>111</v>
      </c>
      <c r="E92" s="193">
        <v>40207</v>
      </c>
      <c r="F92" s="180" t="s">
        <v>9</v>
      </c>
      <c r="G92" s="227">
        <v>967</v>
      </c>
      <c r="H92" s="235"/>
      <c r="I92" s="183"/>
      <c r="J92" s="235"/>
      <c r="K92" s="183"/>
      <c r="L92" s="235"/>
      <c r="M92" s="183"/>
      <c r="N92" s="230"/>
      <c r="O92" s="183"/>
      <c r="P92" s="220">
        <f t="shared" si="2"/>
        <v>0</v>
      </c>
    </row>
    <row r="93" spans="1:16" ht="16.5" customHeight="1" x14ac:dyDescent="0.35">
      <c r="A93" s="231">
        <v>4086</v>
      </c>
      <c r="B93" s="191" t="s">
        <v>848</v>
      </c>
      <c r="C93" s="192" t="s">
        <v>50</v>
      </c>
      <c r="D93" s="156" t="s">
        <v>111</v>
      </c>
      <c r="E93" s="188">
        <v>40610</v>
      </c>
      <c r="F93" s="180" t="s">
        <v>294</v>
      </c>
      <c r="G93" s="232" t="s">
        <v>126</v>
      </c>
      <c r="H93" s="235"/>
      <c r="I93" s="183"/>
      <c r="J93" s="235"/>
      <c r="K93" s="183"/>
      <c r="L93" s="235"/>
      <c r="M93" s="183"/>
      <c r="N93" s="230"/>
      <c r="O93" s="183"/>
      <c r="P93" s="220">
        <f t="shared" si="2"/>
        <v>0</v>
      </c>
    </row>
    <row r="94" spans="1:16" ht="16.5" customHeight="1" x14ac:dyDescent="0.35">
      <c r="A94" s="231">
        <v>4087</v>
      </c>
      <c r="B94" s="186" t="s">
        <v>184</v>
      </c>
      <c r="C94" s="186" t="s">
        <v>88</v>
      </c>
      <c r="D94" s="156" t="s">
        <v>111</v>
      </c>
      <c r="E94" s="153">
        <v>40479</v>
      </c>
      <c r="F94" s="180" t="s">
        <v>294</v>
      </c>
      <c r="G94" s="227">
        <v>500</v>
      </c>
      <c r="H94" s="235"/>
      <c r="I94" s="183"/>
      <c r="J94" s="453"/>
      <c r="K94" s="183"/>
      <c r="L94" s="235"/>
      <c r="M94" s="183"/>
      <c r="N94" s="230"/>
      <c r="O94" s="183"/>
      <c r="P94" s="220">
        <f t="shared" si="2"/>
        <v>0</v>
      </c>
    </row>
    <row r="95" spans="1:16" ht="16.5" customHeight="1" x14ac:dyDescent="0.35">
      <c r="A95" s="231">
        <v>4088</v>
      </c>
      <c r="B95" s="189" t="s">
        <v>133</v>
      </c>
      <c r="C95" s="189" t="s">
        <v>301</v>
      </c>
      <c r="D95" s="156" t="s">
        <v>111</v>
      </c>
      <c r="E95" s="188">
        <v>40050</v>
      </c>
      <c r="F95" s="180" t="s">
        <v>13</v>
      </c>
      <c r="G95" s="234" t="s">
        <v>126</v>
      </c>
      <c r="H95" s="235"/>
      <c r="I95" s="183"/>
      <c r="J95" s="235"/>
      <c r="K95" s="183"/>
      <c r="L95" s="235"/>
      <c r="M95" s="183"/>
      <c r="N95" s="230"/>
      <c r="O95" s="183"/>
      <c r="P95" s="220">
        <f t="shared" si="2"/>
        <v>0</v>
      </c>
    </row>
    <row r="96" spans="1:16" ht="16.5" customHeight="1" x14ac:dyDescent="0.35">
      <c r="A96" s="231">
        <v>4089</v>
      </c>
      <c r="B96" s="189" t="s">
        <v>133</v>
      </c>
      <c r="C96" s="189" t="s">
        <v>781</v>
      </c>
      <c r="D96" s="156" t="s">
        <v>111</v>
      </c>
      <c r="E96" s="188">
        <v>41117</v>
      </c>
      <c r="F96" s="180" t="s">
        <v>13</v>
      </c>
      <c r="G96" s="234" t="s">
        <v>126</v>
      </c>
      <c r="H96" s="235"/>
      <c r="I96" s="183"/>
      <c r="J96" s="235"/>
      <c r="K96" s="183"/>
      <c r="L96" s="235"/>
      <c r="M96" s="183"/>
      <c r="N96" s="230"/>
      <c r="O96" s="183"/>
      <c r="P96" s="220">
        <f t="shared" si="2"/>
        <v>0</v>
      </c>
    </row>
    <row r="97" spans="1:16" ht="16.5" customHeight="1" x14ac:dyDescent="0.35">
      <c r="A97" s="231">
        <v>4090</v>
      </c>
      <c r="B97" s="187" t="s">
        <v>168</v>
      </c>
      <c r="C97" s="187" t="s">
        <v>94</v>
      </c>
      <c r="D97" s="156" t="s">
        <v>111</v>
      </c>
      <c r="E97" s="188">
        <v>40991</v>
      </c>
      <c r="F97" s="180" t="s">
        <v>65</v>
      </c>
      <c r="G97" s="232">
        <v>500</v>
      </c>
      <c r="H97" s="235" t="s">
        <v>273</v>
      </c>
      <c r="I97" s="183">
        <v>3</v>
      </c>
      <c r="J97" s="235"/>
      <c r="K97" s="183"/>
      <c r="L97" s="235"/>
      <c r="M97" s="183"/>
      <c r="N97" s="230"/>
      <c r="O97" s="183"/>
      <c r="P97" s="220">
        <f t="shared" si="2"/>
        <v>3</v>
      </c>
    </row>
    <row r="98" spans="1:16" ht="16.5" customHeight="1" x14ac:dyDescent="0.35">
      <c r="A98" s="231">
        <v>4091</v>
      </c>
      <c r="B98" s="185" t="s">
        <v>782</v>
      </c>
      <c r="C98" s="186" t="s">
        <v>70</v>
      </c>
      <c r="D98" s="180" t="s">
        <v>111</v>
      </c>
      <c r="E98" s="152">
        <v>40544</v>
      </c>
      <c r="F98" s="180" t="s">
        <v>11</v>
      </c>
      <c r="G98" s="233">
        <v>500</v>
      </c>
      <c r="H98" s="235" t="s">
        <v>273</v>
      </c>
      <c r="I98" s="183">
        <v>3</v>
      </c>
      <c r="J98" s="453" t="s">
        <v>273</v>
      </c>
      <c r="K98" s="183">
        <v>3</v>
      </c>
      <c r="L98" s="235" t="s">
        <v>273</v>
      </c>
      <c r="M98" s="183"/>
      <c r="N98" s="230"/>
      <c r="O98" s="183"/>
      <c r="P98" s="220">
        <f t="shared" si="2"/>
        <v>6</v>
      </c>
    </row>
    <row r="99" spans="1:16" ht="16.5" customHeight="1" x14ac:dyDescent="0.35">
      <c r="A99" s="231">
        <v>4092</v>
      </c>
      <c r="B99" s="178" t="s">
        <v>412</v>
      </c>
      <c r="C99" s="178" t="s">
        <v>414</v>
      </c>
      <c r="D99" s="169" t="s">
        <v>110</v>
      </c>
      <c r="E99" s="184">
        <v>40185</v>
      </c>
      <c r="F99" s="180" t="s">
        <v>77</v>
      </c>
      <c r="G99" s="227">
        <v>500</v>
      </c>
      <c r="H99" s="235"/>
      <c r="I99" s="183"/>
      <c r="J99" s="235"/>
      <c r="K99" s="183"/>
      <c r="L99" s="235"/>
      <c r="M99" s="183"/>
      <c r="N99" s="230"/>
      <c r="O99" s="183"/>
      <c r="P99" s="220">
        <f t="shared" si="2"/>
        <v>0</v>
      </c>
    </row>
    <row r="100" spans="1:16" ht="16.5" customHeight="1" x14ac:dyDescent="0.35">
      <c r="A100" s="231">
        <v>4093</v>
      </c>
      <c r="B100" s="178" t="s">
        <v>267</v>
      </c>
      <c r="C100" s="178" t="s">
        <v>268</v>
      </c>
      <c r="D100" s="169" t="s">
        <v>111</v>
      </c>
      <c r="E100" s="179">
        <v>41207</v>
      </c>
      <c r="F100" s="180" t="s">
        <v>10</v>
      </c>
      <c r="G100" s="227">
        <v>561</v>
      </c>
      <c r="H100" s="235"/>
      <c r="I100" s="183"/>
      <c r="J100" s="453" t="s">
        <v>273</v>
      </c>
      <c r="K100" s="183">
        <v>7</v>
      </c>
      <c r="L100" s="235"/>
      <c r="M100" s="183"/>
      <c r="N100" s="230"/>
      <c r="O100" s="183"/>
      <c r="P100" s="220">
        <f t="shared" si="2"/>
        <v>7</v>
      </c>
    </row>
    <row r="101" spans="1:16" ht="16.5" customHeight="1" x14ac:dyDescent="0.35">
      <c r="A101" s="231">
        <v>4094</v>
      </c>
      <c r="B101" s="189" t="s">
        <v>783</v>
      </c>
      <c r="C101" s="189" t="s">
        <v>152</v>
      </c>
      <c r="D101" s="156" t="s">
        <v>111</v>
      </c>
      <c r="E101" s="188">
        <v>41191</v>
      </c>
      <c r="F101" s="180" t="s">
        <v>13</v>
      </c>
      <c r="G101" s="232">
        <v>500</v>
      </c>
      <c r="H101" s="235" t="s">
        <v>273</v>
      </c>
      <c r="I101" s="183">
        <v>4</v>
      </c>
      <c r="J101" s="235" t="s">
        <v>273</v>
      </c>
      <c r="K101" s="183">
        <v>1</v>
      </c>
      <c r="L101" s="235" t="s">
        <v>273</v>
      </c>
      <c r="M101" s="183"/>
      <c r="N101" s="230"/>
      <c r="O101" s="183"/>
      <c r="P101" s="220">
        <f t="shared" si="2"/>
        <v>5</v>
      </c>
    </row>
    <row r="102" spans="1:16" ht="16.5" customHeight="1" x14ac:dyDescent="0.35">
      <c r="A102" s="231">
        <v>4095</v>
      </c>
      <c r="B102" s="191" t="s">
        <v>784</v>
      </c>
      <c r="C102" s="192" t="s">
        <v>595</v>
      </c>
      <c r="D102" s="156" t="s">
        <v>111</v>
      </c>
      <c r="E102" s="188">
        <v>41197</v>
      </c>
      <c r="F102" s="180" t="s">
        <v>294</v>
      </c>
      <c r="G102" s="232" t="s">
        <v>126</v>
      </c>
      <c r="H102" s="235"/>
      <c r="I102" s="183"/>
      <c r="J102" s="235"/>
      <c r="K102" s="183"/>
      <c r="L102" s="235"/>
      <c r="M102" s="183"/>
      <c r="N102" s="230"/>
      <c r="O102" s="183"/>
      <c r="P102" s="220">
        <f t="shared" si="2"/>
        <v>0</v>
      </c>
    </row>
    <row r="103" spans="1:16" ht="16.5" customHeight="1" x14ac:dyDescent="0.35">
      <c r="A103" s="231">
        <v>4096</v>
      </c>
      <c r="B103" s="189" t="s">
        <v>785</v>
      </c>
      <c r="C103" s="189" t="s">
        <v>786</v>
      </c>
      <c r="D103" s="156" t="s">
        <v>111</v>
      </c>
      <c r="E103" s="188">
        <v>40378</v>
      </c>
      <c r="F103" s="180" t="s">
        <v>13</v>
      </c>
      <c r="G103" s="234" t="s">
        <v>126</v>
      </c>
      <c r="H103" s="235"/>
      <c r="I103" s="183"/>
      <c r="J103" s="235"/>
      <c r="K103" s="183"/>
      <c r="L103" s="235"/>
      <c r="M103" s="183"/>
      <c r="N103" s="230"/>
      <c r="O103" s="183"/>
      <c r="P103" s="220">
        <f t="shared" si="2"/>
        <v>0</v>
      </c>
    </row>
    <row r="104" spans="1:16" ht="16.5" customHeight="1" x14ac:dyDescent="0.35">
      <c r="A104" s="231">
        <v>4097</v>
      </c>
      <c r="B104" s="187" t="s">
        <v>209</v>
      </c>
      <c r="C104" s="187" t="s">
        <v>87</v>
      </c>
      <c r="D104" s="156" t="s">
        <v>111</v>
      </c>
      <c r="E104" s="153">
        <v>40290</v>
      </c>
      <c r="F104" s="180" t="s">
        <v>12</v>
      </c>
      <c r="G104" s="232">
        <v>487</v>
      </c>
      <c r="H104" s="235"/>
      <c r="I104" s="183"/>
      <c r="J104" s="235" t="s">
        <v>273</v>
      </c>
      <c r="K104" s="183">
        <v>6</v>
      </c>
      <c r="L104" s="235"/>
      <c r="M104" s="183"/>
      <c r="N104" s="230"/>
      <c r="O104" s="183"/>
      <c r="P104" s="220">
        <f t="shared" ref="P104:P135" si="3">SUM(I104:O104)</f>
        <v>6</v>
      </c>
    </row>
    <row r="105" spans="1:16" ht="16.5" customHeight="1" x14ac:dyDescent="0.35">
      <c r="A105" s="231">
        <v>4098</v>
      </c>
      <c r="B105" s="190" t="s">
        <v>226</v>
      </c>
      <c r="C105" s="190" t="s">
        <v>203</v>
      </c>
      <c r="D105" s="169" t="s">
        <v>111</v>
      </c>
      <c r="E105" s="193">
        <v>40501</v>
      </c>
      <c r="F105" s="180" t="s">
        <v>9</v>
      </c>
      <c r="G105" s="227">
        <v>500</v>
      </c>
      <c r="H105" s="235"/>
      <c r="I105" s="183"/>
      <c r="J105" s="235"/>
      <c r="K105" s="183"/>
      <c r="L105" s="235"/>
      <c r="M105" s="183"/>
      <c r="N105" s="230"/>
      <c r="O105" s="183"/>
      <c r="P105" s="220">
        <f t="shared" si="3"/>
        <v>0</v>
      </c>
    </row>
    <row r="106" spans="1:16" ht="16.5" customHeight="1" x14ac:dyDescent="0.35">
      <c r="A106" s="231">
        <v>4099</v>
      </c>
      <c r="B106" s="187" t="s">
        <v>161</v>
      </c>
      <c r="C106" s="187" t="s">
        <v>362</v>
      </c>
      <c r="D106" s="156" t="s">
        <v>111</v>
      </c>
      <c r="E106" s="188">
        <v>41158</v>
      </c>
      <c r="F106" s="180" t="s">
        <v>65</v>
      </c>
      <c r="G106" s="232">
        <v>500</v>
      </c>
      <c r="H106" s="235" t="s">
        <v>273</v>
      </c>
      <c r="I106" s="183">
        <v>1</v>
      </c>
      <c r="J106" s="235"/>
      <c r="K106" s="183"/>
      <c r="L106" s="235"/>
      <c r="M106" s="183"/>
      <c r="N106" s="230"/>
      <c r="O106" s="183"/>
      <c r="P106" s="220">
        <f t="shared" si="3"/>
        <v>1</v>
      </c>
    </row>
    <row r="107" spans="1:16" ht="16.5" customHeight="1" x14ac:dyDescent="0.35">
      <c r="A107" s="231">
        <v>4100</v>
      </c>
      <c r="B107" s="178" t="s">
        <v>787</v>
      </c>
      <c r="C107" s="178" t="s">
        <v>95</v>
      </c>
      <c r="D107" s="169" t="s">
        <v>111</v>
      </c>
      <c r="E107" s="179">
        <v>41084</v>
      </c>
      <c r="F107" s="180" t="s">
        <v>10</v>
      </c>
      <c r="G107" s="227">
        <v>654</v>
      </c>
      <c r="H107" s="235" t="s">
        <v>273</v>
      </c>
      <c r="I107" s="183">
        <v>9</v>
      </c>
      <c r="J107" s="453" t="s">
        <v>273</v>
      </c>
      <c r="K107" s="183">
        <v>8</v>
      </c>
      <c r="L107" s="235" t="s">
        <v>273</v>
      </c>
      <c r="M107" s="183"/>
      <c r="N107" s="230"/>
      <c r="O107" s="183"/>
      <c r="P107" s="220">
        <f t="shared" si="3"/>
        <v>17</v>
      </c>
    </row>
    <row r="108" spans="1:16" ht="16.5" customHeight="1" x14ac:dyDescent="0.35">
      <c r="A108" s="231">
        <v>4101</v>
      </c>
      <c r="B108" s="189" t="s">
        <v>74</v>
      </c>
      <c r="C108" s="189" t="s">
        <v>117</v>
      </c>
      <c r="D108" s="156" t="s">
        <v>111</v>
      </c>
      <c r="E108" s="188">
        <v>40654</v>
      </c>
      <c r="F108" s="180" t="s">
        <v>13</v>
      </c>
      <c r="G108" s="234" t="s">
        <v>788</v>
      </c>
      <c r="H108" s="235"/>
      <c r="I108" s="183"/>
      <c r="J108" s="235"/>
      <c r="K108" s="183"/>
      <c r="L108" s="235"/>
      <c r="M108" s="183"/>
      <c r="N108" s="230"/>
      <c r="O108" s="183"/>
      <c r="P108" s="220">
        <f t="shared" si="3"/>
        <v>0</v>
      </c>
    </row>
    <row r="109" spans="1:16" ht="14.5" x14ac:dyDescent="0.35">
      <c r="A109" s="231">
        <v>4102</v>
      </c>
      <c r="B109" s="189" t="s">
        <v>259</v>
      </c>
      <c r="C109" s="189" t="s">
        <v>140</v>
      </c>
      <c r="D109" s="156" t="s">
        <v>111</v>
      </c>
      <c r="E109" s="188">
        <v>40154</v>
      </c>
      <c r="F109" s="180" t="s">
        <v>13</v>
      </c>
      <c r="G109" s="232">
        <v>656</v>
      </c>
      <c r="H109" s="235" t="s">
        <v>273</v>
      </c>
      <c r="I109" s="183">
        <v>10</v>
      </c>
      <c r="J109" s="235" t="s">
        <v>273</v>
      </c>
      <c r="K109" s="183">
        <v>9</v>
      </c>
      <c r="L109" s="235" t="s">
        <v>273</v>
      </c>
      <c r="M109" s="183"/>
      <c r="N109" s="230"/>
      <c r="O109" s="183"/>
      <c r="P109" s="220">
        <f t="shared" si="3"/>
        <v>19</v>
      </c>
    </row>
    <row r="110" spans="1:16" ht="14.5" x14ac:dyDescent="0.35">
      <c r="A110" s="231">
        <v>4103</v>
      </c>
      <c r="B110" s="241" t="s">
        <v>410</v>
      </c>
      <c r="C110" s="242" t="s">
        <v>851</v>
      </c>
      <c r="D110" s="156" t="s">
        <v>110</v>
      </c>
      <c r="E110" s="188">
        <v>40861</v>
      </c>
      <c r="F110" s="180" t="s">
        <v>79</v>
      </c>
      <c r="G110" s="233">
        <v>500</v>
      </c>
      <c r="H110" s="235"/>
      <c r="I110" s="183"/>
      <c r="J110" s="235"/>
      <c r="K110" s="183"/>
      <c r="L110" s="235"/>
      <c r="M110" s="183"/>
      <c r="N110" s="230"/>
      <c r="O110" s="183"/>
      <c r="P110" s="220">
        <f t="shared" si="3"/>
        <v>0</v>
      </c>
    </row>
    <row r="111" spans="1:16" ht="14.5" x14ac:dyDescent="0.35">
      <c r="A111" s="231">
        <v>4104</v>
      </c>
      <c r="B111" s="241" t="s">
        <v>789</v>
      </c>
      <c r="C111" s="242" t="s">
        <v>52</v>
      </c>
      <c r="D111" s="156" t="s">
        <v>111</v>
      </c>
      <c r="E111" s="188">
        <v>40763</v>
      </c>
      <c r="F111" s="180" t="s">
        <v>79</v>
      </c>
      <c r="G111" s="233">
        <v>514</v>
      </c>
      <c r="H111" s="235" t="s">
        <v>273</v>
      </c>
      <c r="I111" s="183">
        <v>8</v>
      </c>
      <c r="J111" s="235" t="s">
        <v>273</v>
      </c>
      <c r="K111" s="183">
        <v>7</v>
      </c>
      <c r="L111" s="235"/>
      <c r="M111" s="183"/>
      <c r="N111" s="230"/>
      <c r="O111" s="183"/>
      <c r="P111" s="220">
        <f t="shared" si="3"/>
        <v>15</v>
      </c>
    </row>
    <row r="112" spans="1:16" ht="15" customHeight="1" x14ac:dyDescent="0.35">
      <c r="A112" s="626">
        <v>4105</v>
      </c>
      <c r="B112" s="241" t="s">
        <v>861</v>
      </c>
      <c r="C112" s="242" t="s">
        <v>60</v>
      </c>
      <c r="D112" s="169" t="s">
        <v>111</v>
      </c>
      <c r="E112" s="193">
        <v>40544</v>
      </c>
      <c r="F112" s="180" t="s">
        <v>10</v>
      </c>
      <c r="G112" s="627">
        <v>500</v>
      </c>
      <c r="H112" s="235" t="s">
        <v>273</v>
      </c>
      <c r="I112" s="183">
        <v>7</v>
      </c>
      <c r="J112" s="465"/>
      <c r="K112" s="198"/>
      <c r="L112" s="621" t="s">
        <v>273</v>
      </c>
      <c r="M112" s="183"/>
      <c r="N112" s="230"/>
      <c r="O112" s="183"/>
      <c r="P112" s="220">
        <f>SUM(I112:O112)</f>
        <v>7</v>
      </c>
    </row>
    <row r="113" spans="1:16" ht="15" customHeight="1" x14ac:dyDescent="0.35">
      <c r="A113" s="231">
        <v>4000</v>
      </c>
      <c r="B113" s="178" t="s">
        <v>868</v>
      </c>
      <c r="C113" s="178" t="s">
        <v>869</v>
      </c>
      <c r="D113" s="169" t="s">
        <v>111</v>
      </c>
      <c r="E113" s="179">
        <v>40826</v>
      </c>
      <c r="F113" s="180" t="s">
        <v>11</v>
      </c>
      <c r="G113" s="227">
        <v>500</v>
      </c>
      <c r="H113" s="235" t="s">
        <v>273</v>
      </c>
      <c r="I113" s="183">
        <v>1</v>
      </c>
      <c r="J113" s="465"/>
      <c r="K113" s="198"/>
      <c r="L113" s="235" t="s">
        <v>273</v>
      </c>
      <c r="M113" s="183"/>
      <c r="N113" s="230"/>
      <c r="O113" s="183"/>
      <c r="P113" s="220">
        <f t="shared" ref="P113" si="4">SUM(I113:O113)</f>
        <v>1</v>
      </c>
    </row>
    <row r="114" spans="1:16" ht="14.5" x14ac:dyDescent="0.35">
      <c r="A114" s="499"/>
      <c r="B114" s="394"/>
      <c r="C114" s="394"/>
      <c r="D114" s="494"/>
      <c r="E114" s="377"/>
      <c r="F114" s="180"/>
      <c r="G114" s="521"/>
      <c r="H114" s="518"/>
      <c r="I114" s="519"/>
      <c r="J114" s="520"/>
      <c r="K114" s="228"/>
      <c r="L114" s="235"/>
      <c r="M114" s="183"/>
      <c r="N114" s="230"/>
      <c r="O114" s="183"/>
      <c r="P114" s="220">
        <f t="shared" si="3"/>
        <v>0</v>
      </c>
    </row>
    <row r="115" spans="1:16" ht="14.5" x14ac:dyDescent="0.35">
      <c r="A115" s="499"/>
      <c r="B115" s="394"/>
      <c r="C115" s="394"/>
      <c r="D115" s="494"/>
      <c r="E115" s="377"/>
      <c r="F115" s="180"/>
      <c r="G115" s="521"/>
      <c r="H115" s="520"/>
      <c r="I115" s="228"/>
      <c r="J115" s="518"/>
      <c r="K115" s="519"/>
      <c r="L115" s="235"/>
      <c r="M115" s="183"/>
      <c r="N115" s="230"/>
      <c r="O115" s="183"/>
      <c r="P115" s="220">
        <f t="shared" si="3"/>
        <v>0</v>
      </c>
    </row>
    <row r="116" spans="1:16" ht="14.5" x14ac:dyDescent="0.35">
      <c r="A116" s="499"/>
      <c r="B116" s="398"/>
      <c r="C116" s="398"/>
      <c r="D116" s="494"/>
      <c r="E116" s="377"/>
      <c r="F116" s="180"/>
      <c r="G116" s="515"/>
      <c r="H116" s="520"/>
      <c r="I116" s="228"/>
      <c r="J116" s="520"/>
      <c r="K116" s="228"/>
      <c r="L116" s="235"/>
      <c r="M116" s="183"/>
      <c r="N116" s="230"/>
      <c r="O116" s="183"/>
      <c r="P116" s="220">
        <f t="shared" si="3"/>
        <v>0</v>
      </c>
    </row>
    <row r="117" spans="1:16" ht="14.5" x14ac:dyDescent="0.35">
      <c r="A117" s="499"/>
      <c r="B117" s="391"/>
      <c r="C117" s="391"/>
      <c r="D117" s="381"/>
      <c r="E117" s="196"/>
      <c r="F117" s="180"/>
      <c r="G117" s="516"/>
      <c r="H117" s="520"/>
      <c r="I117" s="228"/>
      <c r="J117" s="520"/>
      <c r="K117" s="228"/>
      <c r="L117" s="235"/>
      <c r="M117" s="183"/>
      <c r="N117" s="230"/>
      <c r="O117" s="183"/>
      <c r="P117" s="220">
        <f t="shared" si="3"/>
        <v>0</v>
      </c>
    </row>
    <row r="118" spans="1:16" ht="14.5" x14ac:dyDescent="0.35">
      <c r="A118" s="499"/>
      <c r="B118" s="400"/>
      <c r="C118" s="400"/>
      <c r="D118" s="494"/>
      <c r="E118" s="377"/>
      <c r="F118" s="180"/>
      <c r="G118" s="515"/>
      <c r="H118" s="518"/>
      <c r="I118" s="519"/>
      <c r="J118" s="520"/>
      <c r="K118" s="228"/>
      <c r="L118" s="235"/>
      <c r="M118" s="183"/>
      <c r="N118" s="230"/>
      <c r="O118" s="183"/>
      <c r="P118" s="220">
        <f t="shared" si="3"/>
        <v>0</v>
      </c>
    </row>
    <row r="119" spans="1:16" ht="14.5" x14ac:dyDescent="0.35">
      <c r="A119" s="499"/>
      <c r="B119" s="400"/>
      <c r="C119" s="400"/>
      <c r="D119" s="494"/>
      <c r="E119" s="377"/>
      <c r="F119" s="180"/>
      <c r="G119" s="515"/>
      <c r="H119" s="520"/>
      <c r="I119" s="228"/>
      <c r="J119" s="520"/>
      <c r="K119" s="228"/>
      <c r="L119" s="235"/>
      <c r="M119" s="183"/>
      <c r="N119" s="230"/>
      <c r="O119" s="183"/>
      <c r="P119" s="220">
        <f t="shared" si="3"/>
        <v>0</v>
      </c>
    </row>
    <row r="120" spans="1:16" ht="14.5" x14ac:dyDescent="0.35">
      <c r="A120" s="499"/>
      <c r="B120" s="391"/>
      <c r="C120" s="391"/>
      <c r="D120" s="381"/>
      <c r="E120" s="193"/>
      <c r="F120" s="180"/>
      <c r="G120" s="516"/>
      <c r="H120" s="520"/>
      <c r="I120" s="228"/>
      <c r="J120" s="520"/>
      <c r="K120" s="228"/>
      <c r="L120" s="235"/>
      <c r="M120" s="183"/>
      <c r="N120" s="230"/>
      <c r="O120" s="183"/>
      <c r="P120" s="220">
        <f t="shared" si="3"/>
        <v>0</v>
      </c>
    </row>
    <row r="121" spans="1:16" ht="14.5" x14ac:dyDescent="0.35">
      <c r="A121" s="499"/>
      <c r="B121" s="242"/>
      <c r="C121" s="242"/>
      <c r="D121" s="494"/>
      <c r="E121" s="377"/>
      <c r="F121" s="180"/>
      <c r="G121" s="516"/>
      <c r="H121" s="520"/>
      <c r="I121" s="228"/>
      <c r="J121" s="520"/>
      <c r="K121" s="228"/>
      <c r="L121" s="235"/>
      <c r="M121" s="183"/>
      <c r="N121" s="230"/>
      <c r="O121" s="183"/>
      <c r="P121" s="220">
        <f t="shared" si="3"/>
        <v>0</v>
      </c>
    </row>
    <row r="122" spans="1:16" ht="14.5" x14ac:dyDescent="0.35">
      <c r="A122" s="500"/>
      <c r="B122" s="495"/>
      <c r="C122" s="495"/>
      <c r="D122" s="494"/>
      <c r="E122" s="409"/>
      <c r="F122" s="180"/>
      <c r="G122" s="522"/>
      <c r="H122" s="520"/>
      <c r="I122" s="228"/>
      <c r="J122" s="235"/>
      <c r="K122" s="183"/>
      <c r="L122" s="235"/>
      <c r="M122" s="183"/>
      <c r="N122" s="230"/>
      <c r="O122" s="183"/>
      <c r="P122" s="220">
        <f t="shared" si="3"/>
        <v>0</v>
      </c>
    </row>
    <row r="123" spans="1:16" ht="14.5" x14ac:dyDescent="0.35">
      <c r="A123" s="500"/>
      <c r="B123" s="495"/>
      <c r="C123" s="495"/>
      <c r="D123" s="494"/>
      <c r="E123" s="409"/>
      <c r="F123" s="180"/>
      <c r="G123" s="233"/>
      <c r="H123" s="235"/>
      <c r="I123" s="183"/>
      <c r="J123" s="235"/>
      <c r="K123" s="183"/>
      <c r="L123" s="235"/>
      <c r="M123" s="183"/>
      <c r="N123" s="230"/>
      <c r="O123" s="183"/>
      <c r="P123" s="220">
        <f t="shared" si="3"/>
        <v>0</v>
      </c>
    </row>
    <row r="124" spans="1:16" ht="14.5" x14ac:dyDescent="0.35">
      <c r="A124" s="500"/>
      <c r="B124" s="495"/>
      <c r="C124" s="495"/>
      <c r="D124" s="494"/>
      <c r="E124" s="409"/>
      <c r="F124" s="180"/>
      <c r="G124" s="233"/>
      <c r="H124" s="235"/>
      <c r="I124" s="183"/>
      <c r="J124" s="235"/>
      <c r="K124" s="183"/>
      <c r="L124" s="235"/>
      <c r="M124" s="183"/>
      <c r="N124" s="230"/>
      <c r="O124" s="183"/>
      <c r="P124" s="220">
        <f t="shared" si="3"/>
        <v>0</v>
      </c>
    </row>
    <row r="125" spans="1:16" ht="14.5" x14ac:dyDescent="0.35">
      <c r="A125" s="512"/>
      <c r="B125" s="201"/>
      <c r="C125" s="201"/>
      <c r="D125" s="202"/>
      <c r="E125" s="203"/>
      <c r="F125" s="204" t="s">
        <v>11</v>
      </c>
      <c r="G125" s="506"/>
      <c r="H125" s="206"/>
      <c r="I125" s="205"/>
      <c r="J125" s="206"/>
      <c r="K125" s="205"/>
      <c r="L125" s="206"/>
      <c r="M125" s="205"/>
      <c r="N125" s="512"/>
      <c r="O125" s="205"/>
      <c r="P125" s="510">
        <f t="shared" si="3"/>
        <v>0</v>
      </c>
    </row>
    <row r="126" spans="1:16" ht="14.5" x14ac:dyDescent="0.35">
      <c r="A126" s="512"/>
      <c r="B126" s="201"/>
      <c r="C126" s="201"/>
      <c r="D126" s="202"/>
      <c r="E126" s="203"/>
      <c r="F126" s="204" t="s">
        <v>9</v>
      </c>
      <c r="G126" s="506"/>
      <c r="H126" s="206"/>
      <c r="I126" s="205"/>
      <c r="J126" s="206"/>
      <c r="K126" s="205"/>
      <c r="L126" s="206"/>
      <c r="M126" s="205"/>
      <c r="N126" s="512"/>
      <c r="O126" s="205"/>
      <c r="P126" s="510">
        <f t="shared" si="3"/>
        <v>0</v>
      </c>
    </row>
    <row r="127" spans="1:16" ht="14.5" x14ac:dyDescent="0.35">
      <c r="A127" s="512"/>
      <c r="B127" s="201"/>
      <c r="C127" s="201"/>
      <c r="D127" s="202"/>
      <c r="E127" s="203"/>
      <c r="F127" s="204" t="s">
        <v>65</v>
      </c>
      <c r="G127" s="506"/>
      <c r="H127" s="206"/>
      <c r="I127" s="205"/>
      <c r="J127" s="206"/>
      <c r="K127" s="205"/>
      <c r="L127" s="206"/>
      <c r="M127" s="205"/>
      <c r="N127" s="512"/>
      <c r="O127" s="205"/>
      <c r="P127" s="510">
        <f t="shared" si="3"/>
        <v>0</v>
      </c>
    </row>
    <row r="128" spans="1:16" ht="14.5" x14ac:dyDescent="0.35">
      <c r="A128" s="512"/>
      <c r="B128" s="201"/>
      <c r="C128" s="201"/>
      <c r="D128" s="202"/>
      <c r="E128" s="203"/>
      <c r="F128" s="204" t="s">
        <v>79</v>
      </c>
      <c r="G128" s="506"/>
      <c r="H128" s="206"/>
      <c r="I128" s="205"/>
      <c r="J128" s="206"/>
      <c r="K128" s="205"/>
      <c r="L128" s="206"/>
      <c r="M128" s="205"/>
      <c r="N128" s="512"/>
      <c r="O128" s="205"/>
      <c r="P128" s="510">
        <f t="shared" si="3"/>
        <v>0</v>
      </c>
    </row>
    <row r="129" spans="1:16" ht="14.5" x14ac:dyDescent="0.35">
      <c r="A129" s="512"/>
      <c r="B129" s="201"/>
      <c r="C129" s="201"/>
      <c r="D129" s="202"/>
      <c r="E129" s="203"/>
      <c r="F129" s="204" t="s">
        <v>13</v>
      </c>
      <c r="G129" s="506"/>
      <c r="H129" s="206"/>
      <c r="I129" s="205"/>
      <c r="J129" s="206"/>
      <c r="K129" s="205"/>
      <c r="L129" s="206"/>
      <c r="M129" s="205"/>
      <c r="N129" s="512"/>
      <c r="O129" s="205"/>
      <c r="P129" s="510">
        <f t="shared" si="3"/>
        <v>0</v>
      </c>
    </row>
    <row r="130" spans="1:16" ht="14.5" x14ac:dyDescent="0.35">
      <c r="A130" s="512"/>
      <c r="B130" s="201"/>
      <c r="C130" s="201"/>
      <c r="D130" s="202"/>
      <c r="E130" s="203"/>
      <c r="F130" s="204" t="s">
        <v>37</v>
      </c>
      <c r="G130" s="506"/>
      <c r="H130" s="206"/>
      <c r="I130" s="205"/>
      <c r="J130" s="206"/>
      <c r="K130" s="205"/>
      <c r="L130" s="206"/>
      <c r="M130" s="205"/>
      <c r="N130" s="512"/>
      <c r="O130" s="205"/>
      <c r="P130" s="510">
        <f t="shared" si="3"/>
        <v>0</v>
      </c>
    </row>
    <row r="131" spans="1:16" ht="14.5" x14ac:dyDescent="0.35">
      <c r="A131" s="512"/>
      <c r="B131" s="201"/>
      <c r="C131" s="201"/>
      <c r="D131" s="202"/>
      <c r="E131" s="203"/>
      <c r="F131" s="204" t="s">
        <v>12</v>
      </c>
      <c r="G131" s="506"/>
      <c r="H131" s="206"/>
      <c r="I131" s="205"/>
      <c r="J131" s="206"/>
      <c r="K131" s="205"/>
      <c r="L131" s="206"/>
      <c r="M131" s="205"/>
      <c r="N131" s="512"/>
      <c r="O131" s="205"/>
      <c r="P131" s="510">
        <f t="shared" si="3"/>
        <v>0</v>
      </c>
    </row>
    <row r="132" spans="1:16" ht="14.5" x14ac:dyDescent="0.35">
      <c r="A132" s="512"/>
      <c r="B132" s="201"/>
      <c r="C132" s="201"/>
      <c r="D132" s="202"/>
      <c r="E132" s="203"/>
      <c r="F132" s="204" t="s">
        <v>294</v>
      </c>
      <c r="G132" s="506"/>
      <c r="H132" s="206"/>
      <c r="I132" s="205"/>
      <c r="J132" s="206"/>
      <c r="K132" s="205"/>
      <c r="L132" s="206"/>
      <c r="M132" s="205"/>
      <c r="N132" s="512"/>
      <c r="O132" s="205"/>
      <c r="P132" s="510">
        <f t="shared" si="3"/>
        <v>0</v>
      </c>
    </row>
    <row r="133" spans="1:16" ht="14.5" x14ac:dyDescent="0.35">
      <c r="A133" s="512"/>
      <c r="B133" s="201"/>
      <c r="C133" s="201"/>
      <c r="D133" s="202"/>
      <c r="E133" s="203"/>
      <c r="F133" s="204" t="s">
        <v>66</v>
      </c>
      <c r="G133" s="506"/>
      <c r="H133" s="206"/>
      <c r="I133" s="205"/>
      <c r="J133" s="206"/>
      <c r="K133" s="205"/>
      <c r="L133" s="206"/>
      <c r="M133" s="205"/>
      <c r="N133" s="512"/>
      <c r="O133" s="205"/>
      <c r="P133" s="510">
        <f t="shared" si="3"/>
        <v>0</v>
      </c>
    </row>
    <row r="134" spans="1:16" ht="14.5" x14ac:dyDescent="0.35">
      <c r="A134" s="512"/>
      <c r="B134" s="201"/>
      <c r="C134" s="201"/>
      <c r="D134" s="202"/>
      <c r="E134" s="203"/>
      <c r="F134" s="204" t="s">
        <v>10</v>
      </c>
      <c r="G134" s="506"/>
      <c r="H134" s="206"/>
      <c r="I134" s="205"/>
      <c r="J134" s="206"/>
      <c r="K134" s="205"/>
      <c r="L134" s="206"/>
      <c r="M134" s="205"/>
      <c r="N134" s="512"/>
      <c r="O134" s="205"/>
      <c r="P134" s="510">
        <f t="shared" si="3"/>
        <v>0</v>
      </c>
    </row>
    <row r="135" spans="1:16" ht="15" thickBot="1" x14ac:dyDescent="0.4">
      <c r="A135" s="513"/>
      <c r="B135" s="501"/>
      <c r="C135" s="501"/>
      <c r="D135" s="502"/>
      <c r="E135" s="503"/>
      <c r="F135" s="504" t="s">
        <v>77</v>
      </c>
      <c r="G135" s="507"/>
      <c r="H135" s="517"/>
      <c r="I135" s="505"/>
      <c r="J135" s="517"/>
      <c r="K135" s="505"/>
      <c r="L135" s="517"/>
      <c r="M135" s="505"/>
      <c r="N135" s="513"/>
      <c r="O135" s="505"/>
      <c r="P135" s="511">
        <f t="shared" si="3"/>
        <v>0</v>
      </c>
    </row>
    <row r="136" spans="1:16" ht="18" thickBot="1" x14ac:dyDescent="0.4">
      <c r="G136" s="35" t="s">
        <v>30</v>
      </c>
      <c r="H136" s="508">
        <f>COUNTA(H8:H135)</f>
        <v>39</v>
      </c>
      <c r="I136" s="514"/>
      <c r="J136" s="508">
        <f>COUNTA(J8:J135)</f>
        <v>31</v>
      </c>
      <c r="K136" s="514"/>
      <c r="L136" s="508">
        <f>COUNTA(L8:L135)</f>
        <v>24</v>
      </c>
      <c r="M136" s="514"/>
      <c r="N136" s="508">
        <f>COUNTA(N8:N135)</f>
        <v>0</v>
      </c>
      <c r="O136" s="514"/>
      <c r="P136" s="509">
        <f>COUNTIF(P8:P135,"&gt;0")</f>
        <v>48</v>
      </c>
    </row>
    <row r="137" spans="1:16" ht="13" x14ac:dyDescent="0.3">
      <c r="J137" s="43"/>
    </row>
    <row r="138" spans="1:16" ht="13" x14ac:dyDescent="0.3">
      <c r="F138"/>
      <c r="G138"/>
      <c r="J138" s="43"/>
      <c r="P138"/>
    </row>
    <row r="139" spans="1:16" ht="13" x14ac:dyDescent="0.3">
      <c r="F139"/>
      <c r="G139"/>
      <c r="J139" s="43"/>
      <c r="P139"/>
    </row>
    <row r="140" spans="1:16" ht="13" x14ac:dyDescent="0.3">
      <c r="F140"/>
      <c r="G140"/>
      <c r="J140" s="43"/>
      <c r="P140"/>
    </row>
    <row r="141" spans="1:16" ht="13" x14ac:dyDescent="0.3">
      <c r="F141"/>
      <c r="G141"/>
      <c r="J141" s="43"/>
      <c r="P141"/>
    </row>
    <row r="142" spans="1:16" ht="13" x14ac:dyDescent="0.3">
      <c r="F142"/>
      <c r="G142"/>
      <c r="J142" s="43"/>
      <c r="P142"/>
    </row>
    <row r="143" spans="1:16" ht="13" x14ac:dyDescent="0.3">
      <c r="F143"/>
      <c r="G143"/>
      <c r="J143" s="43"/>
      <c r="P143"/>
    </row>
    <row r="144" spans="1:16" ht="13" x14ac:dyDescent="0.3">
      <c r="F144"/>
      <c r="G144"/>
      <c r="J144" s="43"/>
      <c r="P144"/>
    </row>
    <row r="145" spans="6:16" ht="13" x14ac:dyDescent="0.3">
      <c r="F145"/>
      <c r="G145"/>
      <c r="J145" s="43"/>
      <c r="P145"/>
    </row>
    <row r="146" spans="6:16" ht="13" x14ac:dyDescent="0.3">
      <c r="F146"/>
      <c r="G146"/>
      <c r="J146" s="43"/>
      <c r="P146"/>
    </row>
    <row r="147" spans="6:16" ht="13" x14ac:dyDescent="0.3">
      <c r="F147"/>
      <c r="G147"/>
      <c r="J147" s="43"/>
      <c r="P147"/>
    </row>
    <row r="148" spans="6:16" ht="13" x14ac:dyDescent="0.3">
      <c r="F148"/>
      <c r="G148"/>
      <c r="J148" s="43"/>
      <c r="P148"/>
    </row>
    <row r="149" spans="6:16" ht="13" x14ac:dyDescent="0.3">
      <c r="F149"/>
      <c r="G149"/>
      <c r="J149" s="43"/>
      <c r="P149"/>
    </row>
    <row r="150" spans="6:16" ht="13" x14ac:dyDescent="0.3">
      <c r="F150"/>
      <c r="G150"/>
      <c r="J150" s="43"/>
      <c r="P150"/>
    </row>
    <row r="151" spans="6:16" ht="13" x14ac:dyDescent="0.3">
      <c r="F151"/>
      <c r="G151"/>
      <c r="J151" s="43"/>
      <c r="P151"/>
    </row>
    <row r="152" spans="6:16" ht="13" x14ac:dyDescent="0.3">
      <c r="F152"/>
      <c r="G152"/>
      <c r="J152" s="43"/>
      <c r="P152"/>
    </row>
    <row r="153" spans="6:16" ht="13" x14ac:dyDescent="0.3">
      <c r="F153"/>
      <c r="G153"/>
      <c r="J153" s="43"/>
      <c r="P153"/>
    </row>
    <row r="154" spans="6:16" ht="13" x14ac:dyDescent="0.3">
      <c r="F154"/>
      <c r="G154"/>
      <c r="J154" s="43"/>
      <c r="P154"/>
    </row>
    <row r="155" spans="6:16" ht="13" x14ac:dyDescent="0.3">
      <c r="F155"/>
      <c r="G155"/>
      <c r="J155" s="43"/>
      <c r="P155"/>
    </row>
    <row r="156" spans="6:16" ht="13" x14ac:dyDescent="0.3">
      <c r="F156"/>
      <c r="G156"/>
      <c r="J156" s="43"/>
      <c r="P156"/>
    </row>
    <row r="157" spans="6:16" ht="13" x14ac:dyDescent="0.3">
      <c r="F157"/>
      <c r="G157"/>
      <c r="J157" s="43"/>
      <c r="P157"/>
    </row>
    <row r="158" spans="6:16" ht="13" x14ac:dyDescent="0.3">
      <c r="F158"/>
      <c r="G158"/>
      <c r="J158" s="43"/>
      <c r="P158"/>
    </row>
    <row r="159" spans="6:16" ht="13" x14ac:dyDescent="0.3">
      <c r="F159"/>
      <c r="G159"/>
      <c r="J159" s="43"/>
      <c r="P159"/>
    </row>
    <row r="160" spans="6:16" ht="13" x14ac:dyDescent="0.3">
      <c r="F160"/>
      <c r="G160"/>
      <c r="J160" s="43"/>
      <c r="P160"/>
    </row>
    <row r="161" spans="6:16" ht="13" x14ac:dyDescent="0.3">
      <c r="F161"/>
      <c r="G161"/>
      <c r="J161" s="43"/>
      <c r="P161"/>
    </row>
    <row r="162" spans="6:16" ht="13" x14ac:dyDescent="0.3">
      <c r="F162"/>
      <c r="G162"/>
      <c r="J162" s="43"/>
      <c r="P162"/>
    </row>
    <row r="163" spans="6:16" ht="13" x14ac:dyDescent="0.3">
      <c r="F163"/>
      <c r="G163"/>
      <c r="J163" s="43"/>
      <c r="P163"/>
    </row>
    <row r="164" spans="6:16" ht="13" x14ac:dyDescent="0.3">
      <c r="F164"/>
      <c r="G164"/>
      <c r="J164" s="43"/>
      <c r="P164"/>
    </row>
    <row r="165" spans="6:16" ht="13" x14ac:dyDescent="0.3">
      <c r="F165"/>
      <c r="G165"/>
      <c r="J165" s="43"/>
      <c r="P165"/>
    </row>
    <row r="166" spans="6:16" ht="13" x14ac:dyDescent="0.3">
      <c r="F166"/>
      <c r="G166"/>
      <c r="J166" s="43"/>
      <c r="P166"/>
    </row>
    <row r="167" spans="6:16" ht="13" x14ac:dyDescent="0.3">
      <c r="F167"/>
      <c r="G167"/>
      <c r="J167" s="43"/>
      <c r="P167"/>
    </row>
    <row r="168" spans="6:16" ht="13" x14ac:dyDescent="0.3">
      <c r="F168"/>
      <c r="G168"/>
      <c r="J168" s="43"/>
      <c r="P168"/>
    </row>
    <row r="169" spans="6:16" ht="13" x14ac:dyDescent="0.3">
      <c r="F169"/>
      <c r="G169"/>
      <c r="J169" s="43"/>
      <c r="P169"/>
    </row>
    <row r="170" spans="6:16" ht="13" x14ac:dyDescent="0.3">
      <c r="F170"/>
      <c r="G170"/>
      <c r="J170" s="43"/>
      <c r="P170"/>
    </row>
    <row r="171" spans="6:16" ht="13" x14ac:dyDescent="0.3">
      <c r="F171"/>
      <c r="G171"/>
      <c r="J171" s="43"/>
      <c r="P171"/>
    </row>
    <row r="172" spans="6:16" ht="13" x14ac:dyDescent="0.3">
      <c r="F172"/>
      <c r="G172"/>
      <c r="J172" s="43"/>
      <c r="P172"/>
    </row>
    <row r="173" spans="6:16" ht="13" x14ac:dyDescent="0.3">
      <c r="F173"/>
      <c r="G173"/>
      <c r="J173" s="43"/>
      <c r="P173"/>
    </row>
    <row r="174" spans="6:16" ht="13" x14ac:dyDescent="0.3">
      <c r="F174"/>
      <c r="G174"/>
      <c r="J174" s="43"/>
      <c r="P174"/>
    </row>
    <row r="175" spans="6:16" ht="13" x14ac:dyDescent="0.3">
      <c r="F175"/>
      <c r="G175"/>
      <c r="J175" s="43"/>
      <c r="P175"/>
    </row>
    <row r="176" spans="6:16" ht="13" x14ac:dyDescent="0.3">
      <c r="F176"/>
      <c r="G176"/>
      <c r="J176" s="43"/>
      <c r="P176"/>
    </row>
    <row r="177" spans="6:16" ht="13" x14ac:dyDescent="0.3">
      <c r="F177"/>
      <c r="G177"/>
      <c r="J177" s="43"/>
      <c r="P177"/>
    </row>
    <row r="178" spans="6:16" ht="13" x14ac:dyDescent="0.3">
      <c r="F178"/>
      <c r="G178"/>
      <c r="J178" s="43"/>
      <c r="P178"/>
    </row>
    <row r="179" spans="6:16" ht="13" x14ac:dyDescent="0.3">
      <c r="F179"/>
      <c r="G179"/>
      <c r="J179" s="43"/>
      <c r="P179"/>
    </row>
    <row r="180" spans="6:16" ht="13" x14ac:dyDescent="0.3">
      <c r="F180"/>
      <c r="G180"/>
      <c r="J180" s="43"/>
      <c r="P180"/>
    </row>
    <row r="181" spans="6:16" ht="13" x14ac:dyDescent="0.3">
      <c r="F181"/>
      <c r="G181"/>
      <c r="J181" s="43"/>
      <c r="P181"/>
    </row>
    <row r="182" spans="6:16" ht="13" x14ac:dyDescent="0.3">
      <c r="F182"/>
      <c r="G182"/>
      <c r="J182" s="43"/>
      <c r="P182"/>
    </row>
    <row r="183" spans="6:16" ht="13" x14ac:dyDescent="0.3">
      <c r="F183"/>
      <c r="G183"/>
      <c r="J183" s="43"/>
      <c r="P183"/>
    </row>
    <row r="184" spans="6:16" ht="13" x14ac:dyDescent="0.3">
      <c r="F184"/>
      <c r="G184"/>
      <c r="J184" s="43"/>
      <c r="P184"/>
    </row>
    <row r="185" spans="6:16" ht="13" x14ac:dyDescent="0.3">
      <c r="F185"/>
      <c r="G185"/>
      <c r="J185" s="43"/>
      <c r="P185"/>
    </row>
    <row r="186" spans="6:16" ht="13" x14ac:dyDescent="0.3">
      <c r="F186"/>
      <c r="G186"/>
      <c r="J186" s="43"/>
      <c r="P186"/>
    </row>
    <row r="187" spans="6:16" ht="13" x14ac:dyDescent="0.3">
      <c r="F187"/>
      <c r="G187"/>
      <c r="J187" s="43"/>
      <c r="P187"/>
    </row>
    <row r="188" spans="6:16" ht="13" x14ac:dyDescent="0.3">
      <c r="F188"/>
      <c r="G188"/>
      <c r="J188" s="43"/>
      <c r="P188"/>
    </row>
    <row r="189" spans="6:16" ht="13" x14ac:dyDescent="0.3">
      <c r="F189"/>
      <c r="G189"/>
      <c r="J189" s="43"/>
      <c r="P189"/>
    </row>
    <row r="190" spans="6:16" ht="13" x14ac:dyDescent="0.3">
      <c r="F190"/>
      <c r="G190"/>
      <c r="J190" s="43"/>
      <c r="P190"/>
    </row>
    <row r="191" spans="6:16" ht="13" x14ac:dyDescent="0.3">
      <c r="F191"/>
      <c r="G191"/>
      <c r="J191" s="43"/>
      <c r="P191"/>
    </row>
    <row r="192" spans="6:16" ht="13" x14ac:dyDescent="0.3">
      <c r="F192"/>
      <c r="G192"/>
      <c r="J192" s="43"/>
      <c r="P192"/>
    </row>
    <row r="193" spans="6:16" ht="13" x14ac:dyDescent="0.3">
      <c r="F193"/>
      <c r="G193"/>
      <c r="J193" s="43"/>
      <c r="P193"/>
    </row>
    <row r="194" spans="6:16" ht="13" x14ac:dyDescent="0.3">
      <c r="F194"/>
      <c r="G194"/>
      <c r="J194" s="43"/>
      <c r="P194"/>
    </row>
    <row r="195" spans="6:16" ht="13" x14ac:dyDescent="0.3">
      <c r="F195"/>
      <c r="G195"/>
      <c r="J195" s="43"/>
      <c r="P195"/>
    </row>
    <row r="196" spans="6:16" ht="13" x14ac:dyDescent="0.3">
      <c r="F196"/>
      <c r="G196"/>
      <c r="J196" s="43"/>
      <c r="P196"/>
    </row>
    <row r="197" spans="6:16" ht="13" x14ac:dyDescent="0.3">
      <c r="F197"/>
      <c r="G197"/>
      <c r="J197" s="43"/>
      <c r="P197"/>
    </row>
    <row r="198" spans="6:16" ht="13" x14ac:dyDescent="0.3">
      <c r="F198"/>
      <c r="G198"/>
      <c r="J198" s="43"/>
      <c r="P198"/>
    </row>
    <row r="199" spans="6:16" ht="13" x14ac:dyDescent="0.3">
      <c r="F199"/>
      <c r="G199"/>
      <c r="J199" s="43"/>
      <c r="P199"/>
    </row>
    <row r="200" spans="6:16" ht="13" x14ac:dyDescent="0.3">
      <c r="F200"/>
      <c r="G200"/>
      <c r="J200" s="43"/>
      <c r="P200"/>
    </row>
    <row r="201" spans="6:16" ht="13" x14ac:dyDescent="0.3">
      <c r="F201"/>
      <c r="G201"/>
      <c r="J201" s="43"/>
      <c r="P201"/>
    </row>
    <row r="202" spans="6:16" ht="13" x14ac:dyDescent="0.3">
      <c r="F202"/>
      <c r="G202"/>
      <c r="J202" s="43"/>
      <c r="P202"/>
    </row>
    <row r="203" spans="6:16" ht="13" x14ac:dyDescent="0.3">
      <c r="F203"/>
      <c r="G203"/>
      <c r="J203" s="43"/>
      <c r="P203"/>
    </row>
    <row r="204" spans="6:16" ht="13" x14ac:dyDescent="0.3">
      <c r="F204"/>
      <c r="G204"/>
      <c r="J204" s="43"/>
      <c r="P204"/>
    </row>
    <row r="205" spans="6:16" ht="13" x14ac:dyDescent="0.3">
      <c r="F205"/>
      <c r="G205"/>
      <c r="J205" s="43"/>
      <c r="P205"/>
    </row>
    <row r="206" spans="6:16" ht="13" x14ac:dyDescent="0.3">
      <c r="F206"/>
      <c r="G206"/>
      <c r="J206" s="43"/>
      <c r="P206"/>
    </row>
    <row r="207" spans="6:16" ht="13" x14ac:dyDescent="0.3">
      <c r="F207"/>
      <c r="G207"/>
      <c r="J207" s="43"/>
      <c r="P207"/>
    </row>
    <row r="208" spans="6:16" ht="13" x14ac:dyDescent="0.3">
      <c r="F208"/>
      <c r="G208"/>
      <c r="J208" s="43"/>
      <c r="P208"/>
    </row>
    <row r="209" spans="6:16" ht="13" x14ac:dyDescent="0.3">
      <c r="F209"/>
      <c r="G209"/>
      <c r="J209" s="43"/>
      <c r="P209"/>
    </row>
    <row r="210" spans="6:16" ht="13" x14ac:dyDescent="0.3">
      <c r="F210"/>
      <c r="G210"/>
      <c r="J210" s="43"/>
      <c r="P210"/>
    </row>
    <row r="211" spans="6:16" ht="13" x14ac:dyDescent="0.3">
      <c r="F211"/>
      <c r="G211"/>
      <c r="J211" s="43"/>
      <c r="P211"/>
    </row>
    <row r="212" spans="6:16" ht="13" x14ac:dyDescent="0.3">
      <c r="F212"/>
      <c r="G212"/>
      <c r="J212" s="43"/>
      <c r="P212"/>
    </row>
    <row r="213" spans="6:16" ht="13" x14ac:dyDescent="0.3">
      <c r="F213"/>
      <c r="G213"/>
      <c r="J213" s="43"/>
      <c r="P213"/>
    </row>
    <row r="214" spans="6:16" ht="13" x14ac:dyDescent="0.3">
      <c r="F214"/>
      <c r="G214"/>
      <c r="J214" s="43"/>
      <c r="P214"/>
    </row>
    <row r="215" spans="6:16" ht="13" x14ac:dyDescent="0.3">
      <c r="F215"/>
      <c r="G215"/>
      <c r="J215" s="43"/>
      <c r="P215"/>
    </row>
    <row r="216" spans="6:16" ht="13" x14ac:dyDescent="0.3">
      <c r="F216"/>
      <c r="G216"/>
      <c r="J216" s="43"/>
      <c r="P216"/>
    </row>
    <row r="217" spans="6:16" ht="13" x14ac:dyDescent="0.3">
      <c r="F217"/>
      <c r="G217"/>
      <c r="J217" s="43"/>
      <c r="P217"/>
    </row>
    <row r="218" spans="6:16" ht="13" x14ac:dyDescent="0.3">
      <c r="F218"/>
      <c r="G218"/>
      <c r="J218" s="43"/>
      <c r="P218"/>
    </row>
    <row r="219" spans="6:16" ht="13" x14ac:dyDescent="0.3">
      <c r="F219"/>
      <c r="G219"/>
      <c r="J219" s="43"/>
      <c r="P219"/>
    </row>
    <row r="220" spans="6:16" ht="13" x14ac:dyDescent="0.3">
      <c r="F220"/>
      <c r="G220"/>
      <c r="J220" s="43"/>
      <c r="P220"/>
    </row>
    <row r="221" spans="6:16" ht="13" x14ac:dyDescent="0.3">
      <c r="F221"/>
      <c r="G221"/>
      <c r="J221" s="43"/>
      <c r="P221"/>
    </row>
    <row r="222" spans="6:16" ht="13" x14ac:dyDescent="0.3">
      <c r="F222"/>
      <c r="G222"/>
      <c r="J222" s="43"/>
      <c r="P222"/>
    </row>
    <row r="223" spans="6:16" ht="13" x14ac:dyDescent="0.3">
      <c r="F223"/>
      <c r="G223"/>
      <c r="J223" s="43"/>
      <c r="P223"/>
    </row>
    <row r="224" spans="6:16" ht="13" x14ac:dyDescent="0.3">
      <c r="F224"/>
      <c r="G224"/>
      <c r="J224" s="43"/>
      <c r="P224"/>
    </row>
    <row r="225" spans="6:16" ht="13" x14ac:dyDescent="0.3">
      <c r="F225"/>
      <c r="G225"/>
      <c r="J225" s="43"/>
      <c r="P225"/>
    </row>
    <row r="226" spans="6:16" ht="13" x14ac:dyDescent="0.3">
      <c r="F226"/>
      <c r="G226"/>
      <c r="J226" s="43"/>
      <c r="P226"/>
    </row>
    <row r="227" spans="6:16" ht="13" x14ac:dyDescent="0.3">
      <c r="F227"/>
      <c r="G227"/>
      <c r="J227" s="43"/>
      <c r="P227"/>
    </row>
    <row r="228" spans="6:16" ht="13" x14ac:dyDescent="0.3">
      <c r="F228"/>
      <c r="G228"/>
      <c r="J228" s="43"/>
      <c r="P228"/>
    </row>
    <row r="229" spans="6:16" ht="13" x14ac:dyDescent="0.3">
      <c r="F229"/>
      <c r="G229"/>
      <c r="J229" s="43"/>
      <c r="P229"/>
    </row>
    <row r="230" spans="6:16" ht="13" x14ac:dyDescent="0.3">
      <c r="F230"/>
      <c r="G230"/>
      <c r="J230" s="43"/>
      <c r="P230"/>
    </row>
    <row r="231" spans="6:16" ht="13" x14ac:dyDescent="0.3">
      <c r="F231"/>
      <c r="G231"/>
      <c r="J231" s="43"/>
      <c r="P231"/>
    </row>
    <row r="232" spans="6:16" ht="13" x14ac:dyDescent="0.3">
      <c r="F232"/>
      <c r="G232"/>
      <c r="J232" s="43"/>
      <c r="P232"/>
    </row>
    <row r="233" spans="6:16" ht="13" x14ac:dyDescent="0.3">
      <c r="F233"/>
      <c r="G233"/>
      <c r="J233" s="43"/>
      <c r="P233"/>
    </row>
    <row r="234" spans="6:16" ht="13" x14ac:dyDescent="0.3">
      <c r="F234"/>
      <c r="G234"/>
      <c r="J234" s="43"/>
      <c r="P234"/>
    </row>
    <row r="235" spans="6:16" ht="13" x14ac:dyDescent="0.3">
      <c r="F235"/>
      <c r="G235"/>
      <c r="J235" s="43"/>
      <c r="P235"/>
    </row>
    <row r="236" spans="6:16" ht="13" x14ac:dyDescent="0.3">
      <c r="F236"/>
      <c r="G236"/>
      <c r="J236" s="43"/>
      <c r="P236"/>
    </row>
    <row r="237" spans="6:16" ht="13" x14ac:dyDescent="0.3">
      <c r="F237"/>
      <c r="G237"/>
      <c r="J237" s="43"/>
      <c r="P237"/>
    </row>
    <row r="238" spans="6:16" ht="13" x14ac:dyDescent="0.3">
      <c r="F238"/>
      <c r="G238"/>
      <c r="J238" s="43"/>
      <c r="P238"/>
    </row>
    <row r="239" spans="6:16" ht="13" x14ac:dyDescent="0.3">
      <c r="F239"/>
      <c r="G239"/>
      <c r="J239" s="43"/>
      <c r="P239"/>
    </row>
    <row r="240" spans="6:16" ht="13" x14ac:dyDescent="0.3">
      <c r="F240"/>
      <c r="G240"/>
      <c r="J240" s="43"/>
      <c r="P240"/>
    </row>
    <row r="241" spans="6:16" ht="13" x14ac:dyDescent="0.3">
      <c r="F241"/>
      <c r="G241"/>
      <c r="J241" s="43"/>
      <c r="P241"/>
    </row>
    <row r="242" spans="6:16" ht="13" x14ac:dyDescent="0.3">
      <c r="F242"/>
      <c r="G242"/>
      <c r="J242" s="43"/>
      <c r="P242"/>
    </row>
    <row r="243" spans="6:16" ht="13" x14ac:dyDescent="0.3">
      <c r="F243"/>
      <c r="G243"/>
      <c r="J243" s="43"/>
      <c r="P243"/>
    </row>
    <row r="244" spans="6:16" ht="13" x14ac:dyDescent="0.3">
      <c r="F244"/>
      <c r="G244"/>
      <c r="J244" s="43"/>
      <c r="P244"/>
    </row>
    <row r="245" spans="6:16" ht="13" x14ac:dyDescent="0.3">
      <c r="F245"/>
      <c r="G245"/>
      <c r="J245" s="43"/>
      <c r="P245"/>
    </row>
    <row r="246" spans="6:16" ht="13" x14ac:dyDescent="0.3">
      <c r="F246"/>
      <c r="G246"/>
      <c r="J246" s="43"/>
      <c r="P246"/>
    </row>
    <row r="247" spans="6:16" ht="13" x14ac:dyDescent="0.3">
      <c r="F247"/>
      <c r="G247"/>
      <c r="J247" s="43"/>
      <c r="P247"/>
    </row>
    <row r="248" spans="6:16" ht="13" x14ac:dyDescent="0.3">
      <c r="F248"/>
      <c r="G248"/>
      <c r="J248" s="43"/>
      <c r="P248"/>
    </row>
    <row r="249" spans="6:16" ht="13" x14ac:dyDescent="0.3">
      <c r="F249"/>
      <c r="G249"/>
      <c r="J249" s="43"/>
      <c r="P249"/>
    </row>
    <row r="250" spans="6:16" ht="13" x14ac:dyDescent="0.3">
      <c r="F250"/>
      <c r="G250"/>
      <c r="J250" s="43"/>
      <c r="P250"/>
    </row>
    <row r="251" spans="6:16" ht="13" x14ac:dyDescent="0.3">
      <c r="F251"/>
      <c r="G251"/>
      <c r="J251" s="43"/>
      <c r="P251"/>
    </row>
    <row r="252" spans="6:16" ht="13" x14ac:dyDescent="0.3">
      <c r="F252"/>
      <c r="G252"/>
      <c r="J252" s="43"/>
      <c r="P252"/>
    </row>
    <row r="253" spans="6:16" ht="13" x14ac:dyDescent="0.3">
      <c r="F253"/>
      <c r="G253"/>
      <c r="J253" s="43"/>
      <c r="P253"/>
    </row>
    <row r="254" spans="6:16" ht="13" x14ac:dyDescent="0.3">
      <c r="F254"/>
      <c r="G254"/>
      <c r="J254" s="43"/>
      <c r="P254"/>
    </row>
    <row r="255" spans="6:16" ht="13" x14ac:dyDescent="0.3">
      <c r="F255"/>
      <c r="G255"/>
      <c r="J255" s="43"/>
      <c r="P255"/>
    </row>
    <row r="256" spans="6:16" ht="13" x14ac:dyDescent="0.3">
      <c r="F256"/>
      <c r="G256"/>
      <c r="J256" s="43"/>
      <c r="P256"/>
    </row>
    <row r="257" spans="6:16" ht="13" x14ac:dyDescent="0.3">
      <c r="F257"/>
      <c r="G257"/>
      <c r="J257" s="43"/>
      <c r="P257"/>
    </row>
    <row r="258" spans="6:16" ht="13" x14ac:dyDescent="0.3">
      <c r="F258"/>
      <c r="G258"/>
      <c r="J258" s="43"/>
      <c r="P258"/>
    </row>
    <row r="259" spans="6:16" ht="13" x14ac:dyDescent="0.3">
      <c r="F259"/>
      <c r="G259"/>
      <c r="J259" s="43"/>
      <c r="P259"/>
    </row>
    <row r="260" spans="6:16" ht="13" x14ac:dyDescent="0.3">
      <c r="F260"/>
      <c r="G260"/>
      <c r="J260" s="43"/>
      <c r="P260"/>
    </row>
    <row r="261" spans="6:16" ht="13" x14ac:dyDescent="0.3">
      <c r="F261"/>
      <c r="G261"/>
      <c r="J261" s="43"/>
      <c r="P261"/>
    </row>
    <row r="262" spans="6:16" ht="13" x14ac:dyDescent="0.3">
      <c r="F262"/>
      <c r="G262"/>
      <c r="J262" s="43"/>
      <c r="P262"/>
    </row>
    <row r="263" spans="6:16" ht="13" x14ac:dyDescent="0.3">
      <c r="F263"/>
      <c r="G263"/>
      <c r="J263" s="43"/>
      <c r="P263"/>
    </row>
    <row r="264" spans="6:16" ht="13" x14ac:dyDescent="0.3">
      <c r="F264"/>
      <c r="G264"/>
      <c r="J264" s="43"/>
      <c r="P264"/>
    </row>
    <row r="265" spans="6:16" ht="13" x14ac:dyDescent="0.3">
      <c r="F265"/>
      <c r="G265"/>
      <c r="J265" s="43"/>
      <c r="P265"/>
    </row>
    <row r="266" spans="6:16" ht="13" x14ac:dyDescent="0.3">
      <c r="F266"/>
      <c r="G266"/>
      <c r="J266" s="43"/>
      <c r="P266"/>
    </row>
    <row r="267" spans="6:16" ht="13" x14ac:dyDescent="0.3">
      <c r="F267"/>
      <c r="G267"/>
      <c r="J267" s="43"/>
      <c r="P267"/>
    </row>
    <row r="268" spans="6:16" ht="13" x14ac:dyDescent="0.3">
      <c r="F268"/>
      <c r="G268"/>
      <c r="J268" s="43"/>
      <c r="P268"/>
    </row>
    <row r="269" spans="6:16" ht="13" x14ac:dyDescent="0.3">
      <c r="F269"/>
      <c r="G269"/>
      <c r="J269" s="43"/>
      <c r="P269"/>
    </row>
    <row r="270" spans="6:16" ht="13" x14ac:dyDescent="0.3">
      <c r="F270"/>
      <c r="G270"/>
      <c r="J270" s="43"/>
      <c r="P270"/>
    </row>
    <row r="271" spans="6:16" ht="13" x14ac:dyDescent="0.3">
      <c r="F271"/>
      <c r="G271"/>
      <c r="J271" s="43"/>
      <c r="P271"/>
    </row>
    <row r="272" spans="6:16" ht="13" x14ac:dyDescent="0.3">
      <c r="F272"/>
      <c r="G272"/>
      <c r="J272" s="43"/>
      <c r="P272"/>
    </row>
    <row r="273" spans="6:16" ht="13" x14ac:dyDescent="0.3">
      <c r="F273"/>
      <c r="G273"/>
      <c r="J273" s="43"/>
      <c r="P273"/>
    </row>
    <row r="274" spans="6:16" ht="13" x14ac:dyDescent="0.3">
      <c r="F274"/>
      <c r="G274"/>
      <c r="J274" s="43"/>
      <c r="P274"/>
    </row>
    <row r="275" spans="6:16" ht="13" x14ac:dyDescent="0.3">
      <c r="F275"/>
      <c r="G275"/>
      <c r="J275" s="43"/>
      <c r="P275"/>
    </row>
    <row r="276" spans="6:16" ht="13" x14ac:dyDescent="0.3">
      <c r="F276"/>
      <c r="G276"/>
      <c r="J276" s="43"/>
      <c r="P276"/>
    </row>
    <row r="277" spans="6:16" ht="13" x14ac:dyDescent="0.3">
      <c r="F277"/>
      <c r="G277"/>
      <c r="J277" s="43"/>
      <c r="P277"/>
    </row>
    <row r="278" spans="6:16" ht="13" x14ac:dyDescent="0.3">
      <c r="F278"/>
      <c r="G278"/>
      <c r="J278" s="43"/>
      <c r="P278"/>
    </row>
    <row r="279" spans="6:16" ht="13" x14ac:dyDescent="0.3">
      <c r="F279"/>
      <c r="G279"/>
      <c r="J279" s="43"/>
      <c r="P279"/>
    </row>
    <row r="280" spans="6:16" ht="13" x14ac:dyDescent="0.3">
      <c r="F280"/>
      <c r="G280"/>
      <c r="J280" s="43"/>
      <c r="P280"/>
    </row>
    <row r="281" spans="6:16" ht="13" x14ac:dyDescent="0.3">
      <c r="F281"/>
      <c r="G281"/>
      <c r="J281" s="43"/>
      <c r="P281"/>
    </row>
    <row r="282" spans="6:16" ht="13" x14ac:dyDescent="0.3">
      <c r="F282"/>
      <c r="G282"/>
      <c r="J282" s="43"/>
      <c r="P282"/>
    </row>
    <row r="283" spans="6:16" ht="13" x14ac:dyDescent="0.3">
      <c r="F283"/>
      <c r="G283"/>
      <c r="J283" s="43"/>
      <c r="P283"/>
    </row>
    <row r="284" spans="6:16" ht="13" x14ac:dyDescent="0.3">
      <c r="F284"/>
      <c r="G284"/>
      <c r="J284" s="43"/>
      <c r="P284"/>
    </row>
    <row r="285" spans="6:16" ht="13" x14ac:dyDescent="0.3">
      <c r="F285"/>
      <c r="G285"/>
      <c r="J285" s="43"/>
      <c r="P285"/>
    </row>
    <row r="286" spans="6:16" ht="13" x14ac:dyDescent="0.3">
      <c r="F286"/>
      <c r="G286"/>
      <c r="J286" s="43"/>
      <c r="P286"/>
    </row>
    <row r="287" spans="6:16" ht="13" x14ac:dyDescent="0.3">
      <c r="F287"/>
      <c r="G287"/>
      <c r="J287" s="43"/>
      <c r="P287"/>
    </row>
    <row r="288" spans="6:16" ht="13" x14ac:dyDescent="0.3">
      <c r="F288"/>
      <c r="G288"/>
      <c r="J288" s="43"/>
      <c r="P288"/>
    </row>
    <row r="289" spans="6:16" ht="13" x14ac:dyDescent="0.3">
      <c r="F289"/>
      <c r="G289"/>
      <c r="J289" s="43"/>
      <c r="P289"/>
    </row>
    <row r="290" spans="6:16" ht="13" x14ac:dyDescent="0.3">
      <c r="F290"/>
      <c r="G290"/>
      <c r="J290" s="43"/>
      <c r="P290"/>
    </row>
    <row r="291" spans="6:16" ht="13" x14ac:dyDescent="0.3">
      <c r="F291"/>
      <c r="G291"/>
      <c r="J291" s="43"/>
      <c r="P291"/>
    </row>
    <row r="292" spans="6:16" ht="13" x14ac:dyDescent="0.3">
      <c r="F292"/>
      <c r="G292"/>
      <c r="J292" s="43"/>
      <c r="P292"/>
    </row>
    <row r="293" spans="6:16" ht="13" x14ac:dyDescent="0.3">
      <c r="F293"/>
      <c r="G293"/>
      <c r="J293" s="43"/>
      <c r="P293"/>
    </row>
    <row r="294" spans="6:16" ht="13" x14ac:dyDescent="0.3">
      <c r="F294"/>
      <c r="G294"/>
      <c r="J294" s="43"/>
      <c r="P294"/>
    </row>
    <row r="295" spans="6:16" ht="13" x14ac:dyDescent="0.3">
      <c r="F295"/>
      <c r="G295"/>
      <c r="J295" s="43"/>
      <c r="P295"/>
    </row>
    <row r="296" spans="6:16" ht="13" x14ac:dyDescent="0.3">
      <c r="F296"/>
      <c r="G296"/>
      <c r="J296" s="43"/>
      <c r="P296"/>
    </row>
    <row r="297" spans="6:16" ht="13" x14ac:dyDescent="0.3">
      <c r="F297"/>
      <c r="G297"/>
      <c r="J297" s="43"/>
      <c r="P297"/>
    </row>
    <row r="298" spans="6:16" ht="13" x14ac:dyDescent="0.3">
      <c r="F298"/>
      <c r="G298"/>
      <c r="J298" s="43"/>
      <c r="P298"/>
    </row>
    <row r="299" spans="6:16" ht="13" x14ac:dyDescent="0.3">
      <c r="F299"/>
      <c r="G299"/>
      <c r="J299" s="43"/>
      <c r="P299"/>
    </row>
    <row r="300" spans="6:16" ht="13" x14ac:dyDescent="0.3">
      <c r="F300"/>
      <c r="G300"/>
      <c r="J300" s="43"/>
      <c r="P300"/>
    </row>
    <row r="301" spans="6:16" ht="13" x14ac:dyDescent="0.3">
      <c r="F301"/>
      <c r="G301"/>
      <c r="J301" s="43"/>
      <c r="P301"/>
    </row>
    <row r="302" spans="6:16" ht="13" x14ac:dyDescent="0.3">
      <c r="F302"/>
      <c r="G302"/>
      <c r="J302" s="43"/>
      <c r="P302"/>
    </row>
    <row r="303" spans="6:16" ht="13" x14ac:dyDescent="0.3">
      <c r="F303"/>
      <c r="G303"/>
      <c r="J303" s="43"/>
      <c r="P303"/>
    </row>
    <row r="304" spans="6:16" ht="13" x14ac:dyDescent="0.3">
      <c r="F304"/>
      <c r="G304"/>
      <c r="J304" s="43"/>
      <c r="P304"/>
    </row>
    <row r="305" spans="6:16" ht="13" x14ac:dyDescent="0.3">
      <c r="F305"/>
      <c r="G305"/>
      <c r="J305" s="43"/>
      <c r="P305"/>
    </row>
    <row r="306" spans="6:16" ht="13" x14ac:dyDescent="0.3">
      <c r="F306"/>
      <c r="G306"/>
      <c r="J306" s="43"/>
      <c r="P306"/>
    </row>
    <row r="307" spans="6:16" ht="13" x14ac:dyDescent="0.3">
      <c r="F307"/>
      <c r="G307"/>
      <c r="J307" s="43"/>
      <c r="P307"/>
    </row>
    <row r="308" spans="6:16" ht="13" x14ac:dyDescent="0.3">
      <c r="F308"/>
      <c r="G308"/>
      <c r="J308" s="43"/>
      <c r="P308"/>
    </row>
    <row r="309" spans="6:16" ht="13" x14ac:dyDescent="0.3">
      <c r="F309"/>
      <c r="G309"/>
      <c r="J309" s="43"/>
      <c r="P309"/>
    </row>
    <row r="310" spans="6:16" ht="13" x14ac:dyDescent="0.3">
      <c r="F310"/>
      <c r="G310"/>
      <c r="J310" s="43"/>
      <c r="P310"/>
    </row>
    <row r="311" spans="6:16" ht="13" x14ac:dyDescent="0.3">
      <c r="F311"/>
      <c r="G311"/>
      <c r="J311" s="43"/>
      <c r="P311"/>
    </row>
    <row r="312" spans="6:16" ht="13" x14ac:dyDescent="0.3">
      <c r="F312"/>
      <c r="G312"/>
      <c r="J312" s="43"/>
      <c r="P312"/>
    </row>
    <row r="313" spans="6:16" ht="13" x14ac:dyDescent="0.3">
      <c r="F313"/>
      <c r="G313"/>
      <c r="J313" s="43"/>
      <c r="P313"/>
    </row>
    <row r="314" spans="6:16" ht="13" x14ac:dyDescent="0.3">
      <c r="F314"/>
      <c r="G314"/>
      <c r="J314" s="43"/>
      <c r="P314"/>
    </row>
    <row r="315" spans="6:16" ht="13" x14ac:dyDescent="0.3">
      <c r="F315"/>
      <c r="G315"/>
      <c r="J315" s="43"/>
      <c r="P315"/>
    </row>
    <row r="316" spans="6:16" ht="13" x14ac:dyDescent="0.3">
      <c r="F316"/>
      <c r="G316"/>
      <c r="J316" s="43"/>
      <c r="P316"/>
    </row>
    <row r="317" spans="6:16" ht="13" x14ac:dyDescent="0.3">
      <c r="F317"/>
      <c r="G317"/>
      <c r="J317" s="43"/>
      <c r="P317"/>
    </row>
    <row r="318" spans="6:16" ht="13" x14ac:dyDescent="0.3">
      <c r="F318"/>
      <c r="G318"/>
      <c r="J318" s="43"/>
      <c r="P318"/>
    </row>
    <row r="319" spans="6:16" ht="13" x14ac:dyDescent="0.3">
      <c r="F319"/>
      <c r="G319"/>
      <c r="J319" s="43"/>
      <c r="P319"/>
    </row>
    <row r="320" spans="6:16" ht="13" x14ac:dyDescent="0.3">
      <c r="F320"/>
      <c r="G320"/>
      <c r="J320" s="43"/>
      <c r="P320"/>
    </row>
    <row r="321" spans="6:16" ht="13" x14ac:dyDescent="0.3">
      <c r="F321"/>
      <c r="G321"/>
      <c r="J321" s="43"/>
      <c r="P321"/>
    </row>
    <row r="322" spans="6:16" ht="13" x14ac:dyDescent="0.3">
      <c r="F322"/>
      <c r="G322"/>
      <c r="J322" s="43"/>
      <c r="P322"/>
    </row>
    <row r="323" spans="6:16" ht="13" x14ac:dyDescent="0.3">
      <c r="F323"/>
      <c r="G323"/>
      <c r="J323" s="43"/>
      <c r="P323"/>
    </row>
    <row r="324" spans="6:16" ht="13" x14ac:dyDescent="0.3">
      <c r="F324"/>
      <c r="G324"/>
      <c r="J324" s="43"/>
      <c r="P324"/>
    </row>
    <row r="325" spans="6:16" ht="13" x14ac:dyDescent="0.3">
      <c r="F325"/>
      <c r="G325"/>
      <c r="J325" s="43"/>
      <c r="P325"/>
    </row>
    <row r="326" spans="6:16" ht="13" x14ac:dyDescent="0.3">
      <c r="F326"/>
      <c r="G326"/>
      <c r="J326" s="43"/>
      <c r="P326"/>
    </row>
    <row r="327" spans="6:16" ht="13" x14ac:dyDescent="0.3">
      <c r="F327"/>
      <c r="G327"/>
      <c r="J327" s="43"/>
      <c r="P327"/>
    </row>
    <row r="328" spans="6:16" ht="13" x14ac:dyDescent="0.3">
      <c r="F328"/>
      <c r="G328"/>
      <c r="J328" s="43"/>
      <c r="P328"/>
    </row>
    <row r="329" spans="6:16" ht="13" x14ac:dyDescent="0.3">
      <c r="F329"/>
      <c r="G329"/>
      <c r="J329" s="43"/>
      <c r="P329"/>
    </row>
    <row r="330" spans="6:16" ht="13" x14ac:dyDescent="0.3">
      <c r="F330"/>
      <c r="G330"/>
      <c r="J330" s="43"/>
      <c r="P330"/>
    </row>
    <row r="331" spans="6:16" ht="13" x14ac:dyDescent="0.3">
      <c r="F331"/>
      <c r="G331"/>
      <c r="J331" s="43"/>
      <c r="P331"/>
    </row>
    <row r="332" spans="6:16" ht="13" x14ac:dyDescent="0.3">
      <c r="F332"/>
      <c r="G332"/>
      <c r="J332" s="43"/>
      <c r="P332"/>
    </row>
    <row r="333" spans="6:16" ht="13" x14ac:dyDescent="0.3">
      <c r="F333"/>
      <c r="G333"/>
      <c r="J333" s="43"/>
      <c r="P333"/>
    </row>
    <row r="334" spans="6:16" ht="13" x14ac:dyDescent="0.3">
      <c r="F334"/>
      <c r="G334"/>
      <c r="J334" s="43"/>
      <c r="P334"/>
    </row>
    <row r="335" spans="6:16" ht="13" x14ac:dyDescent="0.3">
      <c r="F335"/>
      <c r="G335"/>
      <c r="J335" s="43"/>
      <c r="P335"/>
    </row>
    <row r="336" spans="6:16" ht="13" x14ac:dyDescent="0.3">
      <c r="F336"/>
      <c r="G336"/>
      <c r="J336" s="43"/>
      <c r="P336"/>
    </row>
    <row r="337" spans="6:16" ht="13" x14ac:dyDescent="0.3">
      <c r="F337"/>
      <c r="G337"/>
      <c r="J337" s="43"/>
      <c r="P337"/>
    </row>
    <row r="338" spans="6:16" ht="13" x14ac:dyDescent="0.3">
      <c r="F338"/>
      <c r="G338"/>
      <c r="J338" s="43"/>
      <c r="P338"/>
    </row>
    <row r="339" spans="6:16" ht="13" x14ac:dyDescent="0.3">
      <c r="F339"/>
      <c r="G339"/>
      <c r="J339" s="43"/>
      <c r="P339"/>
    </row>
    <row r="340" spans="6:16" ht="13" x14ac:dyDescent="0.3">
      <c r="F340"/>
      <c r="G340"/>
      <c r="J340" s="43"/>
      <c r="P340"/>
    </row>
    <row r="341" spans="6:16" ht="13" x14ac:dyDescent="0.3">
      <c r="F341"/>
      <c r="G341"/>
      <c r="J341" s="43"/>
      <c r="P341"/>
    </row>
    <row r="342" spans="6:16" ht="13" x14ac:dyDescent="0.3">
      <c r="F342"/>
      <c r="G342"/>
      <c r="J342" s="43"/>
      <c r="P342"/>
    </row>
    <row r="343" spans="6:16" ht="13" x14ac:dyDescent="0.3">
      <c r="F343"/>
      <c r="G343"/>
      <c r="J343" s="43"/>
      <c r="P343"/>
    </row>
    <row r="344" spans="6:16" ht="13" x14ac:dyDescent="0.3">
      <c r="F344"/>
      <c r="G344"/>
      <c r="J344" s="43"/>
      <c r="P344"/>
    </row>
    <row r="345" spans="6:16" ht="13" x14ac:dyDescent="0.3">
      <c r="F345"/>
      <c r="G345"/>
      <c r="J345" s="43"/>
      <c r="P345"/>
    </row>
    <row r="346" spans="6:16" ht="13" x14ac:dyDescent="0.3">
      <c r="F346"/>
      <c r="G346"/>
      <c r="J346" s="43"/>
      <c r="P346"/>
    </row>
    <row r="347" spans="6:16" ht="13" x14ac:dyDescent="0.3">
      <c r="F347"/>
      <c r="G347"/>
      <c r="J347" s="43"/>
      <c r="P347"/>
    </row>
    <row r="348" spans="6:16" ht="13" x14ac:dyDescent="0.3">
      <c r="F348"/>
      <c r="G348"/>
      <c r="J348" s="43"/>
      <c r="P348"/>
    </row>
    <row r="349" spans="6:16" ht="13" x14ac:dyDescent="0.3">
      <c r="F349"/>
      <c r="G349"/>
      <c r="J349" s="43"/>
      <c r="P349"/>
    </row>
    <row r="350" spans="6:16" ht="13" x14ac:dyDescent="0.3">
      <c r="F350"/>
      <c r="G350"/>
      <c r="J350" s="43"/>
      <c r="P350"/>
    </row>
    <row r="351" spans="6:16" ht="13" x14ac:dyDescent="0.3">
      <c r="F351"/>
      <c r="G351"/>
      <c r="J351" s="43"/>
      <c r="P351"/>
    </row>
    <row r="352" spans="6:16" ht="13" x14ac:dyDescent="0.3">
      <c r="F352"/>
      <c r="G352"/>
      <c r="J352" s="43"/>
      <c r="P352"/>
    </row>
    <row r="353" spans="6:16" ht="13" x14ac:dyDescent="0.3">
      <c r="F353"/>
      <c r="G353"/>
      <c r="J353" s="43"/>
      <c r="P353"/>
    </row>
    <row r="354" spans="6:16" ht="13" x14ac:dyDescent="0.3">
      <c r="F354"/>
      <c r="G354"/>
      <c r="J354" s="43"/>
      <c r="P354"/>
    </row>
    <row r="355" spans="6:16" ht="13" x14ac:dyDescent="0.3">
      <c r="F355"/>
      <c r="G355"/>
      <c r="J355" s="43"/>
      <c r="P355"/>
    </row>
    <row r="356" spans="6:16" ht="13" x14ac:dyDescent="0.3">
      <c r="F356"/>
      <c r="G356"/>
      <c r="J356" s="43"/>
      <c r="P356"/>
    </row>
    <row r="357" spans="6:16" ht="13" x14ac:dyDescent="0.3">
      <c r="F357"/>
      <c r="G357"/>
      <c r="J357" s="43"/>
      <c r="P357"/>
    </row>
    <row r="358" spans="6:16" ht="13" x14ac:dyDescent="0.3">
      <c r="F358"/>
      <c r="G358"/>
      <c r="J358" s="43"/>
      <c r="P358"/>
    </row>
    <row r="359" spans="6:16" ht="13" x14ac:dyDescent="0.3">
      <c r="F359"/>
      <c r="G359"/>
      <c r="J359" s="43"/>
      <c r="P359"/>
    </row>
    <row r="360" spans="6:16" ht="13" x14ac:dyDescent="0.3">
      <c r="F360"/>
      <c r="G360"/>
      <c r="J360" s="43"/>
      <c r="P360"/>
    </row>
    <row r="361" spans="6:16" ht="13" x14ac:dyDescent="0.3">
      <c r="F361"/>
      <c r="G361"/>
      <c r="J361" s="43"/>
      <c r="P361"/>
    </row>
    <row r="362" spans="6:16" ht="13" x14ac:dyDescent="0.3">
      <c r="F362"/>
      <c r="G362"/>
      <c r="J362" s="43"/>
      <c r="P362"/>
    </row>
    <row r="363" spans="6:16" ht="13" x14ac:dyDescent="0.3">
      <c r="F363"/>
      <c r="G363"/>
      <c r="J363" s="43"/>
      <c r="P363"/>
    </row>
    <row r="364" spans="6:16" ht="13" x14ac:dyDescent="0.3">
      <c r="F364"/>
      <c r="G364"/>
      <c r="J364" s="43"/>
      <c r="P364"/>
    </row>
    <row r="365" spans="6:16" ht="13" x14ac:dyDescent="0.3">
      <c r="F365"/>
      <c r="G365"/>
      <c r="J365" s="43"/>
      <c r="P365"/>
    </row>
    <row r="366" spans="6:16" ht="13" x14ac:dyDescent="0.3">
      <c r="F366"/>
      <c r="G366"/>
      <c r="J366" s="43"/>
      <c r="P366"/>
    </row>
    <row r="367" spans="6:16" ht="13" x14ac:dyDescent="0.3">
      <c r="F367"/>
      <c r="G367"/>
      <c r="J367" s="43"/>
      <c r="P367"/>
    </row>
    <row r="368" spans="6:16" ht="13" x14ac:dyDescent="0.3">
      <c r="F368"/>
      <c r="G368"/>
      <c r="J368" s="43"/>
      <c r="P368"/>
    </row>
    <row r="369" spans="6:16" ht="13" x14ac:dyDescent="0.3">
      <c r="F369"/>
      <c r="G369"/>
      <c r="J369" s="43"/>
      <c r="P369"/>
    </row>
    <row r="370" spans="6:16" ht="13" x14ac:dyDescent="0.3">
      <c r="F370"/>
      <c r="G370"/>
      <c r="J370" s="43"/>
      <c r="P370"/>
    </row>
    <row r="371" spans="6:16" ht="13" x14ac:dyDescent="0.3">
      <c r="F371"/>
      <c r="G371"/>
      <c r="J371" s="43"/>
      <c r="P371"/>
    </row>
    <row r="372" spans="6:16" ht="13" x14ac:dyDescent="0.3">
      <c r="F372"/>
      <c r="G372"/>
      <c r="J372" s="43"/>
      <c r="P372"/>
    </row>
    <row r="373" spans="6:16" ht="13" x14ac:dyDescent="0.3">
      <c r="F373"/>
      <c r="G373"/>
      <c r="J373" s="43"/>
      <c r="P373"/>
    </row>
    <row r="374" spans="6:16" ht="13" x14ac:dyDescent="0.3">
      <c r="F374"/>
      <c r="G374"/>
      <c r="J374" s="43"/>
      <c r="P374"/>
    </row>
    <row r="375" spans="6:16" ht="13" x14ac:dyDescent="0.3">
      <c r="F375"/>
      <c r="G375"/>
      <c r="J375" s="43"/>
      <c r="P375"/>
    </row>
    <row r="376" spans="6:16" ht="13" x14ac:dyDescent="0.3">
      <c r="F376"/>
      <c r="G376"/>
      <c r="J376" s="43"/>
      <c r="P376"/>
    </row>
    <row r="377" spans="6:16" ht="13" x14ac:dyDescent="0.3">
      <c r="F377"/>
      <c r="G377"/>
      <c r="J377" s="43"/>
      <c r="P377"/>
    </row>
    <row r="378" spans="6:16" ht="13" x14ac:dyDescent="0.3">
      <c r="F378"/>
      <c r="G378"/>
      <c r="J378" s="43"/>
      <c r="P378"/>
    </row>
    <row r="379" spans="6:16" ht="13" x14ac:dyDescent="0.3">
      <c r="F379"/>
      <c r="G379"/>
      <c r="J379" s="43"/>
      <c r="P379"/>
    </row>
    <row r="380" spans="6:16" ht="13" x14ac:dyDescent="0.3">
      <c r="F380"/>
      <c r="G380"/>
      <c r="J380" s="43"/>
      <c r="P380"/>
    </row>
    <row r="381" spans="6:16" ht="13" x14ac:dyDescent="0.3">
      <c r="F381"/>
      <c r="G381"/>
      <c r="J381" s="43"/>
      <c r="P381"/>
    </row>
    <row r="382" spans="6:16" ht="13" x14ac:dyDescent="0.3">
      <c r="F382"/>
      <c r="G382"/>
      <c r="J382" s="43"/>
      <c r="P382"/>
    </row>
    <row r="383" spans="6:16" ht="13" x14ac:dyDescent="0.3">
      <c r="F383"/>
      <c r="G383"/>
      <c r="J383" s="43"/>
      <c r="P383"/>
    </row>
    <row r="384" spans="6:16" ht="13" x14ac:dyDescent="0.3">
      <c r="F384"/>
      <c r="G384"/>
      <c r="J384" s="43"/>
      <c r="P384"/>
    </row>
    <row r="385" spans="6:16" ht="13" x14ac:dyDescent="0.3">
      <c r="F385"/>
      <c r="G385"/>
      <c r="J385" s="43"/>
      <c r="P385"/>
    </row>
    <row r="386" spans="6:16" ht="13" x14ac:dyDescent="0.3">
      <c r="F386"/>
      <c r="G386"/>
      <c r="J386" s="43"/>
      <c r="P386"/>
    </row>
    <row r="387" spans="6:16" ht="13" x14ac:dyDescent="0.3">
      <c r="F387"/>
      <c r="G387"/>
      <c r="J387" s="43"/>
      <c r="P387"/>
    </row>
    <row r="388" spans="6:16" ht="13" x14ac:dyDescent="0.3">
      <c r="F388"/>
      <c r="G388"/>
      <c r="J388" s="43"/>
      <c r="P388"/>
    </row>
    <row r="389" spans="6:16" ht="13" x14ac:dyDescent="0.3">
      <c r="F389"/>
      <c r="G389"/>
      <c r="J389" s="43"/>
      <c r="P389"/>
    </row>
    <row r="390" spans="6:16" ht="13" x14ac:dyDescent="0.3">
      <c r="F390"/>
      <c r="G390"/>
      <c r="J390" s="43"/>
      <c r="P390"/>
    </row>
    <row r="391" spans="6:16" ht="13" x14ac:dyDescent="0.3">
      <c r="F391"/>
      <c r="G391"/>
      <c r="J391" s="43"/>
      <c r="P391"/>
    </row>
    <row r="392" spans="6:16" ht="13" x14ac:dyDescent="0.3">
      <c r="F392"/>
      <c r="G392"/>
      <c r="J392" s="43"/>
      <c r="P392"/>
    </row>
    <row r="393" spans="6:16" ht="13" x14ac:dyDescent="0.3">
      <c r="F393"/>
      <c r="G393"/>
      <c r="J393" s="43"/>
      <c r="P393"/>
    </row>
    <row r="394" spans="6:16" ht="13" x14ac:dyDescent="0.3">
      <c r="F394"/>
      <c r="G394"/>
      <c r="J394" s="43"/>
      <c r="P394"/>
    </row>
    <row r="395" spans="6:16" ht="13" x14ac:dyDescent="0.3">
      <c r="F395"/>
      <c r="G395"/>
      <c r="J395" s="43"/>
      <c r="P395"/>
    </row>
    <row r="396" spans="6:16" ht="13" x14ac:dyDescent="0.3">
      <c r="F396"/>
      <c r="G396"/>
      <c r="J396" s="43"/>
      <c r="P396"/>
    </row>
    <row r="397" spans="6:16" ht="13" x14ac:dyDescent="0.3">
      <c r="F397"/>
      <c r="G397"/>
      <c r="J397" s="43"/>
      <c r="P397"/>
    </row>
    <row r="398" spans="6:16" ht="13" x14ac:dyDescent="0.3">
      <c r="F398"/>
      <c r="G398"/>
      <c r="J398" s="43"/>
      <c r="P398"/>
    </row>
    <row r="399" spans="6:16" ht="13" x14ac:dyDescent="0.3">
      <c r="F399"/>
      <c r="G399"/>
      <c r="J399" s="43"/>
      <c r="P399"/>
    </row>
    <row r="400" spans="6:16" ht="13" x14ac:dyDescent="0.3">
      <c r="F400"/>
      <c r="G400"/>
      <c r="J400" s="43"/>
      <c r="P400"/>
    </row>
    <row r="401" spans="6:16" ht="13" x14ac:dyDescent="0.3">
      <c r="F401"/>
      <c r="G401"/>
      <c r="J401" s="43"/>
      <c r="P401"/>
    </row>
    <row r="402" spans="6:16" ht="13" x14ac:dyDescent="0.3">
      <c r="F402"/>
      <c r="G402"/>
      <c r="J402" s="43"/>
      <c r="P402"/>
    </row>
    <row r="403" spans="6:16" ht="13" x14ac:dyDescent="0.3">
      <c r="F403"/>
      <c r="G403"/>
      <c r="J403" s="43"/>
      <c r="P403"/>
    </row>
    <row r="404" spans="6:16" ht="13" x14ac:dyDescent="0.3">
      <c r="F404"/>
      <c r="G404"/>
      <c r="J404" s="43"/>
      <c r="P404"/>
    </row>
    <row r="405" spans="6:16" ht="13" x14ac:dyDescent="0.3">
      <c r="F405"/>
      <c r="G405"/>
      <c r="J405" s="43"/>
      <c r="P405"/>
    </row>
    <row r="406" spans="6:16" ht="13" x14ac:dyDescent="0.3">
      <c r="F406"/>
      <c r="G406"/>
      <c r="J406" s="43"/>
      <c r="P406"/>
    </row>
    <row r="407" spans="6:16" ht="13" x14ac:dyDescent="0.3">
      <c r="F407"/>
      <c r="G407"/>
      <c r="J407" s="43"/>
      <c r="P407"/>
    </row>
    <row r="408" spans="6:16" ht="13" x14ac:dyDescent="0.3">
      <c r="F408"/>
      <c r="G408"/>
      <c r="J408" s="43"/>
      <c r="P408"/>
    </row>
    <row r="409" spans="6:16" ht="13" x14ac:dyDescent="0.3">
      <c r="F409"/>
      <c r="G409"/>
      <c r="J409" s="43"/>
      <c r="P409"/>
    </row>
    <row r="410" spans="6:16" ht="13" x14ac:dyDescent="0.3">
      <c r="F410"/>
      <c r="G410"/>
      <c r="J410" s="43"/>
      <c r="P410"/>
    </row>
    <row r="411" spans="6:16" ht="13" x14ac:dyDescent="0.3">
      <c r="F411"/>
      <c r="G411"/>
      <c r="J411" s="43"/>
      <c r="P411"/>
    </row>
    <row r="412" spans="6:16" ht="13" x14ac:dyDescent="0.3">
      <c r="F412"/>
      <c r="G412"/>
      <c r="J412" s="43"/>
      <c r="P412"/>
    </row>
    <row r="413" spans="6:16" ht="13" x14ac:dyDescent="0.3">
      <c r="F413"/>
      <c r="G413"/>
      <c r="J413" s="43"/>
      <c r="P413"/>
    </row>
    <row r="414" spans="6:16" ht="13" x14ac:dyDescent="0.3">
      <c r="F414"/>
      <c r="G414"/>
      <c r="J414" s="43"/>
      <c r="P414"/>
    </row>
    <row r="415" spans="6:16" ht="13" x14ac:dyDescent="0.3">
      <c r="F415"/>
      <c r="G415"/>
      <c r="J415" s="43"/>
      <c r="P415"/>
    </row>
    <row r="416" spans="6:16" ht="13" x14ac:dyDescent="0.3">
      <c r="F416"/>
      <c r="G416"/>
      <c r="J416" s="43"/>
      <c r="P416"/>
    </row>
    <row r="417" spans="6:16" ht="13" x14ac:dyDescent="0.3">
      <c r="F417"/>
      <c r="G417"/>
      <c r="J417" s="43"/>
      <c r="P417"/>
    </row>
    <row r="418" spans="6:16" ht="13" x14ac:dyDescent="0.3">
      <c r="F418"/>
      <c r="G418"/>
      <c r="J418" s="43"/>
      <c r="P418"/>
    </row>
    <row r="419" spans="6:16" ht="13" x14ac:dyDescent="0.3">
      <c r="F419"/>
      <c r="G419"/>
      <c r="J419" s="43"/>
      <c r="P419"/>
    </row>
    <row r="420" spans="6:16" ht="13" x14ac:dyDescent="0.3">
      <c r="F420"/>
      <c r="G420"/>
      <c r="J420" s="43"/>
      <c r="P420"/>
    </row>
    <row r="421" spans="6:16" ht="13" x14ac:dyDescent="0.3">
      <c r="F421"/>
      <c r="G421"/>
      <c r="J421" s="43"/>
      <c r="P421"/>
    </row>
    <row r="422" spans="6:16" ht="13" x14ac:dyDescent="0.3">
      <c r="F422"/>
      <c r="G422"/>
      <c r="J422" s="43"/>
      <c r="P422"/>
    </row>
    <row r="423" spans="6:16" ht="13" x14ac:dyDescent="0.3">
      <c r="F423"/>
      <c r="G423"/>
      <c r="J423" s="43"/>
      <c r="P423"/>
    </row>
    <row r="424" spans="6:16" ht="13" x14ac:dyDescent="0.3">
      <c r="F424"/>
      <c r="G424"/>
      <c r="J424" s="43"/>
      <c r="P424"/>
    </row>
    <row r="425" spans="6:16" ht="13" x14ac:dyDescent="0.3">
      <c r="F425"/>
      <c r="G425"/>
      <c r="J425" s="43"/>
      <c r="P425"/>
    </row>
    <row r="426" spans="6:16" ht="13" x14ac:dyDescent="0.3">
      <c r="F426"/>
      <c r="G426"/>
      <c r="J426" s="43"/>
      <c r="P426"/>
    </row>
    <row r="427" spans="6:16" ht="13" x14ac:dyDescent="0.3">
      <c r="F427"/>
      <c r="G427"/>
      <c r="J427" s="43"/>
      <c r="P427"/>
    </row>
    <row r="428" spans="6:16" ht="13" x14ac:dyDescent="0.3">
      <c r="F428"/>
      <c r="G428"/>
      <c r="J428" s="43"/>
      <c r="P428"/>
    </row>
    <row r="429" spans="6:16" ht="13" x14ac:dyDescent="0.3">
      <c r="F429"/>
      <c r="G429"/>
      <c r="J429" s="43"/>
      <c r="P429"/>
    </row>
    <row r="430" spans="6:16" ht="13" x14ac:dyDescent="0.3">
      <c r="F430"/>
      <c r="G430"/>
      <c r="J430" s="43"/>
      <c r="P430"/>
    </row>
    <row r="431" spans="6:16" ht="13" x14ac:dyDescent="0.3">
      <c r="F431"/>
      <c r="G431"/>
      <c r="J431" s="43"/>
      <c r="P431"/>
    </row>
    <row r="432" spans="6:16" ht="13" x14ac:dyDescent="0.3">
      <c r="F432"/>
      <c r="G432"/>
      <c r="J432" s="43"/>
      <c r="P432"/>
    </row>
    <row r="433" spans="6:16" ht="13" x14ac:dyDescent="0.3">
      <c r="F433"/>
      <c r="G433"/>
      <c r="J433" s="43"/>
      <c r="P433"/>
    </row>
    <row r="434" spans="6:16" ht="13" x14ac:dyDescent="0.3">
      <c r="F434"/>
      <c r="G434"/>
      <c r="J434" s="43"/>
      <c r="P434"/>
    </row>
    <row r="435" spans="6:16" ht="13" x14ac:dyDescent="0.3">
      <c r="F435"/>
      <c r="G435"/>
      <c r="J435" s="43"/>
      <c r="P435"/>
    </row>
    <row r="436" spans="6:16" ht="13" x14ac:dyDescent="0.3">
      <c r="F436"/>
      <c r="G436"/>
      <c r="J436" s="43"/>
      <c r="P436"/>
    </row>
    <row r="437" spans="6:16" ht="13" x14ac:dyDescent="0.3">
      <c r="F437"/>
      <c r="G437"/>
      <c r="J437" s="43"/>
      <c r="P437"/>
    </row>
    <row r="438" spans="6:16" ht="13" x14ac:dyDescent="0.3">
      <c r="F438"/>
      <c r="G438"/>
      <c r="J438" s="43"/>
      <c r="P438"/>
    </row>
    <row r="439" spans="6:16" ht="13" x14ac:dyDescent="0.3">
      <c r="F439"/>
      <c r="G439"/>
      <c r="J439" s="43"/>
      <c r="P439"/>
    </row>
    <row r="440" spans="6:16" ht="13" x14ac:dyDescent="0.3">
      <c r="F440"/>
      <c r="G440"/>
      <c r="J440" s="43"/>
      <c r="P440"/>
    </row>
    <row r="441" spans="6:16" ht="13" x14ac:dyDescent="0.3">
      <c r="F441"/>
      <c r="G441"/>
      <c r="J441" s="43"/>
      <c r="P441"/>
    </row>
    <row r="442" spans="6:16" ht="13" x14ac:dyDescent="0.3">
      <c r="F442"/>
      <c r="G442"/>
      <c r="J442" s="43"/>
      <c r="P442"/>
    </row>
    <row r="443" spans="6:16" ht="13" x14ac:dyDescent="0.3">
      <c r="F443"/>
      <c r="G443"/>
      <c r="J443" s="43"/>
      <c r="P443"/>
    </row>
    <row r="444" spans="6:16" ht="13" x14ac:dyDescent="0.3">
      <c r="F444"/>
      <c r="G444"/>
      <c r="J444" s="43"/>
      <c r="P444"/>
    </row>
    <row r="445" spans="6:16" ht="13" x14ac:dyDescent="0.3">
      <c r="F445"/>
      <c r="G445"/>
      <c r="J445" s="43"/>
      <c r="P445"/>
    </row>
    <row r="446" spans="6:16" ht="13" x14ac:dyDescent="0.3">
      <c r="F446"/>
      <c r="G446"/>
      <c r="J446" s="43"/>
      <c r="P446"/>
    </row>
    <row r="447" spans="6:16" ht="13" x14ac:dyDescent="0.3">
      <c r="F447"/>
      <c r="G447"/>
      <c r="J447" s="43"/>
      <c r="P447"/>
    </row>
    <row r="448" spans="6:16" ht="13" x14ac:dyDescent="0.3">
      <c r="F448"/>
      <c r="G448"/>
      <c r="J448" s="43"/>
      <c r="P448"/>
    </row>
    <row r="449" spans="6:16" ht="13" x14ac:dyDescent="0.3">
      <c r="F449"/>
      <c r="G449"/>
      <c r="J449" s="43"/>
      <c r="P449"/>
    </row>
    <row r="450" spans="6:16" ht="13" x14ac:dyDescent="0.3">
      <c r="F450"/>
      <c r="G450"/>
      <c r="J450" s="43"/>
      <c r="P450"/>
    </row>
    <row r="451" spans="6:16" ht="13" x14ac:dyDescent="0.3">
      <c r="F451"/>
      <c r="G451"/>
      <c r="J451" s="43"/>
      <c r="P451"/>
    </row>
    <row r="452" spans="6:16" ht="13" x14ac:dyDescent="0.3">
      <c r="F452"/>
      <c r="G452"/>
      <c r="J452" s="43"/>
      <c r="P452"/>
    </row>
    <row r="453" spans="6:16" ht="13" x14ac:dyDescent="0.3">
      <c r="F453"/>
      <c r="G453"/>
      <c r="J453" s="43"/>
      <c r="P453"/>
    </row>
    <row r="454" spans="6:16" ht="13" x14ac:dyDescent="0.3">
      <c r="F454"/>
      <c r="G454"/>
      <c r="J454" s="43"/>
      <c r="P454"/>
    </row>
    <row r="455" spans="6:16" ht="13" x14ac:dyDescent="0.3">
      <c r="F455"/>
      <c r="G455"/>
      <c r="J455" s="43"/>
      <c r="P455"/>
    </row>
    <row r="456" spans="6:16" ht="13" x14ac:dyDescent="0.3">
      <c r="F456"/>
      <c r="G456"/>
      <c r="J456" s="43"/>
      <c r="P456"/>
    </row>
    <row r="457" spans="6:16" ht="13" x14ac:dyDescent="0.3">
      <c r="F457"/>
      <c r="G457"/>
      <c r="J457" s="43"/>
      <c r="P457"/>
    </row>
    <row r="458" spans="6:16" ht="13" x14ac:dyDescent="0.3">
      <c r="F458"/>
      <c r="G458"/>
      <c r="J458" s="43"/>
      <c r="P458"/>
    </row>
    <row r="459" spans="6:16" ht="13" x14ac:dyDescent="0.3">
      <c r="F459"/>
      <c r="G459"/>
      <c r="J459" s="43"/>
      <c r="P459"/>
    </row>
    <row r="460" spans="6:16" ht="13" x14ac:dyDescent="0.3">
      <c r="F460"/>
      <c r="G460"/>
      <c r="J460" s="43"/>
      <c r="P460"/>
    </row>
    <row r="461" spans="6:16" ht="13" x14ac:dyDescent="0.3">
      <c r="F461"/>
      <c r="G461"/>
      <c r="J461" s="43"/>
      <c r="P461"/>
    </row>
    <row r="462" spans="6:16" ht="13" x14ac:dyDescent="0.3">
      <c r="F462"/>
      <c r="G462"/>
      <c r="J462" s="43"/>
      <c r="P462"/>
    </row>
    <row r="463" spans="6:16" ht="13" x14ac:dyDescent="0.3">
      <c r="F463"/>
      <c r="G463"/>
      <c r="J463" s="43"/>
      <c r="P463"/>
    </row>
    <row r="464" spans="6:16" ht="13" x14ac:dyDescent="0.3">
      <c r="F464"/>
      <c r="G464"/>
      <c r="J464" s="43"/>
      <c r="P464"/>
    </row>
    <row r="465" spans="6:16" ht="13" x14ac:dyDescent="0.3">
      <c r="F465"/>
      <c r="G465"/>
      <c r="J465" s="43"/>
      <c r="P465"/>
    </row>
    <row r="466" spans="6:16" ht="13" x14ac:dyDescent="0.3">
      <c r="F466"/>
      <c r="G466"/>
      <c r="J466" s="43"/>
      <c r="P466"/>
    </row>
    <row r="467" spans="6:16" ht="13" x14ac:dyDescent="0.3">
      <c r="F467"/>
      <c r="G467"/>
      <c r="J467" s="43"/>
      <c r="P467"/>
    </row>
    <row r="468" spans="6:16" ht="13" x14ac:dyDescent="0.3">
      <c r="F468"/>
      <c r="G468"/>
      <c r="J468" s="43"/>
      <c r="P468"/>
    </row>
    <row r="469" spans="6:16" ht="13" x14ac:dyDescent="0.3">
      <c r="F469"/>
      <c r="G469"/>
      <c r="J469" s="43"/>
      <c r="P469"/>
    </row>
    <row r="470" spans="6:16" ht="13" x14ac:dyDescent="0.3">
      <c r="F470"/>
      <c r="G470"/>
      <c r="J470" s="43"/>
      <c r="P470"/>
    </row>
    <row r="471" spans="6:16" ht="13" x14ac:dyDescent="0.3">
      <c r="F471"/>
      <c r="G471"/>
      <c r="J471" s="43"/>
      <c r="P471"/>
    </row>
    <row r="472" spans="6:16" ht="13" x14ac:dyDescent="0.3">
      <c r="F472"/>
      <c r="G472"/>
      <c r="J472" s="43"/>
      <c r="P472"/>
    </row>
    <row r="473" spans="6:16" ht="13" x14ac:dyDescent="0.3">
      <c r="F473"/>
      <c r="G473"/>
      <c r="J473" s="43"/>
      <c r="P473"/>
    </row>
    <row r="474" spans="6:16" ht="13" x14ac:dyDescent="0.3">
      <c r="F474"/>
      <c r="G474"/>
      <c r="J474" s="43"/>
      <c r="P474"/>
    </row>
    <row r="475" spans="6:16" ht="13" x14ac:dyDescent="0.3">
      <c r="F475"/>
      <c r="G475"/>
      <c r="J475" s="43"/>
      <c r="P475"/>
    </row>
    <row r="476" spans="6:16" ht="13" x14ac:dyDescent="0.3">
      <c r="F476"/>
      <c r="G476"/>
      <c r="J476" s="43"/>
      <c r="P476"/>
    </row>
    <row r="477" spans="6:16" ht="13" x14ac:dyDescent="0.3">
      <c r="F477"/>
      <c r="G477"/>
      <c r="J477" s="43"/>
      <c r="P477"/>
    </row>
    <row r="478" spans="6:16" ht="13" x14ac:dyDescent="0.3">
      <c r="F478"/>
      <c r="G478"/>
      <c r="J478" s="43"/>
      <c r="P478"/>
    </row>
    <row r="479" spans="6:16" ht="13" x14ac:dyDescent="0.3">
      <c r="F479"/>
      <c r="G479"/>
      <c r="J479" s="43"/>
      <c r="P479"/>
    </row>
    <row r="480" spans="6:16" ht="13" x14ac:dyDescent="0.3">
      <c r="F480"/>
      <c r="G480"/>
      <c r="J480" s="43"/>
      <c r="P480"/>
    </row>
    <row r="481" spans="6:16" ht="13" x14ac:dyDescent="0.3">
      <c r="F481"/>
      <c r="G481"/>
      <c r="J481" s="43"/>
      <c r="P481"/>
    </row>
    <row r="482" spans="6:16" ht="13" x14ac:dyDescent="0.3">
      <c r="F482"/>
      <c r="G482"/>
      <c r="J482" s="43"/>
      <c r="P482"/>
    </row>
    <row r="483" spans="6:16" ht="13" x14ac:dyDescent="0.3">
      <c r="F483"/>
      <c r="G483"/>
      <c r="J483" s="43"/>
      <c r="P483"/>
    </row>
    <row r="484" spans="6:16" ht="13" x14ac:dyDescent="0.3">
      <c r="F484"/>
      <c r="G484"/>
      <c r="J484" s="43"/>
      <c r="P484"/>
    </row>
    <row r="485" spans="6:16" ht="13" x14ac:dyDescent="0.3">
      <c r="F485"/>
      <c r="G485"/>
      <c r="J485" s="43"/>
      <c r="P485"/>
    </row>
    <row r="486" spans="6:16" ht="13" x14ac:dyDescent="0.3">
      <c r="F486"/>
      <c r="G486"/>
      <c r="J486" s="43"/>
      <c r="P486"/>
    </row>
    <row r="487" spans="6:16" ht="13" x14ac:dyDescent="0.3">
      <c r="F487"/>
      <c r="G487"/>
      <c r="J487" s="43"/>
      <c r="P487"/>
    </row>
    <row r="488" spans="6:16" ht="13" x14ac:dyDescent="0.3">
      <c r="F488"/>
      <c r="G488"/>
      <c r="J488" s="43"/>
      <c r="P488"/>
    </row>
    <row r="489" spans="6:16" ht="13" x14ac:dyDescent="0.3">
      <c r="F489"/>
      <c r="G489"/>
      <c r="J489" s="43"/>
      <c r="P489"/>
    </row>
    <row r="490" spans="6:16" ht="13" x14ac:dyDescent="0.3">
      <c r="F490"/>
      <c r="G490"/>
      <c r="J490" s="43"/>
      <c r="P490"/>
    </row>
    <row r="491" spans="6:16" ht="13" x14ac:dyDescent="0.3">
      <c r="F491"/>
      <c r="G491"/>
      <c r="J491" s="43"/>
      <c r="P491"/>
    </row>
    <row r="492" spans="6:16" ht="13" x14ac:dyDescent="0.3">
      <c r="F492"/>
      <c r="G492"/>
      <c r="J492" s="43"/>
      <c r="P492"/>
    </row>
    <row r="493" spans="6:16" ht="13" x14ac:dyDescent="0.3">
      <c r="F493"/>
      <c r="G493"/>
      <c r="J493" s="43"/>
      <c r="P493"/>
    </row>
    <row r="494" spans="6:16" ht="13" x14ac:dyDescent="0.3">
      <c r="F494"/>
      <c r="G494"/>
      <c r="J494" s="43"/>
      <c r="P494"/>
    </row>
    <row r="495" spans="6:16" ht="13" x14ac:dyDescent="0.3">
      <c r="F495"/>
      <c r="G495"/>
      <c r="J495" s="43"/>
      <c r="P495"/>
    </row>
    <row r="496" spans="6:16" ht="13" x14ac:dyDescent="0.3">
      <c r="F496"/>
      <c r="G496"/>
      <c r="J496" s="43"/>
      <c r="P496"/>
    </row>
    <row r="497" spans="6:16" ht="13" x14ac:dyDescent="0.3">
      <c r="F497"/>
      <c r="G497"/>
      <c r="J497" s="43"/>
      <c r="P497"/>
    </row>
    <row r="498" spans="6:16" ht="13" x14ac:dyDescent="0.3">
      <c r="F498"/>
      <c r="G498"/>
      <c r="J498" s="43"/>
      <c r="P498"/>
    </row>
    <row r="499" spans="6:16" ht="13" x14ac:dyDescent="0.3">
      <c r="F499"/>
      <c r="G499"/>
      <c r="J499" s="43"/>
      <c r="P499"/>
    </row>
    <row r="500" spans="6:16" ht="13" x14ac:dyDescent="0.3">
      <c r="F500"/>
      <c r="G500"/>
      <c r="J500" s="43"/>
      <c r="P500"/>
    </row>
    <row r="501" spans="6:16" ht="13" x14ac:dyDescent="0.3">
      <c r="F501"/>
      <c r="G501"/>
      <c r="J501" s="43"/>
      <c r="P501"/>
    </row>
    <row r="502" spans="6:16" ht="13" x14ac:dyDescent="0.3">
      <c r="F502"/>
      <c r="G502"/>
      <c r="J502" s="43"/>
      <c r="P502"/>
    </row>
    <row r="503" spans="6:16" ht="13" x14ac:dyDescent="0.3">
      <c r="F503"/>
      <c r="G503"/>
      <c r="J503" s="43"/>
      <c r="P503"/>
    </row>
    <row r="504" spans="6:16" ht="13" x14ac:dyDescent="0.3">
      <c r="F504"/>
      <c r="G504"/>
      <c r="J504" s="43"/>
      <c r="P504"/>
    </row>
    <row r="505" spans="6:16" ht="13" x14ac:dyDescent="0.3">
      <c r="F505"/>
      <c r="G505"/>
      <c r="J505" s="43"/>
      <c r="P505"/>
    </row>
    <row r="506" spans="6:16" ht="13" x14ac:dyDescent="0.3">
      <c r="F506"/>
      <c r="G506"/>
      <c r="J506" s="43"/>
      <c r="P506"/>
    </row>
    <row r="507" spans="6:16" ht="13" x14ac:dyDescent="0.3">
      <c r="F507"/>
      <c r="G507"/>
      <c r="J507" s="43"/>
      <c r="P507"/>
    </row>
    <row r="508" spans="6:16" ht="13" x14ac:dyDescent="0.3">
      <c r="F508"/>
      <c r="G508"/>
      <c r="J508" s="43"/>
      <c r="P508"/>
    </row>
    <row r="509" spans="6:16" ht="13" x14ac:dyDescent="0.3">
      <c r="F509"/>
      <c r="G509"/>
      <c r="J509" s="43"/>
      <c r="P509"/>
    </row>
    <row r="510" spans="6:16" ht="13" x14ac:dyDescent="0.3">
      <c r="F510"/>
      <c r="G510"/>
      <c r="J510" s="43"/>
      <c r="P510"/>
    </row>
    <row r="511" spans="6:16" ht="13" x14ac:dyDescent="0.3">
      <c r="F511"/>
      <c r="G511"/>
      <c r="J511" s="43"/>
      <c r="P511"/>
    </row>
    <row r="512" spans="6:16" ht="13" x14ac:dyDescent="0.3">
      <c r="F512"/>
      <c r="G512"/>
      <c r="J512" s="43"/>
      <c r="P512"/>
    </row>
    <row r="513" spans="6:16" ht="13" x14ac:dyDescent="0.3">
      <c r="F513"/>
      <c r="G513"/>
      <c r="J513" s="43"/>
      <c r="P513"/>
    </row>
    <row r="514" spans="6:16" ht="13" x14ac:dyDescent="0.3">
      <c r="F514"/>
      <c r="G514"/>
      <c r="J514" s="43"/>
      <c r="P514"/>
    </row>
    <row r="515" spans="6:16" ht="13" x14ac:dyDescent="0.3">
      <c r="F515"/>
      <c r="G515"/>
      <c r="J515" s="43"/>
      <c r="P515"/>
    </row>
    <row r="516" spans="6:16" ht="13" x14ac:dyDescent="0.3">
      <c r="F516"/>
      <c r="G516"/>
      <c r="J516" s="43"/>
      <c r="P516"/>
    </row>
    <row r="517" spans="6:16" ht="13" x14ac:dyDescent="0.3">
      <c r="F517"/>
      <c r="G517"/>
      <c r="J517" s="43"/>
      <c r="P517"/>
    </row>
    <row r="518" spans="6:16" ht="13" x14ac:dyDescent="0.3">
      <c r="F518"/>
      <c r="G518"/>
      <c r="J518" s="43"/>
      <c r="P518"/>
    </row>
    <row r="519" spans="6:16" ht="13" x14ac:dyDescent="0.3">
      <c r="F519"/>
      <c r="G519"/>
      <c r="J519" s="43"/>
      <c r="P519"/>
    </row>
    <row r="520" spans="6:16" ht="13" x14ac:dyDescent="0.3">
      <c r="F520"/>
      <c r="G520"/>
      <c r="J520" s="43"/>
      <c r="P520"/>
    </row>
    <row r="521" spans="6:16" ht="13" x14ac:dyDescent="0.3">
      <c r="F521"/>
      <c r="G521"/>
      <c r="J521" s="43"/>
      <c r="P521"/>
    </row>
    <row r="522" spans="6:16" ht="13" x14ac:dyDescent="0.3">
      <c r="F522"/>
      <c r="G522"/>
      <c r="J522" s="43"/>
      <c r="P522"/>
    </row>
    <row r="523" spans="6:16" ht="13" x14ac:dyDescent="0.3">
      <c r="F523"/>
      <c r="G523"/>
      <c r="J523" s="43"/>
      <c r="P523"/>
    </row>
    <row r="524" spans="6:16" ht="13" x14ac:dyDescent="0.3">
      <c r="F524"/>
      <c r="G524"/>
      <c r="J524" s="43"/>
      <c r="P524"/>
    </row>
    <row r="525" spans="6:16" ht="13" x14ac:dyDescent="0.3">
      <c r="F525"/>
      <c r="G525"/>
      <c r="J525" s="43"/>
      <c r="P525"/>
    </row>
    <row r="526" spans="6:16" ht="13" x14ac:dyDescent="0.3">
      <c r="F526"/>
      <c r="G526"/>
      <c r="J526" s="43"/>
      <c r="P526"/>
    </row>
    <row r="527" spans="6:16" ht="13" x14ac:dyDescent="0.3">
      <c r="F527"/>
      <c r="G527"/>
      <c r="J527" s="43"/>
      <c r="P527"/>
    </row>
    <row r="528" spans="6:16" ht="13" x14ac:dyDescent="0.3">
      <c r="F528"/>
      <c r="G528"/>
      <c r="J528" s="43"/>
      <c r="P528"/>
    </row>
    <row r="529" spans="6:16" ht="13" x14ac:dyDescent="0.3">
      <c r="F529"/>
      <c r="G529"/>
      <c r="J529" s="43"/>
      <c r="P529"/>
    </row>
    <row r="530" spans="6:16" ht="13" x14ac:dyDescent="0.3">
      <c r="F530"/>
      <c r="G530"/>
      <c r="J530" s="43"/>
      <c r="P530"/>
    </row>
    <row r="531" spans="6:16" ht="13" x14ac:dyDescent="0.3">
      <c r="F531"/>
      <c r="G531"/>
      <c r="J531" s="43"/>
      <c r="P531"/>
    </row>
    <row r="532" spans="6:16" ht="13" x14ac:dyDescent="0.3">
      <c r="F532"/>
      <c r="G532"/>
      <c r="J532" s="43"/>
      <c r="P532"/>
    </row>
    <row r="533" spans="6:16" ht="13" x14ac:dyDescent="0.3">
      <c r="F533"/>
      <c r="G533"/>
      <c r="J533" s="43"/>
      <c r="P533"/>
    </row>
    <row r="534" spans="6:16" ht="13" x14ac:dyDescent="0.3">
      <c r="F534"/>
      <c r="G534"/>
      <c r="J534" s="43"/>
      <c r="P534"/>
    </row>
    <row r="535" spans="6:16" ht="13" x14ac:dyDescent="0.3">
      <c r="F535"/>
      <c r="G535"/>
      <c r="J535" s="43"/>
      <c r="P535"/>
    </row>
    <row r="536" spans="6:16" ht="13" x14ac:dyDescent="0.3">
      <c r="F536"/>
      <c r="G536"/>
      <c r="J536" s="43"/>
      <c r="P536"/>
    </row>
    <row r="537" spans="6:16" ht="13" x14ac:dyDescent="0.3">
      <c r="F537"/>
      <c r="G537"/>
      <c r="J537" s="43"/>
      <c r="P537"/>
    </row>
    <row r="538" spans="6:16" ht="13" x14ac:dyDescent="0.3">
      <c r="F538"/>
      <c r="G538"/>
      <c r="J538" s="43"/>
      <c r="P538"/>
    </row>
    <row r="539" spans="6:16" ht="13" x14ac:dyDescent="0.3">
      <c r="F539"/>
      <c r="G539"/>
      <c r="J539" s="43"/>
      <c r="P539"/>
    </row>
    <row r="540" spans="6:16" ht="13" x14ac:dyDescent="0.3">
      <c r="F540"/>
      <c r="G540"/>
      <c r="J540" s="43"/>
      <c r="P540"/>
    </row>
    <row r="541" spans="6:16" ht="13" x14ac:dyDescent="0.3">
      <c r="F541"/>
      <c r="G541"/>
      <c r="J541" s="43"/>
      <c r="P541"/>
    </row>
    <row r="542" spans="6:16" ht="13" x14ac:dyDescent="0.3">
      <c r="F542"/>
      <c r="G542"/>
      <c r="J542" s="43"/>
      <c r="P542"/>
    </row>
    <row r="543" spans="6:16" ht="13" x14ac:dyDescent="0.3">
      <c r="F543"/>
      <c r="G543"/>
      <c r="J543" s="43"/>
      <c r="P543"/>
    </row>
    <row r="544" spans="6:16" ht="13" x14ac:dyDescent="0.3">
      <c r="F544"/>
      <c r="G544"/>
      <c r="J544" s="43"/>
      <c r="P544"/>
    </row>
    <row r="545" spans="6:16" ht="13" x14ac:dyDescent="0.3">
      <c r="F545"/>
      <c r="G545"/>
      <c r="J545" s="43"/>
      <c r="P545"/>
    </row>
    <row r="546" spans="6:16" ht="13" x14ac:dyDescent="0.3">
      <c r="F546"/>
      <c r="G546"/>
      <c r="J546" s="43"/>
      <c r="P546"/>
    </row>
    <row r="547" spans="6:16" ht="13" x14ac:dyDescent="0.3">
      <c r="F547"/>
      <c r="G547"/>
      <c r="J547" s="43"/>
      <c r="P547"/>
    </row>
    <row r="548" spans="6:16" ht="13" x14ac:dyDescent="0.3">
      <c r="F548"/>
      <c r="G548"/>
      <c r="J548" s="43"/>
      <c r="P548"/>
    </row>
    <row r="549" spans="6:16" ht="13" x14ac:dyDescent="0.3">
      <c r="F549"/>
      <c r="G549"/>
      <c r="J549" s="43"/>
      <c r="P549"/>
    </row>
    <row r="550" spans="6:16" ht="13" x14ac:dyDescent="0.3">
      <c r="F550"/>
      <c r="G550"/>
      <c r="J550" s="43"/>
      <c r="P550"/>
    </row>
    <row r="551" spans="6:16" ht="13" x14ac:dyDescent="0.3">
      <c r="F551"/>
      <c r="G551"/>
      <c r="J551" s="43"/>
      <c r="P551"/>
    </row>
    <row r="552" spans="6:16" ht="13" x14ac:dyDescent="0.3">
      <c r="F552"/>
      <c r="G552"/>
      <c r="J552" s="43"/>
      <c r="P552"/>
    </row>
    <row r="553" spans="6:16" ht="13" x14ac:dyDescent="0.3">
      <c r="F553"/>
      <c r="G553"/>
      <c r="J553" s="43"/>
      <c r="P553"/>
    </row>
    <row r="554" spans="6:16" ht="13" x14ac:dyDescent="0.3">
      <c r="F554"/>
      <c r="G554"/>
      <c r="J554" s="43"/>
      <c r="P554"/>
    </row>
    <row r="555" spans="6:16" ht="13" x14ac:dyDescent="0.3">
      <c r="F555"/>
      <c r="G555"/>
      <c r="J555" s="43"/>
      <c r="P555"/>
    </row>
    <row r="556" spans="6:16" ht="13" x14ac:dyDescent="0.3">
      <c r="F556"/>
      <c r="G556"/>
      <c r="J556" s="43"/>
      <c r="P556"/>
    </row>
    <row r="557" spans="6:16" ht="13" x14ac:dyDescent="0.3">
      <c r="F557"/>
      <c r="G557"/>
      <c r="J557" s="43"/>
      <c r="P557"/>
    </row>
    <row r="558" spans="6:16" ht="13" x14ac:dyDescent="0.3">
      <c r="F558"/>
      <c r="G558"/>
      <c r="J558" s="43"/>
      <c r="P558"/>
    </row>
    <row r="559" spans="6:16" ht="13" x14ac:dyDescent="0.3">
      <c r="F559"/>
      <c r="G559"/>
      <c r="J559" s="43"/>
      <c r="P559"/>
    </row>
    <row r="560" spans="6:16" ht="13" x14ac:dyDescent="0.3">
      <c r="F560"/>
      <c r="G560"/>
      <c r="J560" s="43"/>
      <c r="P560"/>
    </row>
    <row r="561" spans="6:16" ht="13" x14ac:dyDescent="0.3">
      <c r="F561"/>
      <c r="G561"/>
      <c r="J561" s="43"/>
      <c r="P561"/>
    </row>
    <row r="562" spans="6:16" ht="13" x14ac:dyDescent="0.3">
      <c r="F562"/>
      <c r="G562"/>
      <c r="J562" s="43"/>
      <c r="P562"/>
    </row>
    <row r="563" spans="6:16" ht="13" x14ac:dyDescent="0.3">
      <c r="F563"/>
      <c r="G563"/>
      <c r="J563" s="43"/>
      <c r="P563"/>
    </row>
    <row r="564" spans="6:16" ht="13" x14ac:dyDescent="0.3">
      <c r="F564"/>
      <c r="G564"/>
      <c r="J564" s="43"/>
      <c r="P564"/>
    </row>
    <row r="565" spans="6:16" ht="13" x14ac:dyDescent="0.3">
      <c r="F565"/>
      <c r="G565"/>
      <c r="J565" s="43"/>
      <c r="P565"/>
    </row>
    <row r="566" spans="6:16" ht="13" x14ac:dyDescent="0.3">
      <c r="F566"/>
      <c r="G566"/>
      <c r="J566" s="43"/>
      <c r="P566"/>
    </row>
    <row r="567" spans="6:16" ht="13" x14ac:dyDescent="0.3">
      <c r="F567"/>
      <c r="G567"/>
      <c r="J567" s="43"/>
      <c r="P567"/>
    </row>
    <row r="568" spans="6:16" ht="13" x14ac:dyDescent="0.3">
      <c r="F568"/>
      <c r="G568"/>
      <c r="J568" s="43"/>
      <c r="P568"/>
    </row>
    <row r="569" spans="6:16" ht="13" x14ac:dyDescent="0.3">
      <c r="F569"/>
      <c r="G569"/>
      <c r="J569" s="43"/>
      <c r="P569"/>
    </row>
    <row r="570" spans="6:16" ht="13" x14ac:dyDescent="0.3">
      <c r="F570"/>
      <c r="G570"/>
      <c r="J570" s="43"/>
      <c r="P570"/>
    </row>
    <row r="571" spans="6:16" ht="13" x14ac:dyDescent="0.3">
      <c r="F571"/>
      <c r="G571"/>
      <c r="J571" s="43"/>
      <c r="P571"/>
    </row>
    <row r="572" spans="6:16" ht="13" x14ac:dyDescent="0.3">
      <c r="F572"/>
      <c r="G572"/>
      <c r="J572" s="43"/>
      <c r="P572"/>
    </row>
    <row r="573" spans="6:16" ht="13" x14ac:dyDescent="0.3">
      <c r="F573"/>
      <c r="G573"/>
      <c r="J573" s="43"/>
      <c r="P573"/>
    </row>
    <row r="574" spans="6:16" ht="13" x14ac:dyDescent="0.3">
      <c r="F574"/>
      <c r="G574"/>
      <c r="J574" s="43"/>
      <c r="P574"/>
    </row>
    <row r="575" spans="6:16" ht="13" x14ac:dyDescent="0.3">
      <c r="F575"/>
      <c r="G575"/>
      <c r="J575" s="43"/>
      <c r="P575"/>
    </row>
    <row r="576" spans="6:16" ht="13" x14ac:dyDescent="0.3">
      <c r="F576"/>
      <c r="G576"/>
      <c r="J576" s="43"/>
      <c r="P576"/>
    </row>
    <row r="577" spans="6:16" ht="13" x14ac:dyDescent="0.3">
      <c r="F577"/>
      <c r="G577"/>
      <c r="J577" s="43"/>
      <c r="P577"/>
    </row>
    <row r="578" spans="6:16" ht="13" x14ac:dyDescent="0.3">
      <c r="F578"/>
      <c r="G578"/>
      <c r="J578" s="43"/>
      <c r="P578"/>
    </row>
    <row r="579" spans="6:16" ht="13" x14ac:dyDescent="0.3">
      <c r="F579"/>
      <c r="G579"/>
      <c r="J579" s="43"/>
      <c r="P579"/>
    </row>
    <row r="580" spans="6:16" ht="13" x14ac:dyDescent="0.3">
      <c r="F580"/>
      <c r="G580"/>
      <c r="J580" s="43"/>
      <c r="P580"/>
    </row>
    <row r="581" spans="6:16" ht="13" x14ac:dyDescent="0.3">
      <c r="F581"/>
      <c r="G581"/>
      <c r="J581" s="43"/>
      <c r="P581"/>
    </row>
    <row r="582" spans="6:16" ht="13" x14ac:dyDescent="0.3">
      <c r="F582"/>
      <c r="G582"/>
      <c r="J582" s="43"/>
      <c r="P582"/>
    </row>
    <row r="583" spans="6:16" ht="13" x14ac:dyDescent="0.3">
      <c r="F583"/>
      <c r="G583"/>
      <c r="J583" s="43"/>
      <c r="P583"/>
    </row>
    <row r="584" spans="6:16" ht="13" x14ac:dyDescent="0.3">
      <c r="F584"/>
      <c r="G584"/>
      <c r="J584" s="43"/>
      <c r="P584"/>
    </row>
    <row r="585" spans="6:16" ht="13" x14ac:dyDescent="0.3">
      <c r="F585"/>
      <c r="G585"/>
      <c r="J585" s="43"/>
      <c r="P585"/>
    </row>
    <row r="586" spans="6:16" ht="13" x14ac:dyDescent="0.3">
      <c r="F586"/>
      <c r="G586"/>
      <c r="J586" s="43"/>
      <c r="P586"/>
    </row>
    <row r="587" spans="6:16" ht="13" x14ac:dyDescent="0.3">
      <c r="F587"/>
      <c r="G587"/>
      <c r="J587" s="43"/>
      <c r="P587"/>
    </row>
    <row r="588" spans="6:16" ht="13" x14ac:dyDescent="0.3">
      <c r="F588"/>
      <c r="G588"/>
      <c r="J588" s="43"/>
      <c r="P588"/>
    </row>
    <row r="589" spans="6:16" ht="13" x14ac:dyDescent="0.3">
      <c r="F589"/>
      <c r="G589"/>
      <c r="J589" s="43"/>
      <c r="P589"/>
    </row>
    <row r="590" spans="6:16" ht="13" x14ac:dyDescent="0.3">
      <c r="F590"/>
      <c r="G590"/>
      <c r="J590" s="43"/>
      <c r="P590"/>
    </row>
    <row r="591" spans="6:16" ht="13" x14ac:dyDescent="0.3">
      <c r="F591"/>
      <c r="G591"/>
      <c r="J591" s="43"/>
      <c r="P591"/>
    </row>
    <row r="592" spans="6:16" ht="13" x14ac:dyDescent="0.3">
      <c r="F592"/>
      <c r="G592"/>
      <c r="J592" s="43"/>
      <c r="P592"/>
    </row>
    <row r="593" spans="6:16" ht="13" x14ac:dyDescent="0.3">
      <c r="F593"/>
      <c r="G593"/>
      <c r="J593" s="43"/>
      <c r="P593"/>
    </row>
    <row r="594" spans="6:16" ht="13" x14ac:dyDescent="0.3">
      <c r="F594"/>
      <c r="G594"/>
      <c r="J594" s="43"/>
      <c r="P594"/>
    </row>
    <row r="595" spans="6:16" ht="13" x14ac:dyDescent="0.3">
      <c r="F595"/>
      <c r="G595"/>
      <c r="J595" s="43"/>
      <c r="P595"/>
    </row>
    <row r="596" spans="6:16" ht="13" x14ac:dyDescent="0.3">
      <c r="F596"/>
      <c r="G596"/>
      <c r="J596" s="43"/>
      <c r="P596"/>
    </row>
    <row r="597" spans="6:16" ht="13" x14ac:dyDescent="0.3">
      <c r="F597"/>
      <c r="G597"/>
      <c r="J597" s="43"/>
      <c r="P597"/>
    </row>
    <row r="598" spans="6:16" ht="13" x14ac:dyDescent="0.3">
      <c r="F598"/>
      <c r="G598"/>
      <c r="J598" s="43"/>
      <c r="P598"/>
    </row>
    <row r="599" spans="6:16" ht="13" x14ac:dyDescent="0.3">
      <c r="F599"/>
      <c r="G599"/>
      <c r="J599" s="43"/>
      <c r="P599"/>
    </row>
    <row r="600" spans="6:16" ht="13" x14ac:dyDescent="0.3">
      <c r="F600"/>
      <c r="G600"/>
      <c r="J600" s="43"/>
      <c r="P600"/>
    </row>
    <row r="601" spans="6:16" ht="13" x14ac:dyDescent="0.3">
      <c r="F601"/>
      <c r="G601"/>
      <c r="J601" s="43"/>
      <c r="P601"/>
    </row>
    <row r="602" spans="6:16" ht="13" x14ac:dyDescent="0.3">
      <c r="F602"/>
      <c r="G602"/>
      <c r="J602" s="43"/>
      <c r="P602"/>
    </row>
    <row r="603" spans="6:16" ht="13" x14ac:dyDescent="0.3">
      <c r="F603"/>
      <c r="G603"/>
      <c r="J603" s="43"/>
      <c r="P603"/>
    </row>
    <row r="604" spans="6:16" ht="13" x14ac:dyDescent="0.3">
      <c r="F604"/>
      <c r="G604"/>
      <c r="J604" s="43"/>
      <c r="P604"/>
    </row>
    <row r="605" spans="6:16" ht="13" x14ac:dyDescent="0.3">
      <c r="F605"/>
      <c r="G605"/>
      <c r="J605" s="43"/>
      <c r="P605"/>
    </row>
    <row r="606" spans="6:16" ht="13" x14ac:dyDescent="0.3">
      <c r="F606"/>
      <c r="G606"/>
      <c r="J606" s="43"/>
      <c r="P606"/>
    </row>
    <row r="607" spans="6:16" ht="13" x14ac:dyDescent="0.3">
      <c r="F607"/>
      <c r="G607"/>
      <c r="J607" s="43"/>
      <c r="P607"/>
    </row>
    <row r="608" spans="6:16" ht="13" x14ac:dyDescent="0.3">
      <c r="F608"/>
      <c r="G608"/>
      <c r="J608" s="43"/>
      <c r="P608"/>
    </row>
    <row r="609" spans="6:16" ht="13" x14ac:dyDescent="0.3">
      <c r="F609"/>
      <c r="G609"/>
      <c r="J609" s="43"/>
      <c r="P609"/>
    </row>
    <row r="610" spans="6:16" ht="13" x14ac:dyDescent="0.3">
      <c r="F610"/>
      <c r="G610"/>
      <c r="J610" s="43"/>
      <c r="P610"/>
    </row>
    <row r="611" spans="6:16" ht="13" x14ac:dyDescent="0.3">
      <c r="F611"/>
      <c r="G611"/>
      <c r="J611" s="43"/>
      <c r="P611"/>
    </row>
    <row r="612" spans="6:16" ht="13" x14ac:dyDescent="0.3">
      <c r="F612"/>
      <c r="G612"/>
      <c r="J612" s="43"/>
      <c r="P612"/>
    </row>
    <row r="613" spans="6:16" ht="13" x14ac:dyDescent="0.3">
      <c r="F613"/>
      <c r="G613"/>
      <c r="J613" s="43"/>
      <c r="P613"/>
    </row>
    <row r="614" spans="6:16" ht="13" x14ac:dyDescent="0.3">
      <c r="F614"/>
      <c r="G614"/>
      <c r="J614" s="43"/>
      <c r="P614"/>
    </row>
    <row r="615" spans="6:16" ht="13" x14ac:dyDescent="0.3">
      <c r="F615"/>
      <c r="G615"/>
      <c r="J615" s="43"/>
      <c r="P615"/>
    </row>
    <row r="616" spans="6:16" ht="13" x14ac:dyDescent="0.3">
      <c r="F616"/>
      <c r="G616"/>
      <c r="J616" s="43"/>
      <c r="P616"/>
    </row>
    <row r="617" spans="6:16" ht="13" x14ac:dyDescent="0.3">
      <c r="F617"/>
      <c r="G617"/>
      <c r="J617" s="43"/>
      <c r="P617"/>
    </row>
    <row r="618" spans="6:16" ht="13" x14ac:dyDescent="0.3">
      <c r="F618"/>
      <c r="G618"/>
      <c r="J618" s="43"/>
      <c r="P618"/>
    </row>
    <row r="619" spans="6:16" ht="13" x14ac:dyDescent="0.3">
      <c r="F619"/>
      <c r="G619"/>
      <c r="J619" s="43"/>
      <c r="P619"/>
    </row>
    <row r="620" spans="6:16" ht="13" x14ac:dyDescent="0.3">
      <c r="F620"/>
      <c r="G620"/>
      <c r="J620" s="43"/>
      <c r="P620"/>
    </row>
    <row r="621" spans="6:16" ht="13" x14ac:dyDescent="0.3">
      <c r="F621"/>
      <c r="G621"/>
      <c r="J621" s="43"/>
      <c r="P621"/>
    </row>
    <row r="622" spans="6:16" ht="13" x14ac:dyDescent="0.3">
      <c r="F622"/>
      <c r="G622"/>
      <c r="J622" s="43"/>
      <c r="P622"/>
    </row>
    <row r="623" spans="6:16" ht="13" x14ac:dyDescent="0.3">
      <c r="F623"/>
      <c r="G623"/>
      <c r="J623" s="43"/>
      <c r="P623"/>
    </row>
    <row r="624" spans="6:16" ht="13" x14ac:dyDescent="0.3">
      <c r="F624"/>
      <c r="G624"/>
      <c r="J624" s="43"/>
      <c r="P624"/>
    </row>
    <row r="625" spans="6:16" ht="13" x14ac:dyDescent="0.3">
      <c r="F625"/>
      <c r="G625"/>
      <c r="J625" s="43"/>
      <c r="P625"/>
    </row>
    <row r="626" spans="6:16" ht="13" x14ac:dyDescent="0.3">
      <c r="F626"/>
      <c r="G626"/>
      <c r="J626" s="43"/>
      <c r="P626"/>
    </row>
    <row r="627" spans="6:16" ht="13" x14ac:dyDescent="0.3">
      <c r="F627"/>
      <c r="G627"/>
      <c r="J627" s="43"/>
      <c r="P627"/>
    </row>
    <row r="628" spans="6:16" ht="13" x14ac:dyDescent="0.3">
      <c r="F628"/>
      <c r="G628"/>
      <c r="J628" s="43"/>
      <c r="P628"/>
    </row>
    <row r="629" spans="6:16" ht="13" x14ac:dyDescent="0.3">
      <c r="F629"/>
      <c r="G629"/>
      <c r="J629" s="43"/>
      <c r="P629"/>
    </row>
    <row r="630" spans="6:16" ht="13" x14ac:dyDescent="0.3">
      <c r="F630"/>
      <c r="G630"/>
      <c r="J630" s="43"/>
      <c r="P630"/>
    </row>
    <row r="631" spans="6:16" ht="13" x14ac:dyDescent="0.3">
      <c r="F631"/>
      <c r="G631"/>
      <c r="J631" s="43"/>
      <c r="P631"/>
    </row>
    <row r="632" spans="6:16" ht="13" x14ac:dyDescent="0.3">
      <c r="F632"/>
      <c r="G632"/>
      <c r="J632" s="43"/>
      <c r="P632"/>
    </row>
    <row r="633" spans="6:16" ht="13" x14ac:dyDescent="0.3">
      <c r="F633"/>
      <c r="G633"/>
      <c r="J633" s="43"/>
      <c r="P633"/>
    </row>
    <row r="634" spans="6:16" ht="13" x14ac:dyDescent="0.3">
      <c r="F634"/>
      <c r="G634"/>
      <c r="J634" s="43"/>
      <c r="P634"/>
    </row>
    <row r="635" spans="6:16" ht="13" x14ac:dyDescent="0.3">
      <c r="F635"/>
      <c r="G635"/>
      <c r="J635" s="43"/>
      <c r="P635"/>
    </row>
    <row r="636" spans="6:16" ht="13" x14ac:dyDescent="0.3">
      <c r="F636"/>
      <c r="G636"/>
      <c r="J636" s="43"/>
      <c r="P636"/>
    </row>
    <row r="637" spans="6:16" ht="13" x14ac:dyDescent="0.3">
      <c r="F637"/>
      <c r="G637"/>
      <c r="J637" s="43"/>
      <c r="P637"/>
    </row>
    <row r="638" spans="6:16" ht="13" x14ac:dyDescent="0.3">
      <c r="F638"/>
      <c r="G638"/>
      <c r="J638" s="43"/>
      <c r="P638"/>
    </row>
    <row r="639" spans="6:16" ht="13" x14ac:dyDescent="0.3">
      <c r="F639"/>
      <c r="G639"/>
      <c r="J639" s="43"/>
      <c r="P639"/>
    </row>
    <row r="640" spans="6:16" ht="13" x14ac:dyDescent="0.3">
      <c r="F640"/>
      <c r="G640"/>
      <c r="J640" s="43"/>
      <c r="P640"/>
    </row>
    <row r="641" spans="6:16" ht="13" x14ac:dyDescent="0.3">
      <c r="F641"/>
      <c r="G641"/>
      <c r="J641" s="43"/>
      <c r="P641"/>
    </row>
    <row r="642" spans="6:16" ht="13" x14ac:dyDescent="0.3">
      <c r="F642"/>
      <c r="G642"/>
      <c r="J642" s="43"/>
      <c r="P642"/>
    </row>
    <row r="643" spans="6:16" ht="13" x14ac:dyDescent="0.3">
      <c r="F643"/>
      <c r="G643"/>
      <c r="J643" s="43"/>
      <c r="P643"/>
    </row>
    <row r="644" spans="6:16" ht="13" x14ac:dyDescent="0.3">
      <c r="F644"/>
      <c r="G644"/>
      <c r="J644" s="43"/>
      <c r="P644"/>
    </row>
    <row r="645" spans="6:16" ht="13" x14ac:dyDescent="0.3">
      <c r="F645"/>
      <c r="G645"/>
      <c r="J645" s="43"/>
      <c r="P645"/>
    </row>
    <row r="646" spans="6:16" ht="13" x14ac:dyDescent="0.3">
      <c r="F646"/>
      <c r="G646"/>
      <c r="J646" s="43"/>
      <c r="P646"/>
    </row>
    <row r="647" spans="6:16" ht="13" x14ac:dyDescent="0.3">
      <c r="F647"/>
      <c r="G647"/>
      <c r="J647" s="43"/>
      <c r="P647"/>
    </row>
    <row r="648" spans="6:16" ht="13" x14ac:dyDescent="0.3">
      <c r="F648"/>
      <c r="G648"/>
      <c r="J648" s="43"/>
      <c r="P648"/>
    </row>
    <row r="649" spans="6:16" ht="13" x14ac:dyDescent="0.3">
      <c r="F649"/>
      <c r="G649"/>
      <c r="J649" s="43"/>
      <c r="P649"/>
    </row>
    <row r="650" spans="6:16" ht="13" x14ac:dyDescent="0.3">
      <c r="F650"/>
      <c r="G650"/>
      <c r="J650" s="43"/>
      <c r="P650"/>
    </row>
    <row r="651" spans="6:16" ht="13" x14ac:dyDescent="0.3">
      <c r="F651"/>
      <c r="G651"/>
      <c r="J651" s="43"/>
      <c r="P651"/>
    </row>
    <row r="652" spans="6:16" ht="13" x14ac:dyDescent="0.3">
      <c r="F652"/>
      <c r="G652"/>
      <c r="J652" s="43"/>
      <c r="P652"/>
    </row>
    <row r="653" spans="6:16" ht="13" x14ac:dyDescent="0.3">
      <c r="F653"/>
      <c r="G653"/>
      <c r="J653" s="43"/>
      <c r="P653"/>
    </row>
    <row r="654" spans="6:16" ht="13" x14ac:dyDescent="0.3">
      <c r="F654"/>
      <c r="G654"/>
      <c r="J654" s="43"/>
      <c r="P654"/>
    </row>
    <row r="655" spans="6:16" ht="13" x14ac:dyDescent="0.3">
      <c r="F655"/>
      <c r="G655"/>
      <c r="J655" s="43"/>
      <c r="P655"/>
    </row>
    <row r="656" spans="6:16" ht="13" x14ac:dyDescent="0.3">
      <c r="F656"/>
      <c r="G656"/>
      <c r="J656" s="43"/>
      <c r="P656"/>
    </row>
    <row r="657" spans="6:16" ht="13" x14ac:dyDescent="0.3">
      <c r="F657"/>
      <c r="G657"/>
      <c r="J657" s="43"/>
      <c r="P657"/>
    </row>
    <row r="658" spans="6:16" ht="13" x14ac:dyDescent="0.3">
      <c r="F658"/>
      <c r="G658"/>
      <c r="J658" s="43"/>
      <c r="P658"/>
    </row>
    <row r="659" spans="6:16" ht="13" x14ac:dyDescent="0.3">
      <c r="F659"/>
      <c r="G659"/>
      <c r="J659" s="43"/>
      <c r="P659"/>
    </row>
    <row r="660" spans="6:16" ht="13" x14ac:dyDescent="0.3">
      <c r="F660"/>
      <c r="G660"/>
      <c r="J660" s="43"/>
      <c r="P660"/>
    </row>
    <row r="661" spans="6:16" ht="13" x14ac:dyDescent="0.3">
      <c r="F661"/>
      <c r="G661"/>
      <c r="J661" s="43"/>
      <c r="P661"/>
    </row>
    <row r="662" spans="6:16" ht="13" x14ac:dyDescent="0.3">
      <c r="F662"/>
      <c r="G662"/>
      <c r="J662" s="43"/>
      <c r="P662"/>
    </row>
    <row r="663" spans="6:16" ht="13" x14ac:dyDescent="0.3">
      <c r="F663"/>
      <c r="G663"/>
      <c r="J663" s="43"/>
      <c r="P663"/>
    </row>
    <row r="664" spans="6:16" ht="13" x14ac:dyDescent="0.3">
      <c r="F664"/>
      <c r="G664"/>
      <c r="J664" s="43"/>
      <c r="P664"/>
    </row>
    <row r="665" spans="6:16" ht="13" x14ac:dyDescent="0.3">
      <c r="F665"/>
      <c r="G665"/>
      <c r="J665" s="43"/>
      <c r="P665"/>
    </row>
    <row r="666" spans="6:16" ht="13" x14ac:dyDescent="0.3">
      <c r="F666"/>
      <c r="G666"/>
      <c r="J666" s="43"/>
      <c r="P666"/>
    </row>
    <row r="667" spans="6:16" ht="13" x14ac:dyDescent="0.3">
      <c r="F667"/>
      <c r="G667"/>
      <c r="J667" s="43"/>
      <c r="P667"/>
    </row>
    <row r="668" spans="6:16" ht="13" x14ac:dyDescent="0.3">
      <c r="F668"/>
      <c r="G668"/>
      <c r="J668" s="43"/>
      <c r="P668"/>
    </row>
    <row r="669" spans="6:16" ht="13" x14ac:dyDescent="0.3">
      <c r="F669"/>
      <c r="G669"/>
      <c r="J669" s="43"/>
      <c r="P669"/>
    </row>
    <row r="670" spans="6:16" x14ac:dyDescent="0.25">
      <c r="F670"/>
      <c r="G670"/>
      <c r="P670"/>
    </row>
    <row r="671" spans="6:16" x14ac:dyDescent="0.25">
      <c r="F671"/>
      <c r="G671"/>
      <c r="P671"/>
    </row>
    <row r="672" spans="6:16" x14ac:dyDescent="0.25">
      <c r="F672"/>
      <c r="G672"/>
      <c r="P672"/>
    </row>
    <row r="673" spans="6:16" x14ac:dyDescent="0.25">
      <c r="F673"/>
      <c r="G673"/>
      <c r="P673"/>
    </row>
    <row r="674" spans="6:16" x14ac:dyDescent="0.25">
      <c r="F674"/>
      <c r="G674"/>
      <c r="P674"/>
    </row>
    <row r="675" spans="6:16" x14ac:dyDescent="0.25">
      <c r="F675"/>
      <c r="G675"/>
      <c r="P675"/>
    </row>
    <row r="676" spans="6:16" x14ac:dyDescent="0.25">
      <c r="F676"/>
      <c r="G676"/>
      <c r="P676"/>
    </row>
    <row r="677" spans="6:16" x14ac:dyDescent="0.25">
      <c r="F677"/>
      <c r="G677"/>
      <c r="P677"/>
    </row>
    <row r="678" spans="6:16" x14ac:dyDescent="0.25">
      <c r="F678"/>
      <c r="G678"/>
      <c r="P678"/>
    </row>
    <row r="679" spans="6:16" x14ac:dyDescent="0.25">
      <c r="F679"/>
      <c r="G679"/>
      <c r="P679"/>
    </row>
    <row r="680" spans="6:16" x14ac:dyDescent="0.25">
      <c r="F680"/>
      <c r="G680"/>
      <c r="P680"/>
    </row>
    <row r="681" spans="6:16" x14ac:dyDescent="0.25">
      <c r="F681"/>
      <c r="G681"/>
      <c r="P681"/>
    </row>
    <row r="682" spans="6:16" x14ac:dyDescent="0.25">
      <c r="F682"/>
      <c r="G682"/>
      <c r="P682"/>
    </row>
    <row r="683" spans="6:16" x14ac:dyDescent="0.25">
      <c r="F683"/>
      <c r="G683"/>
      <c r="P683"/>
    </row>
    <row r="684" spans="6:16" x14ac:dyDescent="0.25">
      <c r="F684"/>
      <c r="G684"/>
      <c r="P684"/>
    </row>
    <row r="685" spans="6:16" x14ac:dyDescent="0.25">
      <c r="F685"/>
      <c r="G685"/>
      <c r="P685"/>
    </row>
    <row r="686" spans="6:16" x14ac:dyDescent="0.25">
      <c r="F686"/>
      <c r="G686"/>
      <c r="P686"/>
    </row>
    <row r="687" spans="6:16" x14ac:dyDescent="0.25">
      <c r="F687"/>
      <c r="G687"/>
      <c r="P687"/>
    </row>
    <row r="688" spans="6:16" x14ac:dyDescent="0.25">
      <c r="F688"/>
      <c r="G688"/>
      <c r="P688"/>
    </row>
    <row r="689" spans="6:16" x14ac:dyDescent="0.25">
      <c r="F689"/>
      <c r="G689"/>
      <c r="P689"/>
    </row>
    <row r="690" spans="6:16" x14ac:dyDescent="0.25">
      <c r="F690"/>
      <c r="G690"/>
      <c r="P690"/>
    </row>
    <row r="691" spans="6:16" x14ac:dyDescent="0.25">
      <c r="F691"/>
      <c r="G691"/>
      <c r="P691"/>
    </row>
    <row r="692" spans="6:16" x14ac:dyDescent="0.25">
      <c r="F692"/>
      <c r="G692"/>
      <c r="P692"/>
    </row>
    <row r="693" spans="6:16" x14ac:dyDescent="0.25">
      <c r="F693"/>
      <c r="G693"/>
      <c r="P693"/>
    </row>
    <row r="694" spans="6:16" x14ac:dyDescent="0.25">
      <c r="F694"/>
      <c r="G694"/>
      <c r="P694"/>
    </row>
    <row r="695" spans="6:16" x14ac:dyDescent="0.25">
      <c r="F695"/>
      <c r="G695"/>
      <c r="P695"/>
    </row>
    <row r="696" spans="6:16" x14ac:dyDescent="0.25">
      <c r="F696"/>
      <c r="G696"/>
      <c r="P696"/>
    </row>
    <row r="697" spans="6:16" x14ac:dyDescent="0.25">
      <c r="F697"/>
      <c r="G697"/>
      <c r="P697"/>
    </row>
    <row r="698" spans="6:16" x14ac:dyDescent="0.25">
      <c r="F698"/>
      <c r="G698"/>
      <c r="P698"/>
    </row>
    <row r="699" spans="6:16" x14ac:dyDescent="0.25">
      <c r="F699"/>
      <c r="G699"/>
      <c r="P699"/>
    </row>
    <row r="700" spans="6:16" x14ac:dyDescent="0.25">
      <c r="F700"/>
      <c r="G700"/>
      <c r="P700"/>
    </row>
    <row r="701" spans="6:16" x14ac:dyDescent="0.25">
      <c r="F701"/>
      <c r="G701"/>
      <c r="P701"/>
    </row>
    <row r="702" spans="6:16" x14ac:dyDescent="0.25">
      <c r="F702"/>
      <c r="G702"/>
      <c r="P702"/>
    </row>
    <row r="703" spans="6:16" x14ac:dyDescent="0.25">
      <c r="F703"/>
      <c r="G703"/>
      <c r="P703"/>
    </row>
    <row r="704" spans="6:16" x14ac:dyDescent="0.25">
      <c r="F704"/>
      <c r="G704"/>
      <c r="P704"/>
    </row>
    <row r="705" spans="6:16" x14ac:dyDescent="0.25">
      <c r="F705"/>
      <c r="G705"/>
      <c r="P705"/>
    </row>
    <row r="706" spans="6:16" x14ac:dyDescent="0.25">
      <c r="F706"/>
      <c r="G706"/>
      <c r="P706"/>
    </row>
    <row r="707" spans="6:16" x14ac:dyDescent="0.25">
      <c r="F707"/>
      <c r="G707"/>
      <c r="P707"/>
    </row>
    <row r="708" spans="6:16" x14ac:dyDescent="0.25">
      <c r="F708"/>
      <c r="G708"/>
      <c r="P708"/>
    </row>
    <row r="709" spans="6:16" x14ac:dyDescent="0.25">
      <c r="F709"/>
      <c r="G709"/>
      <c r="P709"/>
    </row>
    <row r="710" spans="6:16" x14ac:dyDescent="0.25">
      <c r="F710"/>
      <c r="G710"/>
      <c r="P710"/>
    </row>
    <row r="711" spans="6:16" x14ac:dyDescent="0.25">
      <c r="F711"/>
      <c r="G711"/>
      <c r="P711"/>
    </row>
    <row r="712" spans="6:16" x14ac:dyDescent="0.25">
      <c r="F712"/>
      <c r="G712"/>
      <c r="P712"/>
    </row>
    <row r="713" spans="6:16" x14ac:dyDescent="0.25">
      <c r="F713"/>
      <c r="G713"/>
      <c r="P713"/>
    </row>
    <row r="714" spans="6:16" x14ac:dyDescent="0.25">
      <c r="F714"/>
      <c r="G714"/>
      <c r="P714"/>
    </row>
    <row r="715" spans="6:16" x14ac:dyDescent="0.25">
      <c r="F715"/>
      <c r="G715"/>
      <c r="P715"/>
    </row>
    <row r="716" spans="6:16" x14ac:dyDescent="0.25">
      <c r="F716"/>
      <c r="G716"/>
      <c r="P716"/>
    </row>
    <row r="717" spans="6:16" x14ac:dyDescent="0.25">
      <c r="F717"/>
      <c r="G717"/>
      <c r="P717"/>
    </row>
    <row r="718" spans="6:16" x14ac:dyDescent="0.25">
      <c r="F718"/>
      <c r="G718"/>
      <c r="P718"/>
    </row>
    <row r="719" spans="6:16" x14ac:dyDescent="0.25">
      <c r="F719"/>
      <c r="G719"/>
      <c r="P719"/>
    </row>
    <row r="720" spans="6:16" x14ac:dyDescent="0.25">
      <c r="F720"/>
      <c r="G720"/>
      <c r="P720"/>
    </row>
    <row r="721" spans="6:16" x14ac:dyDescent="0.25">
      <c r="F721"/>
      <c r="G721"/>
      <c r="P721"/>
    </row>
    <row r="722" spans="6:16" x14ac:dyDescent="0.25">
      <c r="F722"/>
      <c r="G722"/>
      <c r="P722"/>
    </row>
    <row r="723" spans="6:16" x14ac:dyDescent="0.25">
      <c r="F723"/>
      <c r="G723"/>
      <c r="P723"/>
    </row>
    <row r="724" spans="6:16" x14ac:dyDescent="0.25">
      <c r="F724"/>
      <c r="G724"/>
      <c r="P724"/>
    </row>
    <row r="725" spans="6:16" x14ac:dyDescent="0.25">
      <c r="F725"/>
      <c r="G725"/>
      <c r="P725"/>
    </row>
    <row r="726" spans="6:16" x14ac:dyDescent="0.25">
      <c r="F726"/>
      <c r="G726"/>
      <c r="P726"/>
    </row>
    <row r="727" spans="6:16" x14ac:dyDescent="0.25">
      <c r="F727"/>
      <c r="G727"/>
      <c r="P727"/>
    </row>
    <row r="728" spans="6:16" x14ac:dyDescent="0.25">
      <c r="F728"/>
      <c r="G728"/>
      <c r="P728"/>
    </row>
    <row r="729" spans="6:16" x14ac:dyDescent="0.25">
      <c r="F729"/>
      <c r="G729"/>
      <c r="P729"/>
    </row>
    <row r="730" spans="6:16" x14ac:dyDescent="0.25">
      <c r="F730"/>
      <c r="G730"/>
      <c r="P730"/>
    </row>
    <row r="731" spans="6:16" x14ac:dyDescent="0.25">
      <c r="F731"/>
      <c r="G731"/>
      <c r="P731"/>
    </row>
    <row r="732" spans="6:16" x14ac:dyDescent="0.25">
      <c r="F732"/>
      <c r="G732"/>
      <c r="P732"/>
    </row>
    <row r="733" spans="6:16" x14ac:dyDescent="0.25">
      <c r="F733"/>
      <c r="G733"/>
      <c r="P733"/>
    </row>
    <row r="734" spans="6:16" x14ac:dyDescent="0.25">
      <c r="F734"/>
      <c r="G734"/>
      <c r="P734"/>
    </row>
    <row r="735" spans="6:16" x14ac:dyDescent="0.25">
      <c r="F735"/>
      <c r="G735"/>
      <c r="P735"/>
    </row>
    <row r="736" spans="6:16" x14ac:dyDescent="0.25">
      <c r="F736"/>
      <c r="G736"/>
      <c r="P736"/>
    </row>
    <row r="737" spans="6:16" x14ac:dyDescent="0.25">
      <c r="F737"/>
      <c r="G737"/>
      <c r="P737"/>
    </row>
    <row r="738" spans="6:16" x14ac:dyDescent="0.25">
      <c r="F738"/>
      <c r="G738"/>
      <c r="P738"/>
    </row>
    <row r="739" spans="6:16" x14ac:dyDescent="0.25">
      <c r="F739"/>
      <c r="G739"/>
      <c r="P739"/>
    </row>
    <row r="740" spans="6:16" x14ac:dyDescent="0.25">
      <c r="F740"/>
      <c r="G740"/>
      <c r="P740"/>
    </row>
    <row r="741" spans="6:16" x14ac:dyDescent="0.25">
      <c r="F741"/>
      <c r="G741"/>
      <c r="P741"/>
    </row>
    <row r="742" spans="6:16" x14ac:dyDescent="0.25">
      <c r="F742"/>
      <c r="G742"/>
      <c r="P742"/>
    </row>
    <row r="743" spans="6:16" x14ac:dyDescent="0.25">
      <c r="F743"/>
      <c r="G743"/>
      <c r="P743"/>
    </row>
    <row r="744" spans="6:16" x14ac:dyDescent="0.25">
      <c r="F744"/>
      <c r="G744"/>
      <c r="P744"/>
    </row>
    <row r="745" spans="6:16" x14ac:dyDescent="0.25">
      <c r="F745"/>
      <c r="G745"/>
      <c r="P745"/>
    </row>
    <row r="746" spans="6:16" x14ac:dyDescent="0.25">
      <c r="F746"/>
      <c r="G746"/>
      <c r="P746"/>
    </row>
    <row r="747" spans="6:16" x14ac:dyDescent="0.25">
      <c r="F747"/>
      <c r="G747"/>
      <c r="P747"/>
    </row>
    <row r="748" spans="6:16" x14ac:dyDescent="0.25">
      <c r="F748"/>
      <c r="G748"/>
      <c r="P748"/>
    </row>
    <row r="749" spans="6:16" x14ac:dyDescent="0.25">
      <c r="F749"/>
      <c r="G749"/>
      <c r="P749"/>
    </row>
    <row r="750" spans="6:16" x14ac:dyDescent="0.25">
      <c r="F750"/>
      <c r="G750"/>
      <c r="P750"/>
    </row>
    <row r="751" spans="6:16" x14ac:dyDescent="0.25">
      <c r="F751"/>
      <c r="G751"/>
      <c r="P751"/>
    </row>
    <row r="752" spans="6:16" x14ac:dyDescent="0.25">
      <c r="F752"/>
      <c r="G752"/>
      <c r="P752"/>
    </row>
    <row r="753" spans="6:16" x14ac:dyDescent="0.25">
      <c r="F753"/>
      <c r="G753"/>
      <c r="P753"/>
    </row>
    <row r="754" spans="6:16" x14ac:dyDescent="0.25">
      <c r="F754"/>
      <c r="G754"/>
      <c r="P754"/>
    </row>
    <row r="755" spans="6:16" x14ac:dyDescent="0.25">
      <c r="F755"/>
      <c r="G755"/>
      <c r="P755"/>
    </row>
    <row r="756" spans="6:16" x14ac:dyDescent="0.25">
      <c r="F756"/>
      <c r="G756"/>
      <c r="P756"/>
    </row>
    <row r="757" spans="6:16" x14ac:dyDescent="0.25">
      <c r="F757"/>
      <c r="G757"/>
      <c r="P757"/>
    </row>
    <row r="758" spans="6:16" x14ac:dyDescent="0.25">
      <c r="F758"/>
      <c r="G758"/>
      <c r="P758"/>
    </row>
    <row r="759" spans="6:16" x14ac:dyDescent="0.25">
      <c r="F759"/>
      <c r="G759"/>
      <c r="P759"/>
    </row>
    <row r="760" spans="6:16" x14ac:dyDescent="0.25">
      <c r="F760"/>
      <c r="G760"/>
      <c r="P760"/>
    </row>
    <row r="761" spans="6:16" x14ac:dyDescent="0.25">
      <c r="F761"/>
      <c r="G761"/>
      <c r="P761"/>
    </row>
    <row r="762" spans="6:16" x14ac:dyDescent="0.25">
      <c r="F762"/>
      <c r="G762"/>
      <c r="P762"/>
    </row>
    <row r="763" spans="6:16" x14ac:dyDescent="0.25">
      <c r="F763"/>
      <c r="G763"/>
      <c r="P763"/>
    </row>
    <row r="764" spans="6:16" x14ac:dyDescent="0.25">
      <c r="F764"/>
      <c r="G764"/>
      <c r="P764"/>
    </row>
    <row r="765" spans="6:16" x14ac:dyDescent="0.25">
      <c r="F765"/>
      <c r="G765"/>
      <c r="P765"/>
    </row>
    <row r="766" spans="6:16" x14ac:dyDescent="0.25">
      <c r="F766"/>
      <c r="G766"/>
      <c r="P766"/>
    </row>
    <row r="767" spans="6:16" x14ac:dyDescent="0.25">
      <c r="F767"/>
      <c r="G767"/>
      <c r="P767"/>
    </row>
    <row r="768" spans="6:16" x14ac:dyDescent="0.25">
      <c r="F768"/>
      <c r="G768"/>
      <c r="P768"/>
    </row>
    <row r="769" spans="6:16" x14ac:dyDescent="0.25">
      <c r="F769"/>
      <c r="G769"/>
      <c r="P769"/>
    </row>
    <row r="770" spans="6:16" x14ac:dyDescent="0.25">
      <c r="F770"/>
      <c r="G770"/>
      <c r="P770"/>
    </row>
    <row r="771" spans="6:16" x14ac:dyDescent="0.25">
      <c r="F771"/>
      <c r="G771"/>
      <c r="P771"/>
    </row>
    <row r="772" spans="6:16" x14ac:dyDescent="0.25">
      <c r="F772"/>
      <c r="G772"/>
      <c r="P772"/>
    </row>
    <row r="773" spans="6:16" x14ac:dyDescent="0.25">
      <c r="F773"/>
      <c r="G773"/>
      <c r="P773"/>
    </row>
    <row r="774" spans="6:16" x14ac:dyDescent="0.25">
      <c r="F774"/>
      <c r="G774"/>
      <c r="P774"/>
    </row>
    <row r="775" spans="6:16" x14ac:dyDescent="0.25">
      <c r="F775"/>
      <c r="G775"/>
      <c r="P775"/>
    </row>
    <row r="776" spans="6:16" x14ac:dyDescent="0.25">
      <c r="F776"/>
      <c r="G776"/>
      <c r="P776"/>
    </row>
    <row r="777" spans="6:16" x14ac:dyDescent="0.25">
      <c r="F777"/>
      <c r="G777"/>
      <c r="P777"/>
    </row>
    <row r="778" spans="6:16" x14ac:dyDescent="0.25">
      <c r="F778"/>
      <c r="G778"/>
      <c r="P778"/>
    </row>
    <row r="779" spans="6:16" x14ac:dyDescent="0.25">
      <c r="F779"/>
      <c r="G779"/>
      <c r="P779"/>
    </row>
    <row r="780" spans="6:16" x14ac:dyDescent="0.25">
      <c r="F780"/>
      <c r="G780"/>
      <c r="P780"/>
    </row>
    <row r="781" spans="6:16" x14ac:dyDescent="0.25">
      <c r="F781"/>
      <c r="G781"/>
      <c r="P781"/>
    </row>
    <row r="782" spans="6:16" x14ac:dyDescent="0.25">
      <c r="F782"/>
      <c r="G782"/>
      <c r="P782"/>
    </row>
    <row r="783" spans="6:16" x14ac:dyDescent="0.25">
      <c r="F783"/>
      <c r="G783"/>
      <c r="P783"/>
    </row>
    <row r="784" spans="6:16" x14ac:dyDescent="0.25">
      <c r="F784"/>
      <c r="G784"/>
      <c r="P784"/>
    </row>
    <row r="785" spans="6:16" x14ac:dyDescent="0.25">
      <c r="F785"/>
      <c r="G785"/>
      <c r="P785"/>
    </row>
    <row r="786" spans="6:16" x14ac:dyDescent="0.25">
      <c r="F786"/>
      <c r="G786"/>
      <c r="P786"/>
    </row>
    <row r="787" spans="6:16" x14ac:dyDescent="0.25">
      <c r="F787"/>
      <c r="G787"/>
      <c r="P787"/>
    </row>
    <row r="788" spans="6:16" x14ac:dyDescent="0.25">
      <c r="F788"/>
      <c r="G788"/>
      <c r="P788"/>
    </row>
    <row r="789" spans="6:16" x14ac:dyDescent="0.25">
      <c r="F789"/>
      <c r="G789"/>
      <c r="P789"/>
    </row>
    <row r="790" spans="6:16" x14ac:dyDescent="0.25">
      <c r="F790"/>
      <c r="G790"/>
      <c r="P790"/>
    </row>
    <row r="791" spans="6:16" x14ac:dyDescent="0.25">
      <c r="F791"/>
      <c r="G791"/>
      <c r="P791"/>
    </row>
    <row r="792" spans="6:16" x14ac:dyDescent="0.25">
      <c r="F792"/>
      <c r="G792"/>
      <c r="P792"/>
    </row>
    <row r="793" spans="6:16" x14ac:dyDescent="0.25">
      <c r="F793"/>
      <c r="G793"/>
      <c r="P793"/>
    </row>
    <row r="794" spans="6:16" x14ac:dyDescent="0.25">
      <c r="F794"/>
      <c r="G794"/>
      <c r="P794"/>
    </row>
    <row r="795" spans="6:16" x14ac:dyDescent="0.25">
      <c r="F795"/>
      <c r="G795"/>
      <c r="P795"/>
    </row>
    <row r="796" spans="6:16" x14ac:dyDescent="0.25">
      <c r="F796"/>
      <c r="G796"/>
      <c r="P796"/>
    </row>
    <row r="797" spans="6:16" x14ac:dyDescent="0.25">
      <c r="F797"/>
      <c r="G797"/>
      <c r="P797"/>
    </row>
    <row r="798" spans="6:16" x14ac:dyDescent="0.25">
      <c r="F798"/>
      <c r="G798"/>
      <c r="P798"/>
    </row>
    <row r="799" spans="6:16" x14ac:dyDescent="0.25">
      <c r="F799"/>
      <c r="G799"/>
      <c r="P799"/>
    </row>
    <row r="800" spans="6:16" x14ac:dyDescent="0.25">
      <c r="F800"/>
      <c r="G800"/>
      <c r="P800"/>
    </row>
    <row r="801" spans="6:16" x14ac:dyDescent="0.25">
      <c r="F801"/>
      <c r="G801"/>
      <c r="P801"/>
    </row>
    <row r="802" spans="6:16" x14ac:dyDescent="0.25">
      <c r="F802"/>
      <c r="G802"/>
      <c r="P802"/>
    </row>
    <row r="803" spans="6:16" x14ac:dyDescent="0.25">
      <c r="F803"/>
      <c r="G803"/>
      <c r="P803"/>
    </row>
    <row r="804" spans="6:16" x14ac:dyDescent="0.25">
      <c r="F804"/>
      <c r="G804"/>
      <c r="P804"/>
    </row>
    <row r="805" spans="6:16" x14ac:dyDescent="0.25">
      <c r="F805"/>
      <c r="G805"/>
      <c r="P805"/>
    </row>
    <row r="806" spans="6:16" x14ac:dyDescent="0.25">
      <c r="F806"/>
      <c r="G806"/>
      <c r="P806"/>
    </row>
    <row r="807" spans="6:16" x14ac:dyDescent="0.25">
      <c r="F807"/>
      <c r="G807"/>
      <c r="P807"/>
    </row>
    <row r="808" spans="6:16" x14ac:dyDescent="0.25">
      <c r="F808"/>
      <c r="G808"/>
      <c r="P808"/>
    </row>
    <row r="809" spans="6:16" x14ac:dyDescent="0.25">
      <c r="F809"/>
      <c r="G809"/>
      <c r="P809"/>
    </row>
    <row r="810" spans="6:16" x14ac:dyDescent="0.25">
      <c r="F810"/>
      <c r="G810"/>
      <c r="P810"/>
    </row>
    <row r="811" spans="6:16" x14ac:dyDescent="0.25">
      <c r="F811"/>
      <c r="G811"/>
      <c r="P811"/>
    </row>
    <row r="812" spans="6:16" x14ac:dyDescent="0.25">
      <c r="F812"/>
      <c r="G812"/>
      <c r="P812"/>
    </row>
    <row r="813" spans="6:16" x14ac:dyDescent="0.25">
      <c r="F813"/>
      <c r="G813"/>
      <c r="P813"/>
    </row>
    <row r="814" spans="6:16" x14ac:dyDescent="0.25">
      <c r="F814"/>
      <c r="G814"/>
      <c r="P814"/>
    </row>
    <row r="815" spans="6:16" x14ac:dyDescent="0.25">
      <c r="F815"/>
      <c r="G815"/>
      <c r="P815"/>
    </row>
    <row r="816" spans="6:16" x14ac:dyDescent="0.25">
      <c r="F816"/>
      <c r="G816"/>
      <c r="P816"/>
    </row>
    <row r="817" spans="6:16" x14ac:dyDescent="0.25">
      <c r="F817"/>
      <c r="G817"/>
      <c r="P817"/>
    </row>
    <row r="818" spans="6:16" x14ac:dyDescent="0.25">
      <c r="F818"/>
      <c r="G818"/>
      <c r="P818"/>
    </row>
    <row r="819" spans="6:16" x14ac:dyDescent="0.25">
      <c r="F819"/>
      <c r="G819"/>
      <c r="P819"/>
    </row>
    <row r="820" spans="6:16" x14ac:dyDescent="0.25">
      <c r="F820"/>
      <c r="G820"/>
      <c r="P820"/>
    </row>
    <row r="821" spans="6:16" x14ac:dyDescent="0.25">
      <c r="F821"/>
      <c r="G821"/>
      <c r="P821"/>
    </row>
    <row r="822" spans="6:16" x14ac:dyDescent="0.25">
      <c r="F822"/>
      <c r="G822"/>
      <c r="P822"/>
    </row>
    <row r="823" spans="6:16" x14ac:dyDescent="0.25">
      <c r="F823"/>
      <c r="G823"/>
      <c r="P823"/>
    </row>
    <row r="824" spans="6:16" x14ac:dyDescent="0.25">
      <c r="F824"/>
      <c r="G824"/>
      <c r="P824"/>
    </row>
    <row r="825" spans="6:16" x14ac:dyDescent="0.25">
      <c r="F825"/>
      <c r="G825"/>
      <c r="P825"/>
    </row>
    <row r="826" spans="6:16" x14ac:dyDescent="0.25">
      <c r="F826"/>
      <c r="G826"/>
      <c r="P826"/>
    </row>
    <row r="827" spans="6:16" x14ac:dyDescent="0.25">
      <c r="F827"/>
      <c r="G827"/>
      <c r="P827"/>
    </row>
    <row r="828" spans="6:16" x14ac:dyDescent="0.25">
      <c r="F828"/>
      <c r="G828"/>
      <c r="P828"/>
    </row>
    <row r="829" spans="6:16" x14ac:dyDescent="0.25">
      <c r="F829"/>
      <c r="G829"/>
      <c r="P829"/>
    </row>
    <row r="830" spans="6:16" x14ac:dyDescent="0.25">
      <c r="F830"/>
      <c r="G830"/>
      <c r="P830"/>
    </row>
    <row r="831" spans="6:16" x14ac:dyDescent="0.25">
      <c r="F831"/>
      <c r="G831"/>
      <c r="P831"/>
    </row>
    <row r="832" spans="6:16" x14ac:dyDescent="0.25">
      <c r="F832"/>
      <c r="G832"/>
      <c r="P832"/>
    </row>
    <row r="833" spans="6:16" x14ac:dyDescent="0.25">
      <c r="F833"/>
      <c r="G833"/>
      <c r="P833"/>
    </row>
    <row r="834" spans="6:16" x14ac:dyDescent="0.25">
      <c r="F834"/>
      <c r="G834"/>
      <c r="P834"/>
    </row>
    <row r="835" spans="6:16" x14ac:dyDescent="0.25">
      <c r="F835"/>
      <c r="G835"/>
      <c r="P835"/>
    </row>
    <row r="836" spans="6:16" x14ac:dyDescent="0.25">
      <c r="F836"/>
      <c r="G836"/>
      <c r="P836"/>
    </row>
    <row r="837" spans="6:16" x14ac:dyDescent="0.25">
      <c r="F837"/>
      <c r="G837"/>
      <c r="P837"/>
    </row>
    <row r="838" spans="6:16" x14ac:dyDescent="0.25">
      <c r="F838"/>
      <c r="G838"/>
      <c r="P838"/>
    </row>
    <row r="839" spans="6:16" x14ac:dyDescent="0.25">
      <c r="F839"/>
      <c r="G839"/>
      <c r="P839"/>
    </row>
    <row r="840" spans="6:16" x14ac:dyDescent="0.25">
      <c r="F840"/>
      <c r="G840"/>
      <c r="P840"/>
    </row>
    <row r="841" spans="6:16" x14ac:dyDescent="0.25">
      <c r="F841"/>
      <c r="G841"/>
      <c r="P841"/>
    </row>
    <row r="842" spans="6:16" x14ac:dyDescent="0.25">
      <c r="F842"/>
      <c r="G842"/>
      <c r="P842"/>
    </row>
    <row r="843" spans="6:16" x14ac:dyDescent="0.25">
      <c r="F843"/>
      <c r="G843"/>
      <c r="P843"/>
    </row>
    <row r="844" spans="6:16" x14ac:dyDescent="0.25">
      <c r="F844"/>
      <c r="G844"/>
      <c r="P844"/>
    </row>
    <row r="845" spans="6:16" x14ac:dyDescent="0.25">
      <c r="F845"/>
      <c r="G845"/>
      <c r="P845"/>
    </row>
    <row r="846" spans="6:16" x14ac:dyDescent="0.25">
      <c r="F846"/>
      <c r="G846"/>
      <c r="P846"/>
    </row>
    <row r="847" spans="6:16" x14ac:dyDescent="0.25">
      <c r="F847"/>
      <c r="G847"/>
      <c r="P847"/>
    </row>
    <row r="848" spans="6:16" x14ac:dyDescent="0.25">
      <c r="F848"/>
      <c r="G848"/>
      <c r="P848"/>
    </row>
    <row r="849" spans="6:16" x14ac:dyDescent="0.25">
      <c r="F849"/>
      <c r="G849"/>
      <c r="P849"/>
    </row>
    <row r="850" spans="6:16" x14ac:dyDescent="0.25">
      <c r="F850"/>
      <c r="G850"/>
      <c r="P850"/>
    </row>
    <row r="851" spans="6:16" x14ac:dyDescent="0.25">
      <c r="F851"/>
      <c r="G851"/>
      <c r="P851"/>
    </row>
    <row r="852" spans="6:16" x14ac:dyDescent="0.25">
      <c r="F852"/>
      <c r="G852"/>
      <c r="P852"/>
    </row>
    <row r="853" spans="6:16" x14ac:dyDescent="0.25">
      <c r="F853"/>
      <c r="G853"/>
      <c r="P853"/>
    </row>
    <row r="854" spans="6:16" x14ac:dyDescent="0.25">
      <c r="F854"/>
      <c r="G854"/>
      <c r="P854"/>
    </row>
    <row r="855" spans="6:16" x14ac:dyDescent="0.25">
      <c r="F855"/>
      <c r="G855"/>
      <c r="P855"/>
    </row>
    <row r="856" spans="6:16" x14ac:dyDescent="0.25">
      <c r="F856"/>
      <c r="G856"/>
      <c r="P856"/>
    </row>
    <row r="857" spans="6:16" x14ac:dyDescent="0.25">
      <c r="F857"/>
      <c r="G857"/>
      <c r="P857"/>
    </row>
    <row r="858" spans="6:16" x14ac:dyDescent="0.25">
      <c r="F858"/>
      <c r="G858"/>
      <c r="P858"/>
    </row>
    <row r="859" spans="6:16" x14ac:dyDescent="0.25">
      <c r="F859"/>
      <c r="G859"/>
      <c r="P859"/>
    </row>
    <row r="860" spans="6:16" x14ac:dyDescent="0.25">
      <c r="F860"/>
      <c r="G860"/>
      <c r="P860"/>
    </row>
    <row r="861" spans="6:16" x14ac:dyDescent="0.25">
      <c r="F861"/>
      <c r="G861"/>
      <c r="P861"/>
    </row>
    <row r="862" spans="6:16" x14ac:dyDescent="0.25">
      <c r="F862"/>
      <c r="G862"/>
      <c r="P862"/>
    </row>
    <row r="863" spans="6:16" x14ac:dyDescent="0.25">
      <c r="F863"/>
      <c r="G863"/>
      <c r="P863"/>
    </row>
    <row r="864" spans="6:16" x14ac:dyDescent="0.25">
      <c r="F864"/>
      <c r="G864"/>
      <c r="P864"/>
    </row>
    <row r="865" spans="6:16" x14ac:dyDescent="0.25">
      <c r="F865"/>
      <c r="G865"/>
      <c r="P865"/>
    </row>
    <row r="866" spans="6:16" x14ac:dyDescent="0.25">
      <c r="F866"/>
      <c r="G866"/>
      <c r="P866"/>
    </row>
    <row r="867" spans="6:16" x14ac:dyDescent="0.25">
      <c r="F867"/>
      <c r="G867"/>
      <c r="P867"/>
    </row>
    <row r="868" spans="6:16" x14ac:dyDescent="0.25">
      <c r="F868"/>
      <c r="G868"/>
      <c r="P868"/>
    </row>
    <row r="869" spans="6:16" x14ac:dyDescent="0.25">
      <c r="F869"/>
      <c r="G869"/>
      <c r="P869"/>
    </row>
    <row r="870" spans="6:16" x14ac:dyDescent="0.25">
      <c r="F870"/>
      <c r="G870"/>
      <c r="P870"/>
    </row>
    <row r="871" spans="6:16" x14ac:dyDescent="0.25">
      <c r="F871"/>
      <c r="G871"/>
      <c r="P871"/>
    </row>
    <row r="872" spans="6:16" x14ac:dyDescent="0.25">
      <c r="F872"/>
      <c r="G872"/>
      <c r="P872"/>
    </row>
    <row r="873" spans="6:16" x14ac:dyDescent="0.25">
      <c r="F873"/>
      <c r="G873"/>
      <c r="P873"/>
    </row>
    <row r="874" spans="6:16" x14ac:dyDescent="0.25">
      <c r="F874"/>
      <c r="G874"/>
      <c r="P874"/>
    </row>
    <row r="875" spans="6:16" x14ac:dyDescent="0.25">
      <c r="F875"/>
      <c r="G875"/>
      <c r="P875"/>
    </row>
    <row r="876" spans="6:16" x14ac:dyDescent="0.25">
      <c r="F876"/>
      <c r="G876"/>
      <c r="P876"/>
    </row>
    <row r="877" spans="6:16" x14ac:dyDescent="0.25">
      <c r="F877"/>
      <c r="G877"/>
      <c r="P877"/>
    </row>
    <row r="878" spans="6:16" x14ac:dyDescent="0.25">
      <c r="F878"/>
      <c r="G878"/>
      <c r="P878"/>
    </row>
    <row r="879" spans="6:16" x14ac:dyDescent="0.25">
      <c r="F879"/>
      <c r="G879"/>
      <c r="P879"/>
    </row>
    <row r="880" spans="6:16" x14ac:dyDescent="0.25">
      <c r="F880"/>
      <c r="G880"/>
      <c r="P880"/>
    </row>
    <row r="881" spans="6:16" x14ac:dyDescent="0.25">
      <c r="F881"/>
      <c r="G881"/>
      <c r="P881"/>
    </row>
    <row r="882" spans="6:16" x14ac:dyDescent="0.25">
      <c r="F882"/>
      <c r="G882"/>
      <c r="P882"/>
    </row>
    <row r="883" spans="6:16" x14ac:dyDescent="0.25">
      <c r="F883"/>
      <c r="G883"/>
      <c r="P883"/>
    </row>
    <row r="884" spans="6:16" x14ac:dyDescent="0.25">
      <c r="F884"/>
      <c r="G884"/>
      <c r="P884"/>
    </row>
    <row r="885" spans="6:16" x14ac:dyDescent="0.25">
      <c r="F885"/>
      <c r="G885"/>
      <c r="P885"/>
    </row>
    <row r="886" spans="6:16" x14ac:dyDescent="0.25">
      <c r="F886"/>
      <c r="G886"/>
      <c r="P886"/>
    </row>
    <row r="887" spans="6:16" x14ac:dyDescent="0.25">
      <c r="F887"/>
      <c r="G887"/>
      <c r="P887"/>
    </row>
    <row r="888" spans="6:16" x14ac:dyDescent="0.25">
      <c r="F888"/>
      <c r="G888"/>
      <c r="P888"/>
    </row>
    <row r="889" spans="6:16" x14ac:dyDescent="0.25">
      <c r="F889"/>
      <c r="G889"/>
      <c r="P889"/>
    </row>
    <row r="890" spans="6:16" x14ac:dyDescent="0.25">
      <c r="F890"/>
      <c r="G890"/>
      <c r="P890"/>
    </row>
    <row r="891" spans="6:16" x14ac:dyDescent="0.25">
      <c r="F891"/>
      <c r="G891"/>
      <c r="P891"/>
    </row>
    <row r="892" spans="6:16" x14ac:dyDescent="0.25">
      <c r="F892"/>
      <c r="G892"/>
      <c r="P892"/>
    </row>
    <row r="893" spans="6:16" x14ac:dyDescent="0.25">
      <c r="F893"/>
      <c r="G893"/>
      <c r="P893"/>
    </row>
    <row r="894" spans="6:16" x14ac:dyDescent="0.25">
      <c r="F894"/>
      <c r="G894"/>
      <c r="P894"/>
    </row>
    <row r="895" spans="6:16" x14ac:dyDescent="0.25">
      <c r="F895"/>
      <c r="G895"/>
      <c r="P895"/>
    </row>
    <row r="896" spans="6:16" x14ac:dyDescent="0.25">
      <c r="F896"/>
      <c r="G896"/>
      <c r="P896"/>
    </row>
    <row r="897" spans="6:16" x14ac:dyDescent="0.25">
      <c r="F897"/>
      <c r="G897"/>
      <c r="P897"/>
    </row>
    <row r="898" spans="6:16" x14ac:dyDescent="0.25">
      <c r="F898"/>
      <c r="G898"/>
      <c r="P898"/>
    </row>
    <row r="899" spans="6:16" x14ac:dyDescent="0.25">
      <c r="F899"/>
      <c r="G899"/>
      <c r="P899"/>
    </row>
    <row r="900" spans="6:16" x14ac:dyDescent="0.25">
      <c r="F900"/>
      <c r="G900"/>
      <c r="P900"/>
    </row>
    <row r="901" spans="6:16" x14ac:dyDescent="0.25">
      <c r="F901"/>
      <c r="G901"/>
      <c r="P901"/>
    </row>
    <row r="902" spans="6:16" x14ac:dyDescent="0.25">
      <c r="F902"/>
      <c r="G902"/>
      <c r="P902"/>
    </row>
    <row r="903" spans="6:16" x14ac:dyDescent="0.25">
      <c r="F903"/>
      <c r="G903"/>
      <c r="P903"/>
    </row>
    <row r="904" spans="6:16" x14ac:dyDescent="0.25">
      <c r="F904"/>
      <c r="G904"/>
      <c r="P904"/>
    </row>
    <row r="905" spans="6:16" x14ac:dyDescent="0.25">
      <c r="F905"/>
      <c r="G905"/>
      <c r="P905"/>
    </row>
    <row r="906" spans="6:16" x14ac:dyDescent="0.25">
      <c r="F906"/>
      <c r="G906"/>
      <c r="P906"/>
    </row>
    <row r="907" spans="6:16" x14ac:dyDescent="0.25">
      <c r="F907"/>
      <c r="G907"/>
      <c r="P907"/>
    </row>
    <row r="908" spans="6:16" x14ac:dyDescent="0.25">
      <c r="F908"/>
      <c r="G908"/>
      <c r="P908"/>
    </row>
    <row r="909" spans="6:16" x14ac:dyDescent="0.25">
      <c r="F909"/>
      <c r="G909"/>
      <c r="P909"/>
    </row>
    <row r="910" spans="6:16" x14ac:dyDescent="0.25">
      <c r="F910"/>
      <c r="G910"/>
      <c r="P910"/>
    </row>
    <row r="911" spans="6:16" x14ac:dyDescent="0.25">
      <c r="F911"/>
      <c r="G911"/>
      <c r="P911"/>
    </row>
    <row r="912" spans="6:16" x14ac:dyDescent="0.25">
      <c r="F912"/>
      <c r="G912"/>
      <c r="P912"/>
    </row>
    <row r="913" spans="6:16" x14ac:dyDescent="0.25">
      <c r="F913"/>
      <c r="G913"/>
      <c r="P913"/>
    </row>
    <row r="914" spans="6:16" x14ac:dyDescent="0.25">
      <c r="F914"/>
      <c r="G914"/>
      <c r="P914"/>
    </row>
    <row r="915" spans="6:16" x14ac:dyDescent="0.25">
      <c r="F915"/>
      <c r="G915"/>
      <c r="P915"/>
    </row>
    <row r="916" spans="6:16" x14ac:dyDescent="0.25">
      <c r="F916"/>
      <c r="G916"/>
      <c r="P916"/>
    </row>
    <row r="917" spans="6:16" x14ac:dyDescent="0.25">
      <c r="F917"/>
      <c r="G917"/>
      <c r="P917"/>
    </row>
    <row r="918" spans="6:16" x14ac:dyDescent="0.25">
      <c r="F918"/>
      <c r="G918"/>
      <c r="P918"/>
    </row>
    <row r="919" spans="6:16" x14ac:dyDescent="0.25">
      <c r="F919"/>
      <c r="G919"/>
      <c r="P919"/>
    </row>
    <row r="920" spans="6:16" x14ac:dyDescent="0.25">
      <c r="F920"/>
      <c r="G920"/>
      <c r="P920"/>
    </row>
    <row r="921" spans="6:16" x14ac:dyDescent="0.25">
      <c r="F921"/>
      <c r="G921"/>
      <c r="P921"/>
    </row>
    <row r="922" spans="6:16" x14ac:dyDescent="0.25">
      <c r="F922"/>
      <c r="G922"/>
      <c r="P922"/>
    </row>
    <row r="923" spans="6:16" x14ac:dyDescent="0.25">
      <c r="F923"/>
      <c r="G923"/>
      <c r="P923"/>
    </row>
    <row r="924" spans="6:16" x14ac:dyDescent="0.25">
      <c r="F924"/>
      <c r="G924"/>
      <c r="P924"/>
    </row>
    <row r="925" spans="6:16" x14ac:dyDescent="0.25">
      <c r="F925"/>
      <c r="G925"/>
      <c r="P925"/>
    </row>
    <row r="926" spans="6:16" x14ac:dyDescent="0.25">
      <c r="F926"/>
      <c r="G926"/>
      <c r="P926"/>
    </row>
    <row r="927" spans="6:16" x14ac:dyDescent="0.25">
      <c r="F927"/>
      <c r="G927"/>
      <c r="P927"/>
    </row>
    <row r="928" spans="6:16" x14ac:dyDescent="0.25">
      <c r="F928"/>
      <c r="G928"/>
      <c r="P928"/>
    </row>
    <row r="929" spans="6:16" x14ac:dyDescent="0.25">
      <c r="F929"/>
      <c r="G929"/>
      <c r="P929"/>
    </row>
    <row r="930" spans="6:16" x14ac:dyDescent="0.25">
      <c r="F930"/>
      <c r="G930"/>
      <c r="P930"/>
    </row>
    <row r="931" spans="6:16" x14ac:dyDescent="0.25">
      <c r="F931"/>
      <c r="G931"/>
      <c r="P931"/>
    </row>
    <row r="932" spans="6:16" x14ac:dyDescent="0.25">
      <c r="F932"/>
      <c r="G932"/>
      <c r="P932"/>
    </row>
    <row r="933" spans="6:16" x14ac:dyDescent="0.25">
      <c r="F933"/>
      <c r="G933"/>
      <c r="P933"/>
    </row>
    <row r="934" spans="6:16" x14ac:dyDescent="0.25">
      <c r="F934"/>
      <c r="G934"/>
      <c r="P934"/>
    </row>
    <row r="935" spans="6:16" x14ac:dyDescent="0.25">
      <c r="F935"/>
      <c r="G935"/>
      <c r="P935"/>
    </row>
    <row r="936" spans="6:16" x14ac:dyDescent="0.25">
      <c r="F936"/>
      <c r="G936"/>
      <c r="P936"/>
    </row>
    <row r="937" spans="6:16" x14ac:dyDescent="0.25">
      <c r="F937"/>
      <c r="G937"/>
      <c r="P937"/>
    </row>
    <row r="938" spans="6:16" x14ac:dyDescent="0.25">
      <c r="F938"/>
      <c r="G938"/>
      <c r="P938"/>
    </row>
    <row r="939" spans="6:16" x14ac:dyDescent="0.25">
      <c r="F939"/>
      <c r="G939"/>
      <c r="P939"/>
    </row>
    <row r="940" spans="6:16" x14ac:dyDescent="0.25">
      <c r="F940"/>
      <c r="G940"/>
      <c r="P940"/>
    </row>
    <row r="941" spans="6:16" x14ac:dyDescent="0.25">
      <c r="F941"/>
      <c r="G941"/>
      <c r="P941"/>
    </row>
    <row r="942" spans="6:16" x14ac:dyDescent="0.25">
      <c r="F942"/>
      <c r="G942"/>
      <c r="P942"/>
    </row>
    <row r="943" spans="6:16" x14ac:dyDescent="0.25">
      <c r="F943"/>
      <c r="G943"/>
      <c r="P943"/>
    </row>
    <row r="944" spans="6:16" x14ac:dyDescent="0.25">
      <c r="F944"/>
      <c r="G944"/>
      <c r="P944"/>
    </row>
    <row r="945" spans="6:16" x14ac:dyDescent="0.25">
      <c r="F945"/>
      <c r="G945"/>
      <c r="P945"/>
    </row>
    <row r="946" spans="6:16" x14ac:dyDescent="0.25">
      <c r="F946"/>
      <c r="G946"/>
      <c r="P946"/>
    </row>
    <row r="947" spans="6:16" x14ac:dyDescent="0.25">
      <c r="F947"/>
      <c r="G947"/>
      <c r="P947"/>
    </row>
    <row r="948" spans="6:16" x14ac:dyDescent="0.25">
      <c r="F948"/>
      <c r="G948"/>
      <c r="P948"/>
    </row>
    <row r="949" spans="6:16" x14ac:dyDescent="0.25">
      <c r="F949"/>
      <c r="G949"/>
      <c r="P949"/>
    </row>
    <row r="950" spans="6:16" x14ac:dyDescent="0.25">
      <c r="F950"/>
      <c r="G950"/>
      <c r="P950"/>
    </row>
    <row r="951" spans="6:16" x14ac:dyDescent="0.25">
      <c r="F951"/>
      <c r="G951"/>
      <c r="P951"/>
    </row>
    <row r="952" spans="6:16" x14ac:dyDescent="0.25">
      <c r="F952"/>
      <c r="G952"/>
      <c r="P952"/>
    </row>
    <row r="953" spans="6:16" x14ac:dyDescent="0.25">
      <c r="F953"/>
      <c r="G953"/>
      <c r="P953"/>
    </row>
    <row r="954" spans="6:16" x14ac:dyDescent="0.25">
      <c r="F954"/>
      <c r="G954"/>
      <c r="P954"/>
    </row>
    <row r="955" spans="6:16" x14ac:dyDescent="0.25">
      <c r="F955"/>
      <c r="G955"/>
      <c r="P955"/>
    </row>
    <row r="956" spans="6:16" x14ac:dyDescent="0.25">
      <c r="F956"/>
      <c r="G956"/>
      <c r="P956"/>
    </row>
    <row r="957" spans="6:16" x14ac:dyDescent="0.25">
      <c r="F957"/>
      <c r="G957"/>
      <c r="P957"/>
    </row>
    <row r="958" spans="6:16" x14ac:dyDescent="0.25">
      <c r="F958"/>
      <c r="G958"/>
      <c r="P958"/>
    </row>
    <row r="959" spans="6:16" x14ac:dyDescent="0.25">
      <c r="F959"/>
      <c r="G959"/>
      <c r="P959"/>
    </row>
    <row r="960" spans="6:16" x14ac:dyDescent="0.25">
      <c r="F960"/>
      <c r="G960"/>
      <c r="P960"/>
    </row>
    <row r="961" spans="6:16" x14ac:dyDescent="0.25">
      <c r="F961"/>
      <c r="G961"/>
      <c r="P961"/>
    </row>
    <row r="962" spans="6:16" x14ac:dyDescent="0.25">
      <c r="F962"/>
      <c r="G962"/>
      <c r="P962"/>
    </row>
    <row r="963" spans="6:16" x14ac:dyDescent="0.25">
      <c r="F963"/>
      <c r="G963"/>
      <c r="P963"/>
    </row>
    <row r="964" spans="6:16" x14ac:dyDescent="0.25">
      <c r="F964"/>
      <c r="G964"/>
      <c r="P964"/>
    </row>
    <row r="965" spans="6:16" x14ac:dyDescent="0.25">
      <c r="F965"/>
      <c r="G965"/>
      <c r="P965"/>
    </row>
    <row r="966" spans="6:16" x14ac:dyDescent="0.25">
      <c r="F966"/>
      <c r="G966"/>
      <c r="P966"/>
    </row>
    <row r="967" spans="6:16" x14ac:dyDescent="0.25">
      <c r="F967"/>
      <c r="G967"/>
      <c r="P967"/>
    </row>
    <row r="968" spans="6:16" x14ac:dyDescent="0.25">
      <c r="F968"/>
      <c r="G968"/>
      <c r="P968"/>
    </row>
    <row r="969" spans="6:16" x14ac:dyDescent="0.25">
      <c r="F969"/>
      <c r="G969"/>
      <c r="P969"/>
    </row>
    <row r="970" spans="6:16" x14ac:dyDescent="0.25">
      <c r="F970"/>
      <c r="G970"/>
      <c r="P970"/>
    </row>
    <row r="971" spans="6:16" x14ac:dyDescent="0.25">
      <c r="F971"/>
      <c r="G971"/>
      <c r="P971"/>
    </row>
    <row r="972" spans="6:16" x14ac:dyDescent="0.25">
      <c r="F972"/>
      <c r="G972"/>
      <c r="P972"/>
    </row>
    <row r="973" spans="6:16" x14ac:dyDescent="0.25">
      <c r="F973"/>
      <c r="G973"/>
      <c r="P973"/>
    </row>
    <row r="974" spans="6:16" x14ac:dyDescent="0.25">
      <c r="F974"/>
      <c r="G974"/>
      <c r="P974"/>
    </row>
    <row r="975" spans="6:16" x14ac:dyDescent="0.25">
      <c r="F975"/>
      <c r="G975"/>
      <c r="P975"/>
    </row>
    <row r="976" spans="6:16" x14ac:dyDescent="0.25">
      <c r="F976"/>
      <c r="G976"/>
      <c r="P976"/>
    </row>
    <row r="977" spans="6:16" x14ac:dyDescent="0.25">
      <c r="F977"/>
      <c r="G977"/>
      <c r="P977"/>
    </row>
    <row r="978" spans="6:16" x14ac:dyDescent="0.25">
      <c r="F978"/>
      <c r="G978"/>
      <c r="P978"/>
    </row>
    <row r="979" spans="6:16" x14ac:dyDescent="0.25">
      <c r="F979"/>
      <c r="G979"/>
      <c r="P979"/>
    </row>
    <row r="980" spans="6:16" x14ac:dyDescent="0.25">
      <c r="F980"/>
      <c r="G980"/>
      <c r="P980"/>
    </row>
    <row r="981" spans="6:16" x14ac:dyDescent="0.25">
      <c r="F981"/>
      <c r="G981"/>
      <c r="P981"/>
    </row>
    <row r="982" spans="6:16" x14ac:dyDescent="0.25">
      <c r="F982"/>
      <c r="G982"/>
      <c r="P982"/>
    </row>
    <row r="983" spans="6:16" x14ac:dyDescent="0.25">
      <c r="F983"/>
      <c r="G983"/>
      <c r="P983"/>
    </row>
    <row r="984" spans="6:16" x14ac:dyDescent="0.25">
      <c r="F984"/>
      <c r="G984"/>
      <c r="P984"/>
    </row>
    <row r="985" spans="6:16" x14ac:dyDescent="0.25">
      <c r="F985"/>
      <c r="G985"/>
      <c r="P985"/>
    </row>
    <row r="986" spans="6:16" x14ac:dyDescent="0.25">
      <c r="F986"/>
      <c r="G986"/>
      <c r="P986"/>
    </row>
    <row r="987" spans="6:16" x14ac:dyDescent="0.25">
      <c r="F987"/>
      <c r="G987"/>
      <c r="P987"/>
    </row>
    <row r="988" spans="6:16" x14ac:dyDescent="0.25">
      <c r="F988"/>
      <c r="G988"/>
      <c r="P988"/>
    </row>
    <row r="989" spans="6:16" x14ac:dyDescent="0.25">
      <c r="F989"/>
      <c r="G989"/>
      <c r="P989"/>
    </row>
    <row r="990" spans="6:16" x14ac:dyDescent="0.25">
      <c r="F990"/>
      <c r="G990"/>
      <c r="P990"/>
    </row>
    <row r="991" spans="6:16" x14ac:dyDescent="0.25">
      <c r="F991"/>
      <c r="G991"/>
      <c r="P991"/>
    </row>
    <row r="992" spans="6:16" x14ac:dyDescent="0.25">
      <c r="F992"/>
      <c r="G992"/>
      <c r="P992"/>
    </row>
    <row r="993" spans="6:16" x14ac:dyDescent="0.25">
      <c r="F993"/>
      <c r="G993"/>
      <c r="P993"/>
    </row>
    <row r="994" spans="6:16" x14ac:dyDescent="0.25">
      <c r="F994"/>
      <c r="G994"/>
      <c r="P994"/>
    </row>
    <row r="995" spans="6:16" x14ac:dyDescent="0.25">
      <c r="F995"/>
      <c r="G995"/>
      <c r="P995"/>
    </row>
    <row r="996" spans="6:16" x14ac:dyDescent="0.25">
      <c r="F996"/>
      <c r="G996"/>
      <c r="P996"/>
    </row>
    <row r="997" spans="6:16" x14ac:dyDescent="0.25">
      <c r="F997"/>
      <c r="G997"/>
      <c r="P997"/>
    </row>
    <row r="998" spans="6:16" x14ac:dyDescent="0.25">
      <c r="F998"/>
      <c r="G998"/>
      <c r="P998"/>
    </row>
    <row r="999" spans="6:16" x14ac:dyDescent="0.25">
      <c r="F999"/>
      <c r="G999"/>
      <c r="P999"/>
    </row>
    <row r="1000" spans="6:16" x14ac:dyDescent="0.25">
      <c r="F1000"/>
      <c r="G1000"/>
      <c r="P1000"/>
    </row>
    <row r="1001" spans="6:16" x14ac:dyDescent="0.25">
      <c r="F1001"/>
      <c r="G1001"/>
      <c r="P1001"/>
    </row>
    <row r="1002" spans="6:16" x14ac:dyDescent="0.25">
      <c r="F1002"/>
      <c r="G1002"/>
      <c r="P1002"/>
    </row>
    <row r="1003" spans="6:16" x14ac:dyDescent="0.25">
      <c r="F1003"/>
      <c r="G1003"/>
      <c r="P1003"/>
    </row>
    <row r="1004" spans="6:16" x14ac:dyDescent="0.25">
      <c r="F1004"/>
      <c r="G1004"/>
      <c r="P1004"/>
    </row>
    <row r="1005" spans="6:16" x14ac:dyDescent="0.25">
      <c r="F1005"/>
      <c r="G1005"/>
      <c r="P1005"/>
    </row>
    <row r="1006" spans="6:16" x14ac:dyDescent="0.25">
      <c r="F1006"/>
      <c r="G1006"/>
      <c r="P1006"/>
    </row>
    <row r="1007" spans="6:16" x14ac:dyDescent="0.25">
      <c r="F1007"/>
      <c r="G1007"/>
      <c r="P1007"/>
    </row>
    <row r="1008" spans="6:16" x14ac:dyDescent="0.25">
      <c r="F1008"/>
      <c r="G1008"/>
      <c r="P1008"/>
    </row>
    <row r="1009" spans="6:16" x14ac:dyDescent="0.25">
      <c r="F1009"/>
      <c r="G1009"/>
      <c r="P1009"/>
    </row>
    <row r="1010" spans="6:16" x14ac:dyDescent="0.25">
      <c r="F1010"/>
      <c r="G1010"/>
      <c r="P1010"/>
    </row>
    <row r="1011" spans="6:16" x14ac:dyDescent="0.25">
      <c r="F1011"/>
      <c r="G1011"/>
      <c r="P1011"/>
    </row>
    <row r="1012" spans="6:16" x14ac:dyDescent="0.25">
      <c r="F1012"/>
      <c r="G1012"/>
      <c r="P1012"/>
    </row>
    <row r="1013" spans="6:16" x14ac:dyDescent="0.25">
      <c r="F1013"/>
      <c r="G1013"/>
      <c r="P1013"/>
    </row>
    <row r="1014" spans="6:16" x14ac:dyDescent="0.25">
      <c r="F1014"/>
      <c r="G1014"/>
      <c r="P1014"/>
    </row>
    <row r="1015" spans="6:16" x14ac:dyDescent="0.25">
      <c r="F1015"/>
      <c r="G1015"/>
      <c r="P1015"/>
    </row>
    <row r="1016" spans="6:16" x14ac:dyDescent="0.25">
      <c r="F1016"/>
      <c r="G1016"/>
      <c r="P1016"/>
    </row>
    <row r="1017" spans="6:16" x14ac:dyDescent="0.25">
      <c r="F1017"/>
      <c r="G1017"/>
      <c r="P1017"/>
    </row>
    <row r="1018" spans="6:16" x14ac:dyDescent="0.25">
      <c r="F1018"/>
      <c r="G1018"/>
      <c r="P1018"/>
    </row>
    <row r="1019" spans="6:16" x14ac:dyDescent="0.25">
      <c r="F1019"/>
      <c r="G1019"/>
      <c r="P1019"/>
    </row>
    <row r="1020" spans="6:16" x14ac:dyDescent="0.25">
      <c r="F1020"/>
      <c r="G1020"/>
      <c r="P1020"/>
    </row>
    <row r="1021" spans="6:16" x14ac:dyDescent="0.25">
      <c r="F1021"/>
      <c r="G1021"/>
      <c r="P1021"/>
    </row>
    <row r="1022" spans="6:16" x14ac:dyDescent="0.25">
      <c r="F1022"/>
      <c r="G1022"/>
      <c r="P1022"/>
    </row>
    <row r="1023" spans="6:16" x14ac:dyDescent="0.25">
      <c r="F1023"/>
      <c r="G1023"/>
      <c r="P1023"/>
    </row>
    <row r="1024" spans="6:16" x14ac:dyDescent="0.25">
      <c r="F1024"/>
      <c r="G1024"/>
      <c r="P1024"/>
    </row>
    <row r="1025" spans="6:16" x14ac:dyDescent="0.25">
      <c r="F1025"/>
      <c r="G1025"/>
      <c r="P1025"/>
    </row>
    <row r="1026" spans="6:16" x14ac:dyDescent="0.25">
      <c r="F1026"/>
      <c r="G1026"/>
      <c r="P1026"/>
    </row>
    <row r="1027" spans="6:16" x14ac:dyDescent="0.25">
      <c r="F1027"/>
      <c r="G1027"/>
      <c r="P1027"/>
    </row>
    <row r="1028" spans="6:16" x14ac:dyDescent="0.25">
      <c r="F1028"/>
      <c r="G1028"/>
      <c r="P1028"/>
    </row>
    <row r="1029" spans="6:16" x14ac:dyDescent="0.25">
      <c r="F1029"/>
      <c r="G1029"/>
      <c r="P1029"/>
    </row>
    <row r="1030" spans="6:16" x14ac:dyDescent="0.25">
      <c r="F1030"/>
      <c r="G1030"/>
      <c r="P1030"/>
    </row>
    <row r="1031" spans="6:16" x14ac:dyDescent="0.25">
      <c r="F1031"/>
      <c r="G1031"/>
      <c r="P1031"/>
    </row>
    <row r="1032" spans="6:16" x14ac:dyDescent="0.25">
      <c r="F1032"/>
      <c r="G1032"/>
      <c r="P1032"/>
    </row>
    <row r="1033" spans="6:16" x14ac:dyDescent="0.25">
      <c r="F1033"/>
      <c r="G1033"/>
      <c r="P1033"/>
    </row>
    <row r="1034" spans="6:16" x14ac:dyDescent="0.25">
      <c r="F1034"/>
      <c r="G1034"/>
      <c r="P1034"/>
    </row>
    <row r="1035" spans="6:16" x14ac:dyDescent="0.25">
      <c r="F1035"/>
      <c r="G1035"/>
      <c r="P1035"/>
    </row>
    <row r="1036" spans="6:16" x14ac:dyDescent="0.25">
      <c r="F1036"/>
      <c r="G1036"/>
      <c r="P1036"/>
    </row>
    <row r="1037" spans="6:16" x14ac:dyDescent="0.25">
      <c r="F1037"/>
      <c r="G1037"/>
      <c r="P1037"/>
    </row>
    <row r="1038" spans="6:16" x14ac:dyDescent="0.25">
      <c r="F1038"/>
      <c r="G1038"/>
      <c r="P1038"/>
    </row>
    <row r="1039" spans="6:16" x14ac:dyDescent="0.25">
      <c r="F1039"/>
      <c r="G1039"/>
      <c r="P1039"/>
    </row>
    <row r="1040" spans="6:16" x14ac:dyDescent="0.25">
      <c r="F1040"/>
      <c r="G1040"/>
      <c r="P1040"/>
    </row>
    <row r="1041" spans="6:16" x14ac:dyDescent="0.25">
      <c r="F1041"/>
      <c r="G1041"/>
      <c r="P1041"/>
    </row>
    <row r="1042" spans="6:16" x14ac:dyDescent="0.25">
      <c r="F1042"/>
      <c r="G1042"/>
      <c r="P1042"/>
    </row>
    <row r="1043" spans="6:16" x14ac:dyDescent="0.25">
      <c r="F1043"/>
      <c r="G1043"/>
      <c r="P1043"/>
    </row>
    <row r="1044" spans="6:16" x14ac:dyDescent="0.25">
      <c r="F1044"/>
      <c r="G1044"/>
      <c r="P1044"/>
    </row>
    <row r="1045" spans="6:16" x14ac:dyDescent="0.25">
      <c r="F1045"/>
      <c r="G1045"/>
      <c r="P1045"/>
    </row>
    <row r="1046" spans="6:16" x14ac:dyDescent="0.25">
      <c r="F1046"/>
      <c r="G1046"/>
      <c r="P1046"/>
    </row>
    <row r="1047" spans="6:16" x14ac:dyDescent="0.25">
      <c r="F1047"/>
      <c r="G1047"/>
      <c r="P1047"/>
    </row>
    <row r="1048" spans="6:16" x14ac:dyDescent="0.25">
      <c r="F1048"/>
      <c r="G1048"/>
      <c r="P1048"/>
    </row>
    <row r="1049" spans="6:16" x14ac:dyDescent="0.25">
      <c r="F1049"/>
      <c r="G1049"/>
      <c r="P1049"/>
    </row>
    <row r="1050" spans="6:16" x14ac:dyDescent="0.25">
      <c r="F1050"/>
      <c r="G1050"/>
      <c r="P1050"/>
    </row>
    <row r="1051" spans="6:16" x14ac:dyDescent="0.25">
      <c r="F1051"/>
      <c r="G1051"/>
      <c r="P1051"/>
    </row>
    <row r="1052" spans="6:16" x14ac:dyDescent="0.25">
      <c r="F1052"/>
      <c r="G1052"/>
      <c r="P1052"/>
    </row>
    <row r="1053" spans="6:16" x14ac:dyDescent="0.25">
      <c r="F1053"/>
      <c r="G1053"/>
      <c r="P1053"/>
    </row>
    <row r="1054" spans="6:16" x14ac:dyDescent="0.25">
      <c r="F1054"/>
      <c r="G1054"/>
      <c r="P1054"/>
    </row>
    <row r="1055" spans="6:16" x14ac:dyDescent="0.25">
      <c r="F1055"/>
      <c r="G1055"/>
      <c r="P1055"/>
    </row>
    <row r="1056" spans="6:16" x14ac:dyDescent="0.25">
      <c r="F1056"/>
      <c r="G1056"/>
      <c r="P1056"/>
    </row>
    <row r="1057" spans="6:16" x14ac:dyDescent="0.25">
      <c r="F1057"/>
      <c r="G1057"/>
      <c r="P1057"/>
    </row>
    <row r="1058" spans="6:16" x14ac:dyDescent="0.25">
      <c r="F1058"/>
      <c r="G1058"/>
      <c r="P1058"/>
    </row>
    <row r="1059" spans="6:16" x14ac:dyDescent="0.25">
      <c r="F1059"/>
      <c r="G1059"/>
      <c r="P1059"/>
    </row>
    <row r="1060" spans="6:16" x14ac:dyDescent="0.25">
      <c r="F1060"/>
      <c r="G1060"/>
      <c r="P1060"/>
    </row>
    <row r="1061" spans="6:16" x14ac:dyDescent="0.25">
      <c r="F1061"/>
      <c r="G1061"/>
      <c r="P1061"/>
    </row>
    <row r="1062" spans="6:16" x14ac:dyDescent="0.25">
      <c r="F1062"/>
      <c r="G1062"/>
      <c r="P1062"/>
    </row>
    <row r="1063" spans="6:16" x14ac:dyDescent="0.25">
      <c r="F1063"/>
      <c r="G1063"/>
      <c r="P1063"/>
    </row>
    <row r="1064" spans="6:16" x14ac:dyDescent="0.25">
      <c r="F1064"/>
      <c r="G1064"/>
      <c r="P1064"/>
    </row>
    <row r="1065" spans="6:16" x14ac:dyDescent="0.25">
      <c r="F1065"/>
      <c r="G1065"/>
      <c r="P1065"/>
    </row>
    <row r="1066" spans="6:16" x14ac:dyDescent="0.25">
      <c r="F1066"/>
      <c r="G1066"/>
      <c r="P1066"/>
    </row>
    <row r="1067" spans="6:16" x14ac:dyDescent="0.25">
      <c r="F1067"/>
      <c r="G1067"/>
      <c r="P1067"/>
    </row>
    <row r="1068" spans="6:16" x14ac:dyDescent="0.25">
      <c r="F1068"/>
      <c r="G1068"/>
      <c r="P1068"/>
    </row>
    <row r="1069" spans="6:16" x14ac:dyDescent="0.25">
      <c r="F1069"/>
      <c r="G1069"/>
      <c r="P1069"/>
    </row>
    <row r="1070" spans="6:16" x14ac:dyDescent="0.25">
      <c r="F1070"/>
      <c r="G1070"/>
      <c r="P1070"/>
    </row>
    <row r="1071" spans="6:16" x14ac:dyDescent="0.25">
      <c r="F1071"/>
      <c r="G1071"/>
      <c r="P1071"/>
    </row>
    <row r="1072" spans="6:16" x14ac:dyDescent="0.25">
      <c r="F1072"/>
      <c r="G1072"/>
      <c r="P1072"/>
    </row>
    <row r="1073" spans="6:16" x14ac:dyDescent="0.25">
      <c r="F1073"/>
      <c r="G1073"/>
      <c r="P1073"/>
    </row>
    <row r="1074" spans="6:16" x14ac:dyDescent="0.25">
      <c r="F1074"/>
      <c r="G1074"/>
      <c r="P1074"/>
    </row>
    <row r="1075" spans="6:16" x14ac:dyDescent="0.25">
      <c r="F1075"/>
      <c r="G1075"/>
      <c r="P1075"/>
    </row>
    <row r="1076" spans="6:16" x14ac:dyDescent="0.25">
      <c r="F1076"/>
      <c r="G1076"/>
      <c r="P1076"/>
    </row>
    <row r="1077" spans="6:16" x14ac:dyDescent="0.25">
      <c r="F1077"/>
      <c r="G1077"/>
      <c r="P1077"/>
    </row>
    <row r="1078" spans="6:16" x14ac:dyDescent="0.25">
      <c r="F1078"/>
      <c r="G1078"/>
      <c r="P1078"/>
    </row>
    <row r="1079" spans="6:16" x14ac:dyDescent="0.25">
      <c r="F1079"/>
      <c r="G1079"/>
      <c r="P1079"/>
    </row>
    <row r="1080" spans="6:16" x14ac:dyDescent="0.25">
      <c r="F1080"/>
      <c r="G1080"/>
      <c r="P1080"/>
    </row>
    <row r="1081" spans="6:16" x14ac:dyDescent="0.25">
      <c r="F1081"/>
      <c r="G1081"/>
      <c r="P1081"/>
    </row>
    <row r="1082" spans="6:16" x14ac:dyDescent="0.25">
      <c r="F1082"/>
      <c r="G1082"/>
      <c r="P1082"/>
    </row>
    <row r="1083" spans="6:16" x14ac:dyDescent="0.25">
      <c r="F1083"/>
      <c r="G1083"/>
      <c r="P1083"/>
    </row>
    <row r="1084" spans="6:16" x14ac:dyDescent="0.25">
      <c r="F1084"/>
      <c r="G1084"/>
      <c r="P1084"/>
    </row>
    <row r="1085" spans="6:16" x14ac:dyDescent="0.25">
      <c r="F1085"/>
      <c r="G1085"/>
      <c r="P1085"/>
    </row>
    <row r="1086" spans="6:16" x14ac:dyDescent="0.25">
      <c r="F1086"/>
      <c r="G1086"/>
      <c r="P1086"/>
    </row>
    <row r="1087" spans="6:16" x14ac:dyDescent="0.25">
      <c r="F1087"/>
      <c r="G1087"/>
      <c r="P1087"/>
    </row>
    <row r="1088" spans="6:16" x14ac:dyDescent="0.25">
      <c r="F1088"/>
      <c r="G1088"/>
      <c r="P1088"/>
    </row>
    <row r="1089" spans="6:16" x14ac:dyDescent="0.25">
      <c r="F1089"/>
      <c r="G1089"/>
      <c r="P1089"/>
    </row>
    <row r="1090" spans="6:16" x14ac:dyDescent="0.25">
      <c r="F1090"/>
      <c r="G1090"/>
      <c r="P1090"/>
    </row>
    <row r="1091" spans="6:16" x14ac:dyDescent="0.25">
      <c r="F1091"/>
      <c r="G1091"/>
      <c r="P1091"/>
    </row>
    <row r="1092" spans="6:16" x14ac:dyDescent="0.25">
      <c r="F1092"/>
      <c r="G1092"/>
      <c r="P1092"/>
    </row>
    <row r="1093" spans="6:16" x14ac:dyDescent="0.25">
      <c r="F1093"/>
      <c r="G1093"/>
      <c r="P1093"/>
    </row>
    <row r="1094" spans="6:16" x14ac:dyDescent="0.25">
      <c r="F1094"/>
      <c r="G1094"/>
      <c r="P1094"/>
    </row>
    <row r="1095" spans="6:16" x14ac:dyDescent="0.25">
      <c r="F1095"/>
      <c r="G1095"/>
      <c r="P1095"/>
    </row>
    <row r="1096" spans="6:16" x14ac:dyDescent="0.25">
      <c r="F1096"/>
      <c r="G1096"/>
      <c r="P1096"/>
    </row>
    <row r="1097" spans="6:16" x14ac:dyDescent="0.25">
      <c r="F1097"/>
      <c r="G1097"/>
      <c r="P1097"/>
    </row>
    <row r="1098" spans="6:16" x14ac:dyDescent="0.25">
      <c r="F1098"/>
      <c r="G1098"/>
      <c r="P1098"/>
    </row>
    <row r="1099" spans="6:16" x14ac:dyDescent="0.25">
      <c r="F1099"/>
      <c r="G1099"/>
      <c r="P1099"/>
    </row>
    <row r="1100" spans="6:16" x14ac:dyDescent="0.25">
      <c r="F1100"/>
      <c r="G1100"/>
      <c r="P1100"/>
    </row>
    <row r="1101" spans="6:16" x14ac:dyDescent="0.25">
      <c r="F1101"/>
      <c r="G1101"/>
      <c r="P1101"/>
    </row>
    <row r="1102" spans="6:16" x14ac:dyDescent="0.25">
      <c r="F1102"/>
      <c r="G1102"/>
      <c r="P1102"/>
    </row>
    <row r="1103" spans="6:16" x14ac:dyDescent="0.25">
      <c r="F1103"/>
      <c r="G1103"/>
      <c r="P1103"/>
    </row>
    <row r="1104" spans="6:16" x14ac:dyDescent="0.25">
      <c r="F1104"/>
      <c r="G1104"/>
      <c r="P1104"/>
    </row>
    <row r="1105" spans="6:16" x14ac:dyDescent="0.25">
      <c r="F1105"/>
      <c r="G1105"/>
      <c r="P1105"/>
    </row>
    <row r="1106" spans="6:16" x14ac:dyDescent="0.25">
      <c r="F1106"/>
      <c r="G1106"/>
      <c r="P1106"/>
    </row>
    <row r="1107" spans="6:16" x14ac:dyDescent="0.25">
      <c r="F1107"/>
      <c r="G1107"/>
      <c r="P1107"/>
    </row>
    <row r="1108" spans="6:16" x14ac:dyDescent="0.25">
      <c r="F1108"/>
      <c r="G1108"/>
      <c r="P1108"/>
    </row>
    <row r="1109" spans="6:16" x14ac:dyDescent="0.25">
      <c r="F1109"/>
      <c r="G1109"/>
      <c r="P1109"/>
    </row>
    <row r="1110" spans="6:16" x14ac:dyDescent="0.25">
      <c r="F1110"/>
      <c r="G1110"/>
      <c r="P1110"/>
    </row>
    <row r="1111" spans="6:16" x14ac:dyDescent="0.25">
      <c r="F1111"/>
      <c r="G1111"/>
      <c r="P1111"/>
    </row>
    <row r="1112" spans="6:16" x14ac:dyDescent="0.25">
      <c r="F1112"/>
      <c r="G1112"/>
      <c r="P1112"/>
    </row>
    <row r="1113" spans="6:16" x14ac:dyDescent="0.25">
      <c r="F1113"/>
      <c r="G1113"/>
      <c r="P1113"/>
    </row>
    <row r="1114" spans="6:16" x14ac:dyDescent="0.25">
      <c r="F1114"/>
      <c r="G1114"/>
      <c r="P1114"/>
    </row>
    <row r="1115" spans="6:16" x14ac:dyDescent="0.25">
      <c r="F1115"/>
      <c r="G1115"/>
      <c r="P1115"/>
    </row>
    <row r="1116" spans="6:16" x14ac:dyDescent="0.25">
      <c r="F1116"/>
      <c r="G1116"/>
      <c r="P1116"/>
    </row>
    <row r="1117" spans="6:16" x14ac:dyDescent="0.25">
      <c r="F1117"/>
      <c r="G1117"/>
      <c r="P1117"/>
    </row>
    <row r="1118" spans="6:16" x14ac:dyDescent="0.25">
      <c r="F1118"/>
      <c r="G1118"/>
      <c r="P1118"/>
    </row>
    <row r="1119" spans="6:16" x14ac:dyDescent="0.25">
      <c r="F1119"/>
      <c r="G1119"/>
      <c r="P1119"/>
    </row>
    <row r="1120" spans="6:16" x14ac:dyDescent="0.25">
      <c r="F1120"/>
      <c r="G1120"/>
      <c r="P1120"/>
    </row>
    <row r="1121" spans="6:16" x14ac:dyDescent="0.25">
      <c r="F1121"/>
      <c r="G1121"/>
      <c r="P1121"/>
    </row>
    <row r="1122" spans="6:16" x14ac:dyDescent="0.25">
      <c r="F1122"/>
      <c r="G1122"/>
      <c r="P1122"/>
    </row>
    <row r="1123" spans="6:16" x14ac:dyDescent="0.25">
      <c r="F1123"/>
      <c r="G1123"/>
      <c r="P1123"/>
    </row>
    <row r="1124" spans="6:16" x14ac:dyDescent="0.25">
      <c r="F1124"/>
      <c r="G1124"/>
      <c r="P1124"/>
    </row>
    <row r="1125" spans="6:16" x14ac:dyDescent="0.25">
      <c r="F1125"/>
      <c r="G1125"/>
      <c r="P1125"/>
    </row>
    <row r="1126" spans="6:16" x14ac:dyDescent="0.25">
      <c r="F1126"/>
      <c r="G1126"/>
      <c r="P1126"/>
    </row>
    <row r="1127" spans="6:16" x14ac:dyDescent="0.25">
      <c r="F1127"/>
      <c r="G1127"/>
      <c r="P1127"/>
    </row>
    <row r="1128" spans="6:16" x14ac:dyDescent="0.25">
      <c r="F1128"/>
      <c r="G1128"/>
      <c r="P1128"/>
    </row>
    <row r="1129" spans="6:16" x14ac:dyDescent="0.25">
      <c r="F1129"/>
      <c r="G1129"/>
      <c r="P1129"/>
    </row>
    <row r="1130" spans="6:16" x14ac:dyDescent="0.25">
      <c r="F1130"/>
      <c r="G1130"/>
      <c r="P1130"/>
    </row>
    <row r="1131" spans="6:16" x14ac:dyDescent="0.25">
      <c r="F1131"/>
      <c r="G1131"/>
      <c r="P1131"/>
    </row>
    <row r="1132" spans="6:16" x14ac:dyDescent="0.25">
      <c r="F1132"/>
      <c r="G1132"/>
      <c r="P1132"/>
    </row>
    <row r="1133" spans="6:16" x14ac:dyDescent="0.25">
      <c r="F1133"/>
      <c r="G1133"/>
      <c r="P1133"/>
    </row>
    <row r="1134" spans="6:16" x14ac:dyDescent="0.25">
      <c r="F1134"/>
      <c r="G1134"/>
      <c r="P1134"/>
    </row>
    <row r="1135" spans="6:16" x14ac:dyDescent="0.25">
      <c r="F1135"/>
      <c r="G1135"/>
      <c r="P1135"/>
    </row>
    <row r="1136" spans="6:16" x14ac:dyDescent="0.25">
      <c r="F1136"/>
      <c r="G1136"/>
      <c r="P1136"/>
    </row>
    <row r="1137" spans="6:16" x14ac:dyDescent="0.25">
      <c r="F1137"/>
      <c r="G1137"/>
      <c r="P1137"/>
    </row>
    <row r="1138" spans="6:16" x14ac:dyDescent="0.25">
      <c r="F1138"/>
      <c r="G1138"/>
      <c r="P1138"/>
    </row>
    <row r="1139" spans="6:16" x14ac:dyDescent="0.25">
      <c r="F1139"/>
      <c r="G1139"/>
      <c r="P1139"/>
    </row>
    <row r="1140" spans="6:16" x14ac:dyDescent="0.25">
      <c r="F1140"/>
      <c r="G1140"/>
      <c r="P1140"/>
    </row>
    <row r="1141" spans="6:16" x14ac:dyDescent="0.25">
      <c r="F1141"/>
      <c r="G1141"/>
      <c r="P1141"/>
    </row>
    <row r="1142" spans="6:16" x14ac:dyDescent="0.25">
      <c r="F1142"/>
      <c r="G1142"/>
      <c r="P1142"/>
    </row>
    <row r="1143" spans="6:16" x14ac:dyDescent="0.25">
      <c r="F1143"/>
      <c r="G1143"/>
      <c r="P1143"/>
    </row>
    <row r="1144" spans="6:16" x14ac:dyDescent="0.25">
      <c r="F1144"/>
      <c r="G1144"/>
      <c r="P1144"/>
    </row>
    <row r="1145" spans="6:16" x14ac:dyDescent="0.25">
      <c r="F1145"/>
      <c r="G1145"/>
      <c r="P1145"/>
    </row>
    <row r="1146" spans="6:16" x14ac:dyDescent="0.25">
      <c r="F1146"/>
      <c r="G1146"/>
      <c r="P1146"/>
    </row>
    <row r="1147" spans="6:16" x14ac:dyDescent="0.25">
      <c r="F1147"/>
      <c r="G1147"/>
      <c r="P1147"/>
    </row>
    <row r="1148" spans="6:16" x14ac:dyDescent="0.25">
      <c r="F1148"/>
      <c r="G1148"/>
      <c r="P1148"/>
    </row>
    <row r="1149" spans="6:16" x14ac:dyDescent="0.25">
      <c r="F1149"/>
      <c r="G1149"/>
      <c r="P1149"/>
    </row>
    <row r="1150" spans="6:16" x14ac:dyDescent="0.25">
      <c r="F1150"/>
      <c r="G1150"/>
      <c r="P1150"/>
    </row>
    <row r="1151" spans="6:16" x14ac:dyDescent="0.25">
      <c r="F1151"/>
      <c r="G1151"/>
      <c r="P1151"/>
    </row>
    <row r="1152" spans="6:16" x14ac:dyDescent="0.25">
      <c r="F1152"/>
      <c r="G1152"/>
      <c r="P1152"/>
    </row>
    <row r="1153" spans="6:16" x14ac:dyDescent="0.25">
      <c r="F1153"/>
      <c r="G1153"/>
      <c r="P1153"/>
    </row>
    <row r="1154" spans="6:16" x14ac:dyDescent="0.25">
      <c r="F1154"/>
      <c r="G1154"/>
      <c r="P1154"/>
    </row>
    <row r="1155" spans="6:16" x14ac:dyDescent="0.25">
      <c r="F1155"/>
      <c r="G1155"/>
      <c r="P1155"/>
    </row>
    <row r="1156" spans="6:16" x14ac:dyDescent="0.25">
      <c r="F1156"/>
      <c r="G1156"/>
      <c r="P1156"/>
    </row>
    <row r="1157" spans="6:16" x14ac:dyDescent="0.25">
      <c r="F1157"/>
      <c r="G1157"/>
      <c r="P1157"/>
    </row>
    <row r="1158" spans="6:16" x14ac:dyDescent="0.25">
      <c r="F1158"/>
      <c r="G1158"/>
      <c r="P1158"/>
    </row>
    <row r="1159" spans="6:16" x14ac:dyDescent="0.25">
      <c r="F1159"/>
      <c r="G1159"/>
      <c r="P1159"/>
    </row>
    <row r="1160" spans="6:16" x14ac:dyDescent="0.25">
      <c r="F1160"/>
      <c r="G1160"/>
      <c r="P1160"/>
    </row>
    <row r="1161" spans="6:16" x14ac:dyDescent="0.25">
      <c r="F1161"/>
      <c r="G1161"/>
      <c r="P1161"/>
    </row>
    <row r="1162" spans="6:16" x14ac:dyDescent="0.25">
      <c r="F1162"/>
      <c r="G1162"/>
      <c r="P1162"/>
    </row>
    <row r="1163" spans="6:16" x14ac:dyDescent="0.25">
      <c r="F1163"/>
      <c r="G1163"/>
      <c r="P1163"/>
    </row>
    <row r="1164" spans="6:16" x14ac:dyDescent="0.25">
      <c r="F1164"/>
      <c r="G1164"/>
      <c r="P1164"/>
    </row>
    <row r="1165" spans="6:16" x14ac:dyDescent="0.25">
      <c r="F1165"/>
      <c r="G1165"/>
      <c r="P1165"/>
    </row>
    <row r="1166" spans="6:16" x14ac:dyDescent="0.25">
      <c r="F1166"/>
      <c r="G1166"/>
      <c r="P1166"/>
    </row>
    <row r="1167" spans="6:16" x14ac:dyDescent="0.25">
      <c r="F1167"/>
      <c r="G1167"/>
      <c r="P1167"/>
    </row>
    <row r="1168" spans="6:16" x14ac:dyDescent="0.25">
      <c r="F1168"/>
      <c r="G1168"/>
      <c r="P1168"/>
    </row>
    <row r="1169" spans="6:16" x14ac:dyDescent="0.25">
      <c r="F1169"/>
      <c r="G1169"/>
      <c r="P1169"/>
    </row>
    <row r="1170" spans="6:16" x14ac:dyDescent="0.25">
      <c r="F1170"/>
      <c r="G1170"/>
      <c r="P1170"/>
    </row>
    <row r="1171" spans="6:16" x14ac:dyDescent="0.25">
      <c r="F1171"/>
      <c r="G1171"/>
      <c r="P1171"/>
    </row>
    <row r="1172" spans="6:16" x14ac:dyDescent="0.25">
      <c r="F1172"/>
      <c r="G1172"/>
      <c r="P1172"/>
    </row>
    <row r="1173" spans="6:16" x14ac:dyDescent="0.25">
      <c r="F1173"/>
      <c r="G1173"/>
      <c r="P1173"/>
    </row>
    <row r="1174" spans="6:16" x14ac:dyDescent="0.25">
      <c r="F1174"/>
      <c r="G1174"/>
      <c r="P1174"/>
    </row>
    <row r="1175" spans="6:16" x14ac:dyDescent="0.25">
      <c r="F1175"/>
      <c r="G1175"/>
      <c r="P1175"/>
    </row>
    <row r="1176" spans="6:16" x14ac:dyDescent="0.25">
      <c r="F1176"/>
      <c r="G1176"/>
      <c r="P1176"/>
    </row>
    <row r="1177" spans="6:16" x14ac:dyDescent="0.25">
      <c r="F1177"/>
      <c r="G1177"/>
      <c r="P1177"/>
    </row>
    <row r="1178" spans="6:16" x14ac:dyDescent="0.25">
      <c r="F1178"/>
      <c r="G1178"/>
      <c r="P1178"/>
    </row>
    <row r="1179" spans="6:16" x14ac:dyDescent="0.25">
      <c r="F1179"/>
      <c r="G1179"/>
      <c r="P1179"/>
    </row>
    <row r="1180" spans="6:16" x14ac:dyDescent="0.25">
      <c r="F1180"/>
      <c r="G1180"/>
      <c r="P1180"/>
    </row>
    <row r="1181" spans="6:16" x14ac:dyDescent="0.25">
      <c r="F1181"/>
      <c r="G1181"/>
      <c r="P1181"/>
    </row>
    <row r="1182" spans="6:16" x14ac:dyDescent="0.25">
      <c r="F1182"/>
      <c r="G1182"/>
      <c r="P1182"/>
    </row>
    <row r="1183" spans="6:16" x14ac:dyDescent="0.25">
      <c r="F1183"/>
      <c r="G1183"/>
      <c r="P1183"/>
    </row>
    <row r="1184" spans="6:16" x14ac:dyDescent="0.25">
      <c r="F1184"/>
      <c r="G1184"/>
      <c r="P1184"/>
    </row>
    <row r="1185" spans="6:16" x14ac:dyDescent="0.25">
      <c r="F1185"/>
      <c r="G1185"/>
      <c r="P1185"/>
    </row>
    <row r="1186" spans="6:16" x14ac:dyDescent="0.25">
      <c r="F1186"/>
      <c r="G1186"/>
      <c r="P1186"/>
    </row>
    <row r="1187" spans="6:16" x14ac:dyDescent="0.25">
      <c r="F1187"/>
      <c r="G1187"/>
      <c r="P1187"/>
    </row>
    <row r="1188" spans="6:16" x14ac:dyDescent="0.25">
      <c r="F1188"/>
      <c r="G1188"/>
      <c r="P1188"/>
    </row>
    <row r="1189" spans="6:16" x14ac:dyDescent="0.25">
      <c r="F1189"/>
      <c r="G1189"/>
      <c r="P1189"/>
    </row>
    <row r="1190" spans="6:16" x14ac:dyDescent="0.25">
      <c r="F1190"/>
      <c r="G1190"/>
      <c r="P1190"/>
    </row>
    <row r="1191" spans="6:16" x14ac:dyDescent="0.25">
      <c r="F1191"/>
      <c r="G1191"/>
      <c r="P1191"/>
    </row>
    <row r="1192" spans="6:16" x14ac:dyDescent="0.25">
      <c r="F1192"/>
      <c r="G1192"/>
      <c r="P1192"/>
    </row>
    <row r="1193" spans="6:16" x14ac:dyDescent="0.25">
      <c r="F1193"/>
      <c r="G1193"/>
      <c r="P1193"/>
    </row>
    <row r="1194" spans="6:16" x14ac:dyDescent="0.25">
      <c r="F1194"/>
      <c r="G1194"/>
      <c r="P1194"/>
    </row>
    <row r="1195" spans="6:16" x14ac:dyDescent="0.25">
      <c r="F1195"/>
      <c r="G1195"/>
      <c r="P1195"/>
    </row>
    <row r="1196" spans="6:16" x14ac:dyDescent="0.25">
      <c r="F1196"/>
      <c r="G1196"/>
      <c r="P1196"/>
    </row>
    <row r="1197" spans="6:16" x14ac:dyDescent="0.25">
      <c r="F1197"/>
      <c r="G1197"/>
      <c r="P1197"/>
    </row>
    <row r="1198" spans="6:16" x14ac:dyDescent="0.25">
      <c r="F1198"/>
      <c r="G1198"/>
      <c r="P1198"/>
    </row>
    <row r="1199" spans="6:16" x14ac:dyDescent="0.25">
      <c r="F1199"/>
      <c r="G1199"/>
      <c r="P1199"/>
    </row>
    <row r="1200" spans="6:16" x14ac:dyDescent="0.25">
      <c r="F1200"/>
      <c r="G1200"/>
      <c r="P1200"/>
    </row>
    <row r="1201" spans="6:16" x14ac:dyDescent="0.25">
      <c r="F1201"/>
      <c r="G1201"/>
      <c r="P1201"/>
    </row>
    <row r="1202" spans="6:16" x14ac:dyDescent="0.25">
      <c r="F1202"/>
      <c r="G1202"/>
      <c r="P1202"/>
    </row>
    <row r="1203" spans="6:16" x14ac:dyDescent="0.25">
      <c r="F1203"/>
      <c r="G1203"/>
      <c r="P1203"/>
    </row>
    <row r="1204" spans="6:16" x14ac:dyDescent="0.25">
      <c r="F1204"/>
      <c r="G1204"/>
      <c r="P1204"/>
    </row>
    <row r="1205" spans="6:16" x14ac:dyDescent="0.25">
      <c r="F1205"/>
      <c r="G1205"/>
      <c r="P1205"/>
    </row>
    <row r="1206" spans="6:16" x14ac:dyDescent="0.25">
      <c r="F1206"/>
      <c r="G1206"/>
      <c r="P1206"/>
    </row>
    <row r="1207" spans="6:16" x14ac:dyDescent="0.25">
      <c r="F1207"/>
      <c r="G1207"/>
      <c r="P1207"/>
    </row>
    <row r="1208" spans="6:16" x14ac:dyDescent="0.25">
      <c r="F1208"/>
      <c r="G1208"/>
      <c r="P1208"/>
    </row>
    <row r="1209" spans="6:16" x14ac:dyDescent="0.25">
      <c r="F1209"/>
      <c r="G1209"/>
      <c r="P1209"/>
    </row>
    <row r="1210" spans="6:16" x14ac:dyDescent="0.25">
      <c r="F1210"/>
      <c r="G1210"/>
      <c r="P1210"/>
    </row>
    <row r="1211" spans="6:16" x14ac:dyDescent="0.25">
      <c r="F1211"/>
      <c r="G1211"/>
      <c r="P1211"/>
    </row>
    <row r="1212" spans="6:16" x14ac:dyDescent="0.25">
      <c r="F1212"/>
      <c r="G1212"/>
      <c r="P1212"/>
    </row>
    <row r="1213" spans="6:16" x14ac:dyDescent="0.25">
      <c r="F1213"/>
      <c r="G1213"/>
      <c r="P1213"/>
    </row>
    <row r="1214" spans="6:16" x14ac:dyDescent="0.25">
      <c r="F1214"/>
      <c r="G1214"/>
      <c r="P1214"/>
    </row>
    <row r="1215" spans="6:16" x14ac:dyDescent="0.25">
      <c r="F1215"/>
      <c r="G1215"/>
      <c r="P1215"/>
    </row>
    <row r="1216" spans="6:16" x14ac:dyDescent="0.25">
      <c r="F1216"/>
      <c r="G1216"/>
      <c r="P1216"/>
    </row>
    <row r="1217" spans="6:16" x14ac:dyDescent="0.25">
      <c r="F1217"/>
      <c r="G1217"/>
      <c r="P1217"/>
    </row>
    <row r="1218" spans="6:16" x14ac:dyDescent="0.25">
      <c r="F1218"/>
      <c r="G1218"/>
      <c r="P1218"/>
    </row>
    <row r="1219" spans="6:16" x14ac:dyDescent="0.25">
      <c r="F1219"/>
      <c r="G1219"/>
      <c r="P1219"/>
    </row>
    <row r="1220" spans="6:16" x14ac:dyDescent="0.25">
      <c r="F1220"/>
      <c r="G1220"/>
      <c r="P1220"/>
    </row>
    <row r="1221" spans="6:16" x14ac:dyDescent="0.25">
      <c r="F1221"/>
      <c r="G1221"/>
      <c r="P1221"/>
    </row>
    <row r="1222" spans="6:16" x14ac:dyDescent="0.25">
      <c r="F1222"/>
      <c r="G1222"/>
      <c r="P1222"/>
    </row>
    <row r="1223" spans="6:16" x14ac:dyDescent="0.25">
      <c r="F1223"/>
      <c r="G1223"/>
      <c r="P1223"/>
    </row>
    <row r="1224" spans="6:16" x14ac:dyDescent="0.25">
      <c r="F1224"/>
      <c r="G1224"/>
      <c r="P1224"/>
    </row>
    <row r="1225" spans="6:16" x14ac:dyDescent="0.25">
      <c r="F1225"/>
      <c r="G1225"/>
      <c r="P1225"/>
    </row>
    <row r="1226" spans="6:16" x14ac:dyDescent="0.25">
      <c r="F1226"/>
      <c r="G1226"/>
      <c r="P1226"/>
    </row>
    <row r="1227" spans="6:16" x14ac:dyDescent="0.25">
      <c r="F1227"/>
      <c r="G1227"/>
      <c r="P1227"/>
    </row>
    <row r="1228" spans="6:16" x14ac:dyDescent="0.25">
      <c r="F1228"/>
      <c r="G1228"/>
      <c r="P1228"/>
    </row>
    <row r="1229" spans="6:16" x14ac:dyDescent="0.25">
      <c r="F1229"/>
      <c r="G1229"/>
      <c r="P1229"/>
    </row>
    <row r="1230" spans="6:16" x14ac:dyDescent="0.25">
      <c r="F1230"/>
      <c r="G1230"/>
      <c r="P1230"/>
    </row>
    <row r="1231" spans="6:16" x14ac:dyDescent="0.25">
      <c r="F1231"/>
      <c r="G1231"/>
      <c r="P1231"/>
    </row>
    <row r="1232" spans="6:16" x14ac:dyDescent="0.25">
      <c r="F1232"/>
      <c r="G1232"/>
      <c r="P1232"/>
    </row>
    <row r="1233" spans="6:16" x14ac:dyDescent="0.25">
      <c r="F1233"/>
      <c r="G1233"/>
      <c r="P1233"/>
    </row>
    <row r="1234" spans="6:16" x14ac:dyDescent="0.25">
      <c r="F1234"/>
      <c r="G1234"/>
      <c r="P1234"/>
    </row>
    <row r="1235" spans="6:16" x14ac:dyDescent="0.25">
      <c r="F1235"/>
      <c r="G1235"/>
      <c r="P1235"/>
    </row>
    <row r="1236" spans="6:16" x14ac:dyDescent="0.25">
      <c r="F1236"/>
      <c r="G1236"/>
      <c r="P1236"/>
    </row>
    <row r="1237" spans="6:16" x14ac:dyDescent="0.25">
      <c r="F1237"/>
      <c r="G1237"/>
      <c r="P1237"/>
    </row>
    <row r="1238" spans="6:16" x14ac:dyDescent="0.25">
      <c r="F1238"/>
      <c r="G1238"/>
      <c r="P1238"/>
    </row>
    <row r="1239" spans="6:16" x14ac:dyDescent="0.25">
      <c r="F1239"/>
      <c r="G1239"/>
      <c r="P1239"/>
    </row>
    <row r="1240" spans="6:16" x14ac:dyDescent="0.25">
      <c r="F1240"/>
      <c r="G1240"/>
      <c r="P1240"/>
    </row>
    <row r="1241" spans="6:16" x14ac:dyDescent="0.25">
      <c r="F1241"/>
      <c r="G1241"/>
      <c r="P1241"/>
    </row>
    <row r="1242" spans="6:16" x14ac:dyDescent="0.25">
      <c r="F1242"/>
      <c r="G1242"/>
      <c r="P1242"/>
    </row>
    <row r="1243" spans="6:16" x14ac:dyDescent="0.25">
      <c r="F1243"/>
      <c r="G1243"/>
      <c r="P1243"/>
    </row>
    <row r="1244" spans="6:16" x14ac:dyDescent="0.25">
      <c r="F1244"/>
      <c r="G1244"/>
      <c r="P1244"/>
    </row>
    <row r="1245" spans="6:16" x14ac:dyDescent="0.25">
      <c r="F1245"/>
      <c r="G1245"/>
      <c r="P1245"/>
    </row>
    <row r="1246" spans="6:16" x14ac:dyDescent="0.25">
      <c r="F1246"/>
      <c r="G1246"/>
      <c r="P1246"/>
    </row>
    <row r="1247" spans="6:16" x14ac:dyDescent="0.25">
      <c r="F1247"/>
      <c r="G1247"/>
      <c r="P1247"/>
    </row>
    <row r="1248" spans="6:16" x14ac:dyDescent="0.25">
      <c r="F1248"/>
      <c r="G1248"/>
      <c r="P1248"/>
    </row>
    <row r="1249" spans="6:16" x14ac:dyDescent="0.25">
      <c r="F1249"/>
      <c r="G1249"/>
      <c r="P1249"/>
    </row>
    <row r="1250" spans="6:16" x14ac:dyDescent="0.25">
      <c r="F1250"/>
      <c r="G1250"/>
      <c r="P1250"/>
    </row>
    <row r="1251" spans="6:16" x14ac:dyDescent="0.25">
      <c r="F1251"/>
      <c r="G1251"/>
      <c r="P1251"/>
    </row>
    <row r="1252" spans="6:16" x14ac:dyDescent="0.25">
      <c r="F1252"/>
      <c r="G1252"/>
      <c r="P1252"/>
    </row>
    <row r="1253" spans="6:16" x14ac:dyDescent="0.25">
      <c r="F1253"/>
      <c r="G1253"/>
      <c r="P1253"/>
    </row>
    <row r="1254" spans="6:16" x14ac:dyDescent="0.25">
      <c r="F1254"/>
      <c r="G1254"/>
      <c r="P1254"/>
    </row>
    <row r="1255" spans="6:16" x14ac:dyDescent="0.25">
      <c r="F1255"/>
      <c r="G1255"/>
      <c r="P1255"/>
    </row>
    <row r="1256" spans="6:16" x14ac:dyDescent="0.25">
      <c r="F1256"/>
      <c r="G1256"/>
      <c r="P1256"/>
    </row>
    <row r="1257" spans="6:16" x14ac:dyDescent="0.25">
      <c r="F1257"/>
      <c r="G1257"/>
      <c r="P1257"/>
    </row>
    <row r="1258" spans="6:16" x14ac:dyDescent="0.25">
      <c r="F1258"/>
      <c r="G1258"/>
      <c r="P1258"/>
    </row>
    <row r="1259" spans="6:16" x14ac:dyDescent="0.25">
      <c r="F1259"/>
      <c r="G1259"/>
      <c r="P1259"/>
    </row>
    <row r="1260" spans="6:16" x14ac:dyDescent="0.25">
      <c r="F1260"/>
      <c r="G1260"/>
      <c r="P1260"/>
    </row>
    <row r="1261" spans="6:16" x14ac:dyDescent="0.25">
      <c r="F1261"/>
      <c r="G1261"/>
      <c r="P1261"/>
    </row>
    <row r="1262" spans="6:16" x14ac:dyDescent="0.25">
      <c r="F1262"/>
      <c r="G1262"/>
      <c r="P1262"/>
    </row>
    <row r="1263" spans="6:16" x14ac:dyDescent="0.25">
      <c r="F1263"/>
      <c r="G1263"/>
      <c r="P1263"/>
    </row>
    <row r="1264" spans="6:16" x14ac:dyDescent="0.25">
      <c r="F1264"/>
      <c r="G1264"/>
      <c r="P1264"/>
    </row>
    <row r="1265" spans="6:16" x14ac:dyDescent="0.25">
      <c r="F1265"/>
      <c r="G1265"/>
      <c r="P1265"/>
    </row>
    <row r="1266" spans="6:16" x14ac:dyDescent="0.25">
      <c r="F1266"/>
      <c r="G1266"/>
      <c r="P1266"/>
    </row>
    <row r="1267" spans="6:16" x14ac:dyDescent="0.25">
      <c r="F1267"/>
      <c r="G1267"/>
      <c r="P1267"/>
    </row>
    <row r="1268" spans="6:16" x14ac:dyDescent="0.25">
      <c r="F1268"/>
      <c r="G1268"/>
      <c r="P1268"/>
    </row>
    <row r="1269" spans="6:16" x14ac:dyDescent="0.25">
      <c r="F1269"/>
      <c r="G1269"/>
      <c r="P1269"/>
    </row>
    <row r="1270" spans="6:16" x14ac:dyDescent="0.25">
      <c r="F1270"/>
      <c r="G1270"/>
      <c r="P1270"/>
    </row>
    <row r="1271" spans="6:16" x14ac:dyDescent="0.25">
      <c r="F1271"/>
      <c r="G1271"/>
      <c r="P1271"/>
    </row>
    <row r="1272" spans="6:16" x14ac:dyDescent="0.25">
      <c r="F1272"/>
      <c r="G1272"/>
      <c r="P1272"/>
    </row>
    <row r="1273" spans="6:16" x14ac:dyDescent="0.25">
      <c r="F1273"/>
      <c r="G1273"/>
      <c r="P1273"/>
    </row>
    <row r="1274" spans="6:16" x14ac:dyDescent="0.25">
      <c r="F1274"/>
      <c r="G1274"/>
      <c r="P1274"/>
    </row>
    <row r="1275" spans="6:16" x14ac:dyDescent="0.25">
      <c r="F1275"/>
      <c r="G1275"/>
      <c r="P1275"/>
    </row>
    <row r="1276" spans="6:16" x14ac:dyDescent="0.25">
      <c r="F1276"/>
      <c r="G1276"/>
      <c r="P1276"/>
    </row>
    <row r="1277" spans="6:16" x14ac:dyDescent="0.25">
      <c r="F1277"/>
      <c r="G1277"/>
      <c r="P1277"/>
    </row>
    <row r="1278" spans="6:16" x14ac:dyDescent="0.25">
      <c r="F1278"/>
      <c r="G1278"/>
      <c r="P1278"/>
    </row>
    <row r="1279" spans="6:16" x14ac:dyDescent="0.25">
      <c r="F1279"/>
      <c r="G1279"/>
      <c r="P1279"/>
    </row>
    <row r="1280" spans="6:16" x14ac:dyDescent="0.25">
      <c r="F1280"/>
      <c r="G1280"/>
      <c r="P1280"/>
    </row>
    <row r="1281" spans="6:16" x14ac:dyDescent="0.25">
      <c r="F1281"/>
      <c r="G1281"/>
      <c r="P1281"/>
    </row>
    <row r="1282" spans="6:16" x14ac:dyDescent="0.25">
      <c r="F1282"/>
      <c r="G1282"/>
      <c r="P1282"/>
    </row>
    <row r="1283" spans="6:16" x14ac:dyDescent="0.25">
      <c r="F1283"/>
      <c r="G1283"/>
      <c r="P1283"/>
    </row>
    <row r="1284" spans="6:16" x14ac:dyDescent="0.25">
      <c r="F1284"/>
      <c r="G1284"/>
      <c r="P1284"/>
    </row>
    <row r="1285" spans="6:16" x14ac:dyDescent="0.25">
      <c r="F1285"/>
      <c r="G1285"/>
      <c r="P1285"/>
    </row>
    <row r="1286" spans="6:16" x14ac:dyDescent="0.25">
      <c r="F1286"/>
      <c r="G1286"/>
      <c r="P1286"/>
    </row>
    <row r="1287" spans="6:16" x14ac:dyDescent="0.25">
      <c r="F1287"/>
      <c r="G1287"/>
      <c r="P1287"/>
    </row>
    <row r="1288" spans="6:16" x14ac:dyDescent="0.25">
      <c r="F1288"/>
      <c r="G1288"/>
      <c r="P1288"/>
    </row>
    <row r="1289" spans="6:16" x14ac:dyDescent="0.25">
      <c r="F1289"/>
      <c r="G1289"/>
      <c r="P1289"/>
    </row>
    <row r="1290" spans="6:16" x14ac:dyDescent="0.25">
      <c r="F1290"/>
      <c r="G1290"/>
      <c r="P1290"/>
    </row>
    <row r="1291" spans="6:16" x14ac:dyDescent="0.25">
      <c r="F1291"/>
      <c r="G1291"/>
      <c r="P1291"/>
    </row>
    <row r="1292" spans="6:16" x14ac:dyDescent="0.25">
      <c r="F1292"/>
      <c r="G1292"/>
      <c r="P1292"/>
    </row>
    <row r="1293" spans="6:16" x14ac:dyDescent="0.25">
      <c r="F1293"/>
      <c r="G1293"/>
      <c r="P1293"/>
    </row>
    <row r="1294" spans="6:16" x14ac:dyDescent="0.25">
      <c r="F1294"/>
      <c r="G1294"/>
      <c r="P1294"/>
    </row>
    <row r="1295" spans="6:16" x14ac:dyDescent="0.25">
      <c r="F1295"/>
      <c r="G1295"/>
      <c r="P1295"/>
    </row>
    <row r="1296" spans="6:16" x14ac:dyDescent="0.25">
      <c r="F1296"/>
      <c r="G1296"/>
      <c r="P1296"/>
    </row>
    <row r="1297" spans="6:16" x14ac:dyDescent="0.25">
      <c r="F1297"/>
      <c r="G1297"/>
      <c r="P1297"/>
    </row>
    <row r="1298" spans="6:16" x14ac:dyDescent="0.25">
      <c r="F1298"/>
      <c r="G1298"/>
      <c r="P1298"/>
    </row>
    <row r="1299" spans="6:16" x14ac:dyDescent="0.25">
      <c r="F1299"/>
      <c r="G1299"/>
      <c r="P1299"/>
    </row>
    <row r="1300" spans="6:16" x14ac:dyDescent="0.25">
      <c r="F1300"/>
      <c r="G1300"/>
      <c r="P1300"/>
    </row>
    <row r="1301" spans="6:16" x14ac:dyDescent="0.25">
      <c r="F1301"/>
      <c r="G1301"/>
      <c r="P1301"/>
    </row>
    <row r="1302" spans="6:16" x14ac:dyDescent="0.25">
      <c r="F1302"/>
      <c r="G1302"/>
      <c r="P1302"/>
    </row>
    <row r="1303" spans="6:16" x14ac:dyDescent="0.25">
      <c r="F1303"/>
      <c r="G1303"/>
      <c r="P1303"/>
    </row>
    <row r="1304" spans="6:16" x14ac:dyDescent="0.25">
      <c r="F1304"/>
      <c r="G1304"/>
      <c r="P1304"/>
    </row>
    <row r="1305" spans="6:16" x14ac:dyDescent="0.25">
      <c r="F1305"/>
      <c r="G1305"/>
      <c r="P1305"/>
    </row>
    <row r="1306" spans="6:16" x14ac:dyDescent="0.25">
      <c r="F1306"/>
      <c r="G1306"/>
      <c r="P1306"/>
    </row>
    <row r="1307" spans="6:16" x14ac:dyDescent="0.25">
      <c r="F1307"/>
      <c r="G1307"/>
      <c r="P1307"/>
    </row>
    <row r="1308" spans="6:16" x14ac:dyDescent="0.25">
      <c r="F1308"/>
      <c r="G1308"/>
      <c r="P1308"/>
    </row>
    <row r="1309" spans="6:16" x14ac:dyDescent="0.25">
      <c r="F1309"/>
      <c r="G1309"/>
      <c r="P1309"/>
    </row>
    <row r="1310" spans="6:16" x14ac:dyDescent="0.25">
      <c r="F1310"/>
      <c r="G1310"/>
      <c r="P1310"/>
    </row>
    <row r="1311" spans="6:16" x14ac:dyDescent="0.25">
      <c r="F1311"/>
      <c r="G1311"/>
      <c r="P1311"/>
    </row>
    <row r="1312" spans="6:16" x14ac:dyDescent="0.25">
      <c r="F1312"/>
      <c r="G1312"/>
      <c r="P1312"/>
    </row>
    <row r="1313" spans="6:16" x14ac:dyDescent="0.25">
      <c r="F1313"/>
      <c r="G1313"/>
      <c r="P1313"/>
    </row>
    <row r="1314" spans="6:16" x14ac:dyDescent="0.25">
      <c r="F1314"/>
      <c r="G1314"/>
      <c r="P1314"/>
    </row>
    <row r="1315" spans="6:16" x14ac:dyDescent="0.25">
      <c r="F1315"/>
      <c r="G1315"/>
      <c r="P1315"/>
    </row>
    <row r="1316" spans="6:16" x14ac:dyDescent="0.25">
      <c r="F1316"/>
      <c r="G1316"/>
      <c r="P1316"/>
    </row>
    <row r="1317" spans="6:16" x14ac:dyDescent="0.25">
      <c r="F1317"/>
      <c r="G1317"/>
      <c r="P1317"/>
    </row>
    <row r="1318" spans="6:16" x14ac:dyDescent="0.25">
      <c r="F1318"/>
      <c r="G1318"/>
      <c r="P1318"/>
    </row>
    <row r="1319" spans="6:16" x14ac:dyDescent="0.25">
      <c r="F1319"/>
      <c r="G1319"/>
      <c r="P1319"/>
    </row>
    <row r="1320" spans="6:16" x14ac:dyDescent="0.25">
      <c r="F1320"/>
      <c r="G1320"/>
      <c r="P1320"/>
    </row>
    <row r="1321" spans="6:16" x14ac:dyDescent="0.25">
      <c r="F1321"/>
      <c r="G1321"/>
      <c r="P1321"/>
    </row>
    <row r="1322" spans="6:16" x14ac:dyDescent="0.25">
      <c r="F1322"/>
      <c r="G1322"/>
      <c r="P1322"/>
    </row>
    <row r="1323" spans="6:16" x14ac:dyDescent="0.25">
      <c r="F1323"/>
      <c r="G1323"/>
      <c r="P1323"/>
    </row>
    <row r="1324" spans="6:16" x14ac:dyDescent="0.25">
      <c r="F1324"/>
      <c r="G1324"/>
      <c r="P1324"/>
    </row>
    <row r="1325" spans="6:16" x14ac:dyDescent="0.25">
      <c r="F1325"/>
      <c r="G1325"/>
      <c r="P1325"/>
    </row>
    <row r="1326" spans="6:16" x14ac:dyDescent="0.25">
      <c r="F1326"/>
      <c r="G1326"/>
      <c r="P1326"/>
    </row>
    <row r="1327" spans="6:16" x14ac:dyDescent="0.25">
      <c r="F1327"/>
      <c r="G1327"/>
      <c r="P1327"/>
    </row>
    <row r="1328" spans="6:16" x14ac:dyDescent="0.25">
      <c r="F1328"/>
      <c r="G1328"/>
      <c r="P1328"/>
    </row>
    <row r="1329" spans="6:16" x14ac:dyDescent="0.25">
      <c r="F1329"/>
      <c r="G1329"/>
      <c r="P1329"/>
    </row>
    <row r="1330" spans="6:16" x14ac:dyDescent="0.25">
      <c r="F1330"/>
      <c r="G1330"/>
      <c r="P1330"/>
    </row>
    <row r="1331" spans="6:16" x14ac:dyDescent="0.25">
      <c r="F1331"/>
      <c r="G1331"/>
      <c r="P1331"/>
    </row>
    <row r="1332" spans="6:16" x14ac:dyDescent="0.25">
      <c r="F1332"/>
      <c r="G1332"/>
      <c r="P1332"/>
    </row>
    <row r="1333" spans="6:16" x14ac:dyDescent="0.25">
      <c r="F1333"/>
      <c r="G1333"/>
      <c r="P1333"/>
    </row>
    <row r="1334" spans="6:16" x14ac:dyDescent="0.25">
      <c r="F1334"/>
      <c r="G1334"/>
      <c r="P1334"/>
    </row>
    <row r="1335" spans="6:16" x14ac:dyDescent="0.25">
      <c r="F1335"/>
      <c r="G1335"/>
      <c r="P1335"/>
    </row>
    <row r="1336" spans="6:16" x14ac:dyDescent="0.25">
      <c r="F1336"/>
      <c r="G1336"/>
      <c r="P1336"/>
    </row>
    <row r="1337" spans="6:16" x14ac:dyDescent="0.25">
      <c r="F1337"/>
      <c r="G1337"/>
      <c r="P1337"/>
    </row>
    <row r="1338" spans="6:16" x14ac:dyDescent="0.25">
      <c r="F1338"/>
      <c r="G1338"/>
      <c r="P1338"/>
    </row>
    <row r="1339" spans="6:16" x14ac:dyDescent="0.25">
      <c r="F1339"/>
      <c r="G1339"/>
      <c r="P1339"/>
    </row>
    <row r="1340" spans="6:16" x14ac:dyDescent="0.25">
      <c r="F1340"/>
      <c r="G1340"/>
      <c r="P1340"/>
    </row>
    <row r="1341" spans="6:16" x14ac:dyDescent="0.25">
      <c r="F1341"/>
      <c r="G1341"/>
      <c r="P1341"/>
    </row>
    <row r="1342" spans="6:16" x14ac:dyDescent="0.25">
      <c r="F1342"/>
      <c r="G1342"/>
      <c r="P1342"/>
    </row>
    <row r="1343" spans="6:16" x14ac:dyDescent="0.25">
      <c r="F1343"/>
      <c r="G1343"/>
      <c r="P1343"/>
    </row>
    <row r="1344" spans="6:16" x14ac:dyDescent="0.25">
      <c r="F1344"/>
      <c r="G1344"/>
      <c r="P1344"/>
    </row>
    <row r="1345" spans="6:16" x14ac:dyDescent="0.25">
      <c r="F1345"/>
      <c r="G1345"/>
      <c r="P1345"/>
    </row>
    <row r="1346" spans="6:16" x14ac:dyDescent="0.25">
      <c r="F1346"/>
      <c r="G1346"/>
      <c r="P1346"/>
    </row>
    <row r="1347" spans="6:16" x14ac:dyDescent="0.25">
      <c r="F1347"/>
      <c r="G1347"/>
      <c r="P1347"/>
    </row>
    <row r="1348" spans="6:16" x14ac:dyDescent="0.25">
      <c r="F1348"/>
      <c r="G1348"/>
      <c r="P1348"/>
    </row>
    <row r="1349" spans="6:16" x14ac:dyDescent="0.25">
      <c r="F1349"/>
      <c r="G1349"/>
      <c r="P1349"/>
    </row>
    <row r="1350" spans="6:16" x14ac:dyDescent="0.25">
      <c r="F1350"/>
      <c r="G1350"/>
      <c r="P1350"/>
    </row>
    <row r="1351" spans="6:16" x14ac:dyDescent="0.25">
      <c r="F1351"/>
      <c r="G1351"/>
      <c r="P1351"/>
    </row>
    <row r="1352" spans="6:16" x14ac:dyDescent="0.25">
      <c r="F1352"/>
      <c r="G1352"/>
      <c r="P1352"/>
    </row>
    <row r="1353" spans="6:16" x14ac:dyDescent="0.25">
      <c r="F1353"/>
      <c r="G1353"/>
      <c r="P1353"/>
    </row>
    <row r="1354" spans="6:16" x14ac:dyDescent="0.25">
      <c r="F1354"/>
      <c r="G1354"/>
      <c r="P1354"/>
    </row>
    <row r="1355" spans="6:16" x14ac:dyDescent="0.25">
      <c r="F1355"/>
      <c r="G1355"/>
      <c r="P1355"/>
    </row>
    <row r="1356" spans="6:16" x14ac:dyDescent="0.25">
      <c r="F1356"/>
      <c r="G1356"/>
      <c r="P1356"/>
    </row>
    <row r="1357" spans="6:16" x14ac:dyDescent="0.25">
      <c r="F1357"/>
      <c r="G1357"/>
      <c r="P1357"/>
    </row>
    <row r="1358" spans="6:16" x14ac:dyDescent="0.25">
      <c r="F1358"/>
      <c r="G1358"/>
      <c r="P1358"/>
    </row>
    <row r="1359" spans="6:16" x14ac:dyDescent="0.25">
      <c r="F1359"/>
      <c r="G1359"/>
      <c r="P1359"/>
    </row>
    <row r="1360" spans="6:16" x14ac:dyDescent="0.25">
      <c r="F1360"/>
      <c r="G1360"/>
      <c r="P1360"/>
    </row>
    <row r="1361" spans="6:16" x14ac:dyDescent="0.25">
      <c r="F1361"/>
      <c r="G1361"/>
      <c r="P1361"/>
    </row>
    <row r="1362" spans="6:16" x14ac:dyDescent="0.25">
      <c r="F1362"/>
      <c r="G1362"/>
      <c r="P1362"/>
    </row>
    <row r="1363" spans="6:16" x14ac:dyDescent="0.25">
      <c r="F1363"/>
      <c r="G1363"/>
      <c r="P1363"/>
    </row>
    <row r="1364" spans="6:16" x14ac:dyDescent="0.25">
      <c r="F1364"/>
      <c r="G1364"/>
      <c r="P1364"/>
    </row>
    <row r="1365" spans="6:16" x14ac:dyDescent="0.25">
      <c r="F1365"/>
      <c r="G1365"/>
      <c r="P1365"/>
    </row>
    <row r="1366" spans="6:16" x14ac:dyDescent="0.25">
      <c r="F1366"/>
      <c r="G1366"/>
      <c r="P1366"/>
    </row>
    <row r="1367" spans="6:16" x14ac:dyDescent="0.25">
      <c r="F1367"/>
      <c r="G1367"/>
      <c r="P1367"/>
    </row>
    <row r="1368" spans="6:16" x14ac:dyDescent="0.25">
      <c r="F1368"/>
      <c r="G1368"/>
      <c r="P1368"/>
    </row>
    <row r="1369" spans="6:16" x14ac:dyDescent="0.25">
      <c r="F1369"/>
      <c r="G1369"/>
      <c r="P1369"/>
    </row>
    <row r="1370" spans="6:16" x14ac:dyDescent="0.25">
      <c r="F1370"/>
      <c r="G1370"/>
      <c r="P1370"/>
    </row>
    <row r="1371" spans="6:16" x14ac:dyDescent="0.25">
      <c r="F1371"/>
      <c r="G1371"/>
      <c r="P1371"/>
    </row>
    <row r="1372" spans="6:16" x14ac:dyDescent="0.25">
      <c r="F1372"/>
      <c r="G1372"/>
      <c r="P1372"/>
    </row>
    <row r="1373" spans="6:16" x14ac:dyDescent="0.25">
      <c r="F1373"/>
      <c r="G1373"/>
      <c r="P1373"/>
    </row>
    <row r="1374" spans="6:16" x14ac:dyDescent="0.25">
      <c r="F1374"/>
      <c r="G1374"/>
      <c r="P1374"/>
    </row>
    <row r="1375" spans="6:16" x14ac:dyDescent="0.25">
      <c r="F1375"/>
      <c r="G1375"/>
      <c r="P1375"/>
    </row>
    <row r="1376" spans="6:16" x14ac:dyDescent="0.25">
      <c r="F1376"/>
      <c r="G1376"/>
      <c r="P1376"/>
    </row>
    <row r="1377" spans="6:16" x14ac:dyDescent="0.25">
      <c r="F1377"/>
      <c r="G1377"/>
      <c r="P1377"/>
    </row>
    <row r="1378" spans="6:16" x14ac:dyDescent="0.25">
      <c r="F1378"/>
      <c r="G1378"/>
      <c r="P1378"/>
    </row>
    <row r="1379" spans="6:16" x14ac:dyDescent="0.25">
      <c r="F1379"/>
      <c r="G1379"/>
      <c r="P1379"/>
    </row>
    <row r="1380" spans="6:16" x14ac:dyDescent="0.25">
      <c r="F1380"/>
      <c r="G1380"/>
      <c r="P1380"/>
    </row>
    <row r="1381" spans="6:16" x14ac:dyDescent="0.25">
      <c r="F1381"/>
      <c r="G1381"/>
      <c r="P1381"/>
    </row>
    <row r="1382" spans="6:16" x14ac:dyDescent="0.25">
      <c r="F1382"/>
      <c r="G1382"/>
      <c r="P1382"/>
    </row>
    <row r="1383" spans="6:16" x14ac:dyDescent="0.25">
      <c r="F1383"/>
      <c r="G1383"/>
      <c r="P1383"/>
    </row>
    <row r="1384" spans="6:16" x14ac:dyDescent="0.25">
      <c r="F1384"/>
      <c r="G1384"/>
      <c r="P1384"/>
    </row>
    <row r="1385" spans="6:16" x14ac:dyDescent="0.25">
      <c r="F1385"/>
      <c r="G1385"/>
      <c r="P1385"/>
    </row>
    <row r="1386" spans="6:16" x14ac:dyDescent="0.25">
      <c r="F1386"/>
      <c r="G1386"/>
      <c r="P1386"/>
    </row>
    <row r="1387" spans="6:16" x14ac:dyDescent="0.25">
      <c r="F1387"/>
      <c r="G1387"/>
      <c r="P1387"/>
    </row>
    <row r="1388" spans="6:16" x14ac:dyDescent="0.25">
      <c r="F1388"/>
      <c r="G1388"/>
      <c r="P1388"/>
    </row>
    <row r="1389" spans="6:16" x14ac:dyDescent="0.25">
      <c r="F1389"/>
      <c r="G1389"/>
      <c r="P1389"/>
    </row>
    <row r="1390" spans="6:16" x14ac:dyDescent="0.25">
      <c r="F1390"/>
      <c r="G1390"/>
      <c r="P1390"/>
    </row>
    <row r="1391" spans="6:16" x14ac:dyDescent="0.25">
      <c r="F1391"/>
      <c r="G1391"/>
      <c r="P1391"/>
    </row>
    <row r="1392" spans="6:16" x14ac:dyDescent="0.25">
      <c r="F1392"/>
      <c r="G1392"/>
      <c r="P1392"/>
    </row>
    <row r="1393" spans="6:16" x14ac:dyDescent="0.25">
      <c r="F1393"/>
      <c r="G1393"/>
      <c r="P1393"/>
    </row>
    <row r="1394" spans="6:16" x14ac:dyDescent="0.25">
      <c r="F1394"/>
      <c r="G1394"/>
      <c r="P1394"/>
    </row>
    <row r="1395" spans="6:16" x14ac:dyDescent="0.25">
      <c r="F1395"/>
      <c r="G1395"/>
      <c r="P1395"/>
    </row>
    <row r="1396" spans="6:16" x14ac:dyDescent="0.25">
      <c r="F1396"/>
      <c r="G1396"/>
      <c r="P1396"/>
    </row>
    <row r="1397" spans="6:16" x14ac:dyDescent="0.25">
      <c r="F1397"/>
      <c r="G1397"/>
      <c r="P1397"/>
    </row>
    <row r="1398" spans="6:16" x14ac:dyDescent="0.25">
      <c r="F1398"/>
      <c r="G1398"/>
      <c r="P1398"/>
    </row>
    <row r="1399" spans="6:16" x14ac:dyDescent="0.25">
      <c r="F1399"/>
      <c r="G1399"/>
      <c r="P1399"/>
    </row>
    <row r="1400" spans="6:16" x14ac:dyDescent="0.25">
      <c r="F1400"/>
      <c r="G1400"/>
      <c r="P1400"/>
    </row>
    <row r="1401" spans="6:16" x14ac:dyDescent="0.25">
      <c r="F1401"/>
      <c r="G1401"/>
      <c r="P1401"/>
    </row>
    <row r="1402" spans="6:16" x14ac:dyDescent="0.25">
      <c r="F1402"/>
      <c r="G1402"/>
      <c r="P1402"/>
    </row>
    <row r="1403" spans="6:16" x14ac:dyDescent="0.25">
      <c r="F1403"/>
      <c r="G1403"/>
      <c r="P1403"/>
    </row>
    <row r="1404" spans="6:16" x14ac:dyDescent="0.25">
      <c r="F1404"/>
      <c r="G1404"/>
      <c r="P1404"/>
    </row>
    <row r="1405" spans="6:16" x14ac:dyDescent="0.25">
      <c r="F1405"/>
      <c r="G1405"/>
      <c r="P1405"/>
    </row>
    <row r="1406" spans="6:16" x14ac:dyDescent="0.25">
      <c r="F1406"/>
      <c r="G1406"/>
      <c r="P1406"/>
    </row>
    <row r="1407" spans="6:16" x14ac:dyDescent="0.25">
      <c r="F1407"/>
      <c r="G1407"/>
      <c r="P1407"/>
    </row>
    <row r="1408" spans="6:16" x14ac:dyDescent="0.25">
      <c r="F1408"/>
      <c r="G1408"/>
      <c r="P1408"/>
    </row>
    <row r="1409" spans="6:16" x14ac:dyDescent="0.25">
      <c r="F1409"/>
      <c r="G1409"/>
      <c r="P1409"/>
    </row>
    <row r="1410" spans="6:16" x14ac:dyDescent="0.25">
      <c r="F1410"/>
      <c r="G1410"/>
      <c r="P1410"/>
    </row>
    <row r="1411" spans="6:16" x14ac:dyDescent="0.25">
      <c r="F1411"/>
      <c r="G1411"/>
      <c r="P1411"/>
    </row>
    <row r="1412" spans="6:16" x14ac:dyDescent="0.25">
      <c r="F1412"/>
      <c r="G1412"/>
      <c r="P1412"/>
    </row>
    <row r="1413" spans="6:16" x14ac:dyDescent="0.25">
      <c r="F1413"/>
      <c r="G1413"/>
      <c r="P1413"/>
    </row>
    <row r="1414" spans="6:16" x14ac:dyDescent="0.25">
      <c r="F1414"/>
      <c r="G1414"/>
      <c r="P1414"/>
    </row>
    <row r="1415" spans="6:16" x14ac:dyDescent="0.25">
      <c r="F1415"/>
      <c r="G1415"/>
      <c r="P1415"/>
    </row>
    <row r="1416" spans="6:16" x14ac:dyDescent="0.25">
      <c r="F1416"/>
      <c r="G1416"/>
      <c r="P1416"/>
    </row>
    <row r="1417" spans="6:16" x14ac:dyDescent="0.25">
      <c r="F1417"/>
      <c r="G1417"/>
      <c r="P1417"/>
    </row>
    <row r="1418" spans="6:16" x14ac:dyDescent="0.25">
      <c r="F1418"/>
      <c r="G1418"/>
      <c r="P1418"/>
    </row>
    <row r="1419" spans="6:16" x14ac:dyDescent="0.25">
      <c r="F1419"/>
      <c r="G1419"/>
      <c r="P1419"/>
    </row>
    <row r="1420" spans="6:16" x14ac:dyDescent="0.25">
      <c r="F1420"/>
      <c r="G1420"/>
      <c r="P1420"/>
    </row>
    <row r="1421" spans="6:16" x14ac:dyDescent="0.25">
      <c r="F1421"/>
      <c r="G1421"/>
      <c r="P1421"/>
    </row>
    <row r="1422" spans="6:16" x14ac:dyDescent="0.25">
      <c r="F1422"/>
      <c r="G1422"/>
      <c r="P1422"/>
    </row>
    <row r="1423" spans="6:16" x14ac:dyDescent="0.25">
      <c r="F1423"/>
      <c r="G1423"/>
      <c r="P1423"/>
    </row>
    <row r="1424" spans="6:16" x14ac:dyDescent="0.25">
      <c r="F1424"/>
      <c r="G1424"/>
      <c r="P1424"/>
    </row>
    <row r="1425" spans="6:16" x14ac:dyDescent="0.25">
      <c r="F1425"/>
      <c r="G1425"/>
      <c r="P1425"/>
    </row>
    <row r="1426" spans="6:16" x14ac:dyDescent="0.25">
      <c r="F1426"/>
      <c r="G1426"/>
      <c r="P1426"/>
    </row>
    <row r="1427" spans="6:16" x14ac:dyDescent="0.25">
      <c r="F1427"/>
      <c r="G1427"/>
      <c r="P1427"/>
    </row>
    <row r="1428" spans="6:16" x14ac:dyDescent="0.25">
      <c r="F1428"/>
      <c r="G1428"/>
      <c r="P1428"/>
    </row>
    <row r="1429" spans="6:16" x14ac:dyDescent="0.25">
      <c r="F1429"/>
      <c r="G1429"/>
      <c r="P1429"/>
    </row>
    <row r="1430" spans="6:16" x14ac:dyDescent="0.25">
      <c r="F1430"/>
      <c r="G1430"/>
      <c r="P1430"/>
    </row>
    <row r="1431" spans="6:16" x14ac:dyDescent="0.25">
      <c r="F1431"/>
      <c r="G1431"/>
      <c r="P1431"/>
    </row>
    <row r="1432" spans="6:16" x14ac:dyDescent="0.25">
      <c r="F1432"/>
      <c r="G1432"/>
      <c r="P1432"/>
    </row>
    <row r="1433" spans="6:16" x14ac:dyDescent="0.25">
      <c r="F1433"/>
      <c r="G1433"/>
      <c r="P1433"/>
    </row>
    <row r="1434" spans="6:16" x14ac:dyDescent="0.25">
      <c r="F1434"/>
      <c r="G1434"/>
      <c r="P1434"/>
    </row>
    <row r="1435" spans="6:16" x14ac:dyDescent="0.25">
      <c r="F1435"/>
      <c r="G1435"/>
      <c r="P1435"/>
    </row>
    <row r="1436" spans="6:16" x14ac:dyDescent="0.25">
      <c r="F1436"/>
      <c r="G1436"/>
      <c r="P1436"/>
    </row>
    <row r="1437" spans="6:16" x14ac:dyDescent="0.25">
      <c r="F1437"/>
      <c r="G1437"/>
      <c r="P1437"/>
    </row>
    <row r="1438" spans="6:16" x14ac:dyDescent="0.25">
      <c r="F1438"/>
      <c r="G1438"/>
      <c r="P1438"/>
    </row>
    <row r="1439" spans="6:16" x14ac:dyDescent="0.25">
      <c r="F1439"/>
      <c r="G1439"/>
      <c r="P1439"/>
    </row>
    <row r="1440" spans="6:16" x14ac:dyDescent="0.25">
      <c r="F1440"/>
      <c r="G1440"/>
      <c r="P1440"/>
    </row>
    <row r="1441" spans="6:16" x14ac:dyDescent="0.25">
      <c r="F1441"/>
      <c r="G1441"/>
      <c r="P1441"/>
    </row>
    <row r="1442" spans="6:16" x14ac:dyDescent="0.25">
      <c r="F1442"/>
      <c r="G1442"/>
      <c r="P1442"/>
    </row>
    <row r="1443" spans="6:16" x14ac:dyDescent="0.25">
      <c r="F1443"/>
      <c r="G1443"/>
      <c r="P1443"/>
    </row>
    <row r="1444" spans="6:16" x14ac:dyDescent="0.25">
      <c r="F1444"/>
      <c r="G1444"/>
      <c r="P1444"/>
    </row>
    <row r="1445" spans="6:16" x14ac:dyDescent="0.25">
      <c r="F1445"/>
      <c r="G1445"/>
      <c r="P1445"/>
    </row>
    <row r="1446" spans="6:16" x14ac:dyDescent="0.25">
      <c r="F1446"/>
      <c r="G1446"/>
      <c r="P1446"/>
    </row>
    <row r="1447" spans="6:16" x14ac:dyDescent="0.25">
      <c r="F1447"/>
      <c r="G1447"/>
      <c r="P1447"/>
    </row>
    <row r="1448" spans="6:16" x14ac:dyDescent="0.25">
      <c r="F1448"/>
      <c r="G1448"/>
      <c r="P1448"/>
    </row>
    <row r="1449" spans="6:16" x14ac:dyDescent="0.25">
      <c r="F1449"/>
      <c r="G1449"/>
      <c r="P1449"/>
    </row>
    <row r="1450" spans="6:16" x14ac:dyDescent="0.25">
      <c r="F1450"/>
      <c r="G1450"/>
      <c r="P1450"/>
    </row>
    <row r="1451" spans="6:16" x14ac:dyDescent="0.25">
      <c r="F1451"/>
      <c r="G1451"/>
      <c r="P1451"/>
    </row>
    <row r="1452" spans="6:16" x14ac:dyDescent="0.25">
      <c r="F1452"/>
      <c r="G1452"/>
      <c r="P1452"/>
    </row>
    <row r="1453" spans="6:16" x14ac:dyDescent="0.25">
      <c r="F1453"/>
      <c r="G1453"/>
      <c r="P1453"/>
    </row>
    <row r="1454" spans="6:16" x14ac:dyDescent="0.25">
      <c r="F1454"/>
      <c r="G1454"/>
      <c r="P1454"/>
    </row>
    <row r="1455" spans="6:16" x14ac:dyDescent="0.25">
      <c r="F1455"/>
      <c r="G1455"/>
      <c r="P1455"/>
    </row>
    <row r="1456" spans="6:16" x14ac:dyDescent="0.25">
      <c r="F1456"/>
      <c r="G1456"/>
      <c r="P1456"/>
    </row>
    <row r="1457" spans="6:16" x14ac:dyDescent="0.25">
      <c r="F1457"/>
      <c r="G1457"/>
      <c r="P1457"/>
    </row>
    <row r="1458" spans="6:16" x14ac:dyDescent="0.25">
      <c r="F1458"/>
      <c r="G1458"/>
      <c r="P1458"/>
    </row>
    <row r="1459" spans="6:16" x14ac:dyDescent="0.25">
      <c r="F1459"/>
      <c r="G1459"/>
      <c r="P1459"/>
    </row>
    <row r="1460" spans="6:16" x14ac:dyDescent="0.25">
      <c r="F1460"/>
      <c r="G1460"/>
      <c r="P1460"/>
    </row>
    <row r="1461" spans="6:16" x14ac:dyDescent="0.25">
      <c r="F1461"/>
      <c r="G1461"/>
      <c r="P1461"/>
    </row>
    <row r="1462" spans="6:16" x14ac:dyDescent="0.25">
      <c r="F1462"/>
      <c r="G1462"/>
      <c r="P1462"/>
    </row>
    <row r="1463" spans="6:16" x14ac:dyDescent="0.25">
      <c r="F1463"/>
      <c r="G1463"/>
      <c r="P1463"/>
    </row>
    <row r="1464" spans="6:16" x14ac:dyDescent="0.25">
      <c r="F1464"/>
      <c r="G1464"/>
      <c r="P1464"/>
    </row>
    <row r="1465" spans="6:16" x14ac:dyDescent="0.25">
      <c r="F1465"/>
      <c r="G1465"/>
      <c r="P1465"/>
    </row>
    <row r="1466" spans="6:16" x14ac:dyDescent="0.25">
      <c r="F1466"/>
      <c r="G1466"/>
      <c r="P1466"/>
    </row>
    <row r="1467" spans="6:16" x14ac:dyDescent="0.25">
      <c r="F1467"/>
      <c r="G1467"/>
      <c r="P1467"/>
    </row>
    <row r="1468" spans="6:16" x14ac:dyDescent="0.25">
      <c r="F1468"/>
      <c r="G1468"/>
      <c r="P1468"/>
    </row>
    <row r="1469" spans="6:16" x14ac:dyDescent="0.25">
      <c r="F1469"/>
      <c r="G1469"/>
      <c r="P1469"/>
    </row>
    <row r="1470" spans="6:16" x14ac:dyDescent="0.25">
      <c r="F1470"/>
      <c r="G1470"/>
      <c r="P1470"/>
    </row>
    <row r="1471" spans="6:16" x14ac:dyDescent="0.25">
      <c r="F1471"/>
      <c r="G1471"/>
      <c r="P1471"/>
    </row>
    <row r="1472" spans="6:16" x14ac:dyDescent="0.25">
      <c r="F1472"/>
      <c r="G1472"/>
      <c r="P1472"/>
    </row>
    <row r="1473" spans="6:16" x14ac:dyDescent="0.25">
      <c r="F1473"/>
      <c r="G1473"/>
      <c r="P1473"/>
    </row>
    <row r="1474" spans="6:16" x14ac:dyDescent="0.25">
      <c r="F1474"/>
      <c r="G1474"/>
      <c r="P1474"/>
    </row>
    <row r="1475" spans="6:16" x14ac:dyDescent="0.25">
      <c r="F1475"/>
      <c r="G1475"/>
      <c r="P1475"/>
    </row>
    <row r="1476" spans="6:16" x14ac:dyDescent="0.25">
      <c r="F1476"/>
      <c r="G1476"/>
      <c r="P1476"/>
    </row>
    <row r="1477" spans="6:16" x14ac:dyDescent="0.25">
      <c r="F1477"/>
      <c r="G1477"/>
      <c r="P1477"/>
    </row>
    <row r="1478" spans="6:16" x14ac:dyDescent="0.25">
      <c r="F1478"/>
      <c r="G1478"/>
      <c r="P1478"/>
    </row>
    <row r="1479" spans="6:16" x14ac:dyDescent="0.25">
      <c r="F1479"/>
      <c r="G1479"/>
      <c r="P1479"/>
    </row>
    <row r="1480" spans="6:16" x14ac:dyDescent="0.25">
      <c r="F1480"/>
      <c r="G1480"/>
      <c r="P1480"/>
    </row>
    <row r="1481" spans="6:16" x14ac:dyDescent="0.25">
      <c r="F1481"/>
      <c r="G1481"/>
      <c r="P1481"/>
    </row>
    <row r="1482" spans="6:16" x14ac:dyDescent="0.25">
      <c r="F1482"/>
      <c r="G1482"/>
      <c r="P1482"/>
    </row>
    <row r="1483" spans="6:16" x14ac:dyDescent="0.25">
      <c r="F1483"/>
      <c r="G1483"/>
      <c r="P1483"/>
    </row>
    <row r="1484" spans="6:16" x14ac:dyDescent="0.25">
      <c r="F1484"/>
      <c r="G1484"/>
      <c r="P1484"/>
    </row>
    <row r="1485" spans="6:16" x14ac:dyDescent="0.25">
      <c r="F1485"/>
      <c r="G1485"/>
      <c r="P1485"/>
    </row>
    <row r="1486" spans="6:16" x14ac:dyDescent="0.25">
      <c r="F1486"/>
      <c r="G1486"/>
      <c r="P1486"/>
    </row>
    <row r="1487" spans="6:16" x14ac:dyDescent="0.25">
      <c r="F1487"/>
      <c r="G1487"/>
      <c r="P1487"/>
    </row>
    <row r="1488" spans="6:16" x14ac:dyDescent="0.25">
      <c r="F1488"/>
      <c r="G1488"/>
      <c r="P1488"/>
    </row>
    <row r="1489" spans="6:16" x14ac:dyDescent="0.25">
      <c r="F1489"/>
      <c r="G1489"/>
      <c r="P1489"/>
    </row>
    <row r="1490" spans="6:16" x14ac:dyDescent="0.25">
      <c r="F1490"/>
      <c r="G1490"/>
      <c r="P1490"/>
    </row>
    <row r="1491" spans="6:16" x14ac:dyDescent="0.25">
      <c r="F1491"/>
      <c r="G1491"/>
      <c r="P1491"/>
    </row>
    <row r="1492" spans="6:16" x14ac:dyDescent="0.25">
      <c r="F1492"/>
      <c r="G1492"/>
      <c r="P1492"/>
    </row>
    <row r="1493" spans="6:16" x14ac:dyDescent="0.25">
      <c r="F1493"/>
      <c r="G1493"/>
      <c r="P1493"/>
    </row>
    <row r="1494" spans="6:16" x14ac:dyDescent="0.25">
      <c r="F1494"/>
      <c r="G1494"/>
      <c r="P1494"/>
    </row>
    <row r="1495" spans="6:16" x14ac:dyDescent="0.25">
      <c r="F1495"/>
      <c r="G1495"/>
      <c r="P1495"/>
    </row>
    <row r="1496" spans="6:16" x14ac:dyDescent="0.25">
      <c r="F1496"/>
      <c r="G1496"/>
      <c r="P1496"/>
    </row>
    <row r="1497" spans="6:16" x14ac:dyDescent="0.25">
      <c r="F1497"/>
      <c r="G1497"/>
      <c r="P1497"/>
    </row>
    <row r="1498" spans="6:16" x14ac:dyDescent="0.25">
      <c r="F1498"/>
      <c r="G1498"/>
      <c r="P1498"/>
    </row>
    <row r="1499" spans="6:16" x14ac:dyDescent="0.25">
      <c r="F1499"/>
      <c r="G1499"/>
      <c r="P1499"/>
    </row>
    <row r="1500" spans="6:16" x14ac:dyDescent="0.25">
      <c r="F1500"/>
      <c r="G1500"/>
      <c r="P1500"/>
    </row>
    <row r="1501" spans="6:16" x14ac:dyDescent="0.25">
      <c r="F1501"/>
      <c r="G1501"/>
      <c r="P1501"/>
    </row>
    <row r="1502" spans="6:16" x14ac:dyDescent="0.25">
      <c r="F1502"/>
      <c r="G1502"/>
      <c r="P1502"/>
    </row>
    <row r="1503" spans="6:16" x14ac:dyDescent="0.25">
      <c r="F1503"/>
      <c r="G1503"/>
      <c r="P1503"/>
    </row>
    <row r="1504" spans="6:16" x14ac:dyDescent="0.25">
      <c r="F1504"/>
      <c r="G1504"/>
      <c r="P1504"/>
    </row>
    <row r="1505" spans="6:16" x14ac:dyDescent="0.25">
      <c r="F1505"/>
      <c r="G1505"/>
      <c r="P1505"/>
    </row>
    <row r="1506" spans="6:16" x14ac:dyDescent="0.25">
      <c r="F1506"/>
      <c r="G1506"/>
      <c r="P1506"/>
    </row>
    <row r="1507" spans="6:16" x14ac:dyDescent="0.25">
      <c r="F1507"/>
      <c r="G1507"/>
      <c r="P1507"/>
    </row>
    <row r="1508" spans="6:16" x14ac:dyDescent="0.25">
      <c r="F1508"/>
      <c r="G1508"/>
      <c r="P1508"/>
    </row>
    <row r="1509" spans="6:16" x14ac:dyDescent="0.25">
      <c r="F1509"/>
      <c r="G1509"/>
      <c r="P1509"/>
    </row>
    <row r="1510" spans="6:16" x14ac:dyDescent="0.25">
      <c r="F1510"/>
      <c r="G1510"/>
      <c r="P1510"/>
    </row>
    <row r="1511" spans="6:16" x14ac:dyDescent="0.25">
      <c r="F1511"/>
      <c r="G1511"/>
      <c r="P1511"/>
    </row>
    <row r="1512" spans="6:16" x14ac:dyDescent="0.25">
      <c r="F1512"/>
      <c r="G1512"/>
      <c r="P1512"/>
    </row>
    <row r="1513" spans="6:16" x14ac:dyDescent="0.25">
      <c r="F1513"/>
      <c r="G1513"/>
      <c r="P1513"/>
    </row>
    <row r="1514" spans="6:16" x14ac:dyDescent="0.25">
      <c r="F1514"/>
      <c r="G1514"/>
      <c r="P1514"/>
    </row>
    <row r="1515" spans="6:16" x14ac:dyDescent="0.25">
      <c r="F1515"/>
      <c r="G1515"/>
      <c r="P1515"/>
    </row>
    <row r="1516" spans="6:16" x14ac:dyDescent="0.25">
      <c r="F1516"/>
      <c r="G1516"/>
      <c r="P1516"/>
    </row>
    <row r="1517" spans="6:16" x14ac:dyDescent="0.25">
      <c r="F1517"/>
      <c r="G1517"/>
      <c r="P1517"/>
    </row>
    <row r="1518" spans="6:16" x14ac:dyDescent="0.25">
      <c r="F1518"/>
      <c r="G1518"/>
      <c r="P1518"/>
    </row>
    <row r="1519" spans="6:16" x14ac:dyDescent="0.25">
      <c r="F1519"/>
      <c r="G1519"/>
      <c r="P1519"/>
    </row>
    <row r="1520" spans="6:16" x14ac:dyDescent="0.25">
      <c r="F1520"/>
      <c r="G1520"/>
      <c r="P1520"/>
    </row>
    <row r="1521" spans="6:16" x14ac:dyDescent="0.25">
      <c r="F1521"/>
      <c r="G1521"/>
      <c r="P1521"/>
    </row>
    <row r="1522" spans="6:16" x14ac:dyDescent="0.25">
      <c r="F1522"/>
      <c r="G1522"/>
      <c r="P1522"/>
    </row>
    <row r="1523" spans="6:16" x14ac:dyDescent="0.25">
      <c r="F1523"/>
      <c r="G1523"/>
      <c r="P1523"/>
    </row>
    <row r="1524" spans="6:16" x14ac:dyDescent="0.25">
      <c r="F1524"/>
      <c r="G1524"/>
      <c r="P1524"/>
    </row>
    <row r="1525" spans="6:16" x14ac:dyDescent="0.25">
      <c r="F1525"/>
      <c r="G1525"/>
      <c r="P1525"/>
    </row>
    <row r="1526" spans="6:16" x14ac:dyDescent="0.25">
      <c r="F1526"/>
      <c r="G1526"/>
      <c r="P1526"/>
    </row>
    <row r="1527" spans="6:16" x14ac:dyDescent="0.25">
      <c r="F1527"/>
      <c r="G1527"/>
      <c r="P1527"/>
    </row>
    <row r="1528" spans="6:16" x14ac:dyDescent="0.25">
      <c r="F1528"/>
      <c r="G1528"/>
      <c r="P1528"/>
    </row>
    <row r="1529" spans="6:16" x14ac:dyDescent="0.25">
      <c r="F1529"/>
      <c r="G1529"/>
      <c r="P1529"/>
    </row>
    <row r="1530" spans="6:16" x14ac:dyDescent="0.25">
      <c r="F1530"/>
      <c r="G1530"/>
      <c r="P1530"/>
    </row>
    <row r="1531" spans="6:16" x14ac:dyDescent="0.25">
      <c r="F1531"/>
      <c r="G1531"/>
      <c r="P1531"/>
    </row>
    <row r="1532" spans="6:16" x14ac:dyDescent="0.25">
      <c r="F1532"/>
      <c r="G1532"/>
      <c r="P1532"/>
    </row>
    <row r="1533" spans="6:16" x14ac:dyDescent="0.25">
      <c r="F1533"/>
      <c r="G1533"/>
      <c r="P1533"/>
    </row>
    <row r="1534" spans="6:16" x14ac:dyDescent="0.25">
      <c r="F1534"/>
      <c r="G1534"/>
      <c r="P1534"/>
    </row>
    <row r="1535" spans="6:16" x14ac:dyDescent="0.25">
      <c r="F1535"/>
      <c r="G1535"/>
      <c r="P1535"/>
    </row>
    <row r="1536" spans="6:16" x14ac:dyDescent="0.25">
      <c r="F1536"/>
      <c r="G1536"/>
      <c r="P1536"/>
    </row>
    <row r="1537" spans="6:16" x14ac:dyDescent="0.25">
      <c r="F1537"/>
      <c r="G1537"/>
      <c r="P1537"/>
    </row>
    <row r="1538" spans="6:16" x14ac:dyDescent="0.25">
      <c r="F1538"/>
      <c r="G1538"/>
      <c r="P1538"/>
    </row>
    <row r="1539" spans="6:16" x14ac:dyDescent="0.25">
      <c r="F1539"/>
      <c r="G1539"/>
      <c r="P1539"/>
    </row>
    <row r="1540" spans="6:16" x14ac:dyDescent="0.25">
      <c r="F1540"/>
      <c r="G1540"/>
      <c r="P1540"/>
    </row>
    <row r="1541" spans="6:16" x14ac:dyDescent="0.25">
      <c r="F1541"/>
      <c r="G1541"/>
      <c r="P1541"/>
    </row>
    <row r="1542" spans="6:16" x14ac:dyDescent="0.25">
      <c r="F1542"/>
      <c r="G1542"/>
      <c r="P1542"/>
    </row>
    <row r="1543" spans="6:16" x14ac:dyDescent="0.25">
      <c r="F1543"/>
      <c r="G1543"/>
      <c r="P1543"/>
    </row>
    <row r="1544" spans="6:16" x14ac:dyDescent="0.25">
      <c r="F1544"/>
      <c r="G1544"/>
      <c r="P1544"/>
    </row>
    <row r="1545" spans="6:16" x14ac:dyDescent="0.25">
      <c r="F1545"/>
      <c r="G1545"/>
      <c r="P1545"/>
    </row>
    <row r="1546" spans="6:16" x14ac:dyDescent="0.25">
      <c r="F1546"/>
      <c r="G1546"/>
      <c r="P1546"/>
    </row>
    <row r="1547" spans="6:16" x14ac:dyDescent="0.25">
      <c r="F1547"/>
      <c r="G1547"/>
      <c r="P1547"/>
    </row>
    <row r="1548" spans="6:16" x14ac:dyDescent="0.25">
      <c r="F1548"/>
      <c r="G1548"/>
      <c r="P1548"/>
    </row>
    <row r="1549" spans="6:16" x14ac:dyDescent="0.25">
      <c r="F1549"/>
      <c r="G1549"/>
      <c r="P1549"/>
    </row>
    <row r="1550" spans="6:16" x14ac:dyDescent="0.25">
      <c r="F1550"/>
      <c r="G1550"/>
      <c r="P1550"/>
    </row>
    <row r="1551" spans="6:16" x14ac:dyDescent="0.25">
      <c r="F1551"/>
      <c r="G1551"/>
      <c r="P1551"/>
    </row>
    <row r="1552" spans="6:16" x14ac:dyDescent="0.25">
      <c r="F1552"/>
      <c r="G1552"/>
      <c r="P1552"/>
    </row>
    <row r="1553" spans="6:16" x14ac:dyDescent="0.25">
      <c r="F1553"/>
      <c r="G1553"/>
      <c r="P1553"/>
    </row>
    <row r="1554" spans="6:16" x14ac:dyDescent="0.25">
      <c r="F1554"/>
      <c r="G1554"/>
      <c r="P1554"/>
    </row>
    <row r="1555" spans="6:16" x14ac:dyDescent="0.25">
      <c r="F1555"/>
      <c r="G1555"/>
      <c r="P1555"/>
    </row>
    <row r="1556" spans="6:16" x14ac:dyDescent="0.25">
      <c r="F1556"/>
      <c r="G1556"/>
      <c r="P1556"/>
    </row>
    <row r="1557" spans="6:16" x14ac:dyDescent="0.25">
      <c r="F1557"/>
      <c r="G1557"/>
      <c r="P1557"/>
    </row>
    <row r="1558" spans="6:16" x14ac:dyDescent="0.25">
      <c r="F1558"/>
      <c r="G1558"/>
      <c r="P1558"/>
    </row>
    <row r="1559" spans="6:16" x14ac:dyDescent="0.25">
      <c r="F1559"/>
      <c r="G1559"/>
      <c r="P1559"/>
    </row>
    <row r="1560" spans="6:16" x14ac:dyDescent="0.25">
      <c r="F1560"/>
      <c r="G1560"/>
      <c r="P1560"/>
    </row>
    <row r="1561" spans="6:16" x14ac:dyDescent="0.25">
      <c r="F1561"/>
      <c r="G1561"/>
      <c r="P1561"/>
    </row>
    <row r="1562" spans="6:16" x14ac:dyDescent="0.25">
      <c r="F1562"/>
      <c r="G1562"/>
      <c r="P1562"/>
    </row>
    <row r="1563" spans="6:16" x14ac:dyDescent="0.25">
      <c r="F1563"/>
      <c r="G1563"/>
      <c r="P1563"/>
    </row>
    <row r="1564" spans="6:16" x14ac:dyDescent="0.25">
      <c r="F1564"/>
      <c r="G1564"/>
      <c r="P1564"/>
    </row>
    <row r="1565" spans="6:16" x14ac:dyDescent="0.25">
      <c r="F1565"/>
      <c r="G1565"/>
      <c r="P1565"/>
    </row>
    <row r="1566" spans="6:16" x14ac:dyDescent="0.25">
      <c r="F1566"/>
      <c r="G1566"/>
      <c r="P1566"/>
    </row>
    <row r="1567" spans="6:16" x14ac:dyDescent="0.25">
      <c r="F1567"/>
      <c r="G1567"/>
      <c r="P1567"/>
    </row>
    <row r="1568" spans="6:16" x14ac:dyDescent="0.25">
      <c r="F1568"/>
      <c r="G1568"/>
      <c r="P1568"/>
    </row>
    <row r="1569" spans="6:16" x14ac:dyDescent="0.25">
      <c r="F1569"/>
      <c r="G1569"/>
      <c r="P1569"/>
    </row>
    <row r="1570" spans="6:16" x14ac:dyDescent="0.25">
      <c r="F1570"/>
      <c r="G1570"/>
      <c r="P1570"/>
    </row>
    <row r="1571" spans="6:16" x14ac:dyDescent="0.25">
      <c r="F1571"/>
      <c r="G1571"/>
      <c r="P1571"/>
    </row>
    <row r="1572" spans="6:16" x14ac:dyDescent="0.25">
      <c r="F1572"/>
      <c r="G1572"/>
      <c r="P1572"/>
    </row>
    <row r="1573" spans="6:16" x14ac:dyDescent="0.25">
      <c r="F1573"/>
      <c r="G1573"/>
      <c r="P1573"/>
    </row>
    <row r="1574" spans="6:16" x14ac:dyDescent="0.25">
      <c r="F1574"/>
      <c r="G1574"/>
      <c r="P1574"/>
    </row>
    <row r="1575" spans="6:16" x14ac:dyDescent="0.25">
      <c r="F1575"/>
      <c r="G1575"/>
      <c r="P1575"/>
    </row>
    <row r="1576" spans="6:16" x14ac:dyDescent="0.25">
      <c r="F1576"/>
      <c r="G1576"/>
      <c r="P1576"/>
    </row>
    <row r="1577" spans="6:16" x14ac:dyDescent="0.25">
      <c r="F1577"/>
      <c r="G1577"/>
      <c r="P1577"/>
    </row>
    <row r="1578" spans="6:16" x14ac:dyDescent="0.25">
      <c r="F1578"/>
      <c r="G1578"/>
      <c r="P1578"/>
    </row>
    <row r="1579" spans="6:16" x14ac:dyDescent="0.25">
      <c r="F1579"/>
      <c r="G1579"/>
      <c r="P1579"/>
    </row>
    <row r="1580" spans="6:16" x14ac:dyDescent="0.25">
      <c r="F1580"/>
      <c r="G1580"/>
      <c r="P1580"/>
    </row>
    <row r="1581" spans="6:16" x14ac:dyDescent="0.25">
      <c r="F1581"/>
      <c r="G1581"/>
      <c r="P1581"/>
    </row>
    <row r="1582" spans="6:16" x14ac:dyDescent="0.25">
      <c r="F1582"/>
      <c r="G1582"/>
      <c r="P1582"/>
    </row>
    <row r="1583" spans="6:16" x14ac:dyDescent="0.25">
      <c r="F1583"/>
      <c r="G1583"/>
      <c r="P1583"/>
    </row>
    <row r="1584" spans="6:16" x14ac:dyDescent="0.25">
      <c r="F1584"/>
      <c r="G1584"/>
      <c r="P1584"/>
    </row>
    <row r="1585" spans="6:16" x14ac:dyDescent="0.25">
      <c r="F1585"/>
      <c r="G1585"/>
      <c r="P1585"/>
    </row>
    <row r="1586" spans="6:16" x14ac:dyDescent="0.25">
      <c r="F1586"/>
      <c r="G1586"/>
      <c r="P1586"/>
    </row>
    <row r="1587" spans="6:16" x14ac:dyDescent="0.25">
      <c r="F1587"/>
      <c r="G1587"/>
      <c r="P1587"/>
    </row>
    <row r="1588" spans="6:16" x14ac:dyDescent="0.25">
      <c r="F1588"/>
      <c r="G1588"/>
      <c r="P1588"/>
    </row>
    <row r="1589" spans="6:16" x14ac:dyDescent="0.25">
      <c r="F1589"/>
      <c r="G1589"/>
      <c r="P1589"/>
    </row>
    <row r="1590" spans="6:16" x14ac:dyDescent="0.25">
      <c r="F1590"/>
      <c r="G1590"/>
      <c r="P1590"/>
    </row>
    <row r="1591" spans="6:16" x14ac:dyDescent="0.25">
      <c r="F1591"/>
      <c r="G1591"/>
      <c r="P1591"/>
    </row>
    <row r="1592" spans="6:16" x14ac:dyDescent="0.25">
      <c r="F1592"/>
      <c r="G1592"/>
      <c r="P1592"/>
    </row>
    <row r="1593" spans="6:16" x14ac:dyDescent="0.25">
      <c r="F1593"/>
      <c r="G1593"/>
      <c r="P1593"/>
    </row>
    <row r="1594" spans="6:16" x14ac:dyDescent="0.25">
      <c r="F1594"/>
      <c r="G1594"/>
      <c r="P1594"/>
    </row>
    <row r="1595" spans="6:16" x14ac:dyDescent="0.25">
      <c r="F1595"/>
      <c r="G1595"/>
      <c r="P1595"/>
    </row>
    <row r="1596" spans="6:16" x14ac:dyDescent="0.25">
      <c r="F1596"/>
      <c r="G1596"/>
      <c r="P1596"/>
    </row>
    <row r="1597" spans="6:16" x14ac:dyDescent="0.25">
      <c r="F1597"/>
      <c r="G1597"/>
      <c r="P1597"/>
    </row>
    <row r="1598" spans="6:16" x14ac:dyDescent="0.25">
      <c r="F1598"/>
      <c r="G1598"/>
      <c r="P1598"/>
    </row>
    <row r="1599" spans="6:16" x14ac:dyDescent="0.25">
      <c r="F1599"/>
      <c r="G1599"/>
      <c r="P1599"/>
    </row>
    <row r="1600" spans="6:16" x14ac:dyDescent="0.25">
      <c r="F1600"/>
      <c r="G1600"/>
      <c r="P1600"/>
    </row>
    <row r="1601" spans="6:16" x14ac:dyDescent="0.25">
      <c r="F1601"/>
      <c r="G1601"/>
      <c r="P1601"/>
    </row>
    <row r="1602" spans="6:16" x14ac:dyDescent="0.25">
      <c r="F1602"/>
      <c r="G1602"/>
      <c r="P1602"/>
    </row>
    <row r="1603" spans="6:16" x14ac:dyDescent="0.25">
      <c r="F1603"/>
      <c r="G1603"/>
      <c r="P1603"/>
    </row>
    <row r="1604" spans="6:16" x14ac:dyDescent="0.25">
      <c r="F1604"/>
      <c r="G1604"/>
      <c r="P1604"/>
    </row>
    <row r="1605" spans="6:16" x14ac:dyDescent="0.25">
      <c r="F1605"/>
      <c r="G1605"/>
      <c r="P1605"/>
    </row>
    <row r="1606" spans="6:16" x14ac:dyDescent="0.25">
      <c r="F1606"/>
      <c r="G1606"/>
      <c r="P1606"/>
    </row>
    <row r="1607" spans="6:16" x14ac:dyDescent="0.25">
      <c r="F1607"/>
      <c r="G1607"/>
      <c r="P1607"/>
    </row>
    <row r="1608" spans="6:16" x14ac:dyDescent="0.25">
      <c r="F1608"/>
      <c r="G1608"/>
      <c r="P1608"/>
    </row>
    <row r="1609" spans="6:16" x14ac:dyDescent="0.25">
      <c r="F1609"/>
      <c r="G1609"/>
      <c r="P1609"/>
    </row>
    <row r="1610" spans="6:16" x14ac:dyDescent="0.25">
      <c r="F1610"/>
      <c r="G1610"/>
      <c r="P1610"/>
    </row>
    <row r="1611" spans="6:16" x14ac:dyDescent="0.25">
      <c r="F1611"/>
      <c r="G1611"/>
      <c r="P1611"/>
    </row>
    <row r="1612" spans="6:16" x14ac:dyDescent="0.25">
      <c r="F1612"/>
      <c r="G1612"/>
      <c r="P1612"/>
    </row>
    <row r="1613" spans="6:16" x14ac:dyDescent="0.25">
      <c r="F1613"/>
      <c r="G1613"/>
      <c r="P1613"/>
    </row>
    <row r="1614" spans="6:16" x14ac:dyDescent="0.25">
      <c r="F1614"/>
      <c r="G1614"/>
      <c r="P1614"/>
    </row>
    <row r="1615" spans="6:16" x14ac:dyDescent="0.25">
      <c r="F1615"/>
      <c r="G1615"/>
      <c r="P1615"/>
    </row>
    <row r="1616" spans="6:16" x14ac:dyDescent="0.25">
      <c r="F1616"/>
      <c r="G1616"/>
      <c r="P1616"/>
    </row>
    <row r="1617" spans="6:16" x14ac:dyDescent="0.25">
      <c r="F1617"/>
      <c r="G1617"/>
      <c r="P1617"/>
    </row>
    <row r="1618" spans="6:16" x14ac:dyDescent="0.25">
      <c r="F1618"/>
      <c r="G1618"/>
      <c r="P1618"/>
    </row>
    <row r="1619" spans="6:16" x14ac:dyDescent="0.25">
      <c r="F1619"/>
      <c r="G1619"/>
      <c r="P1619"/>
    </row>
    <row r="1620" spans="6:16" x14ac:dyDescent="0.25">
      <c r="F1620"/>
      <c r="G1620"/>
      <c r="P1620"/>
    </row>
    <row r="1621" spans="6:16" x14ac:dyDescent="0.25">
      <c r="F1621"/>
      <c r="G1621"/>
      <c r="P1621"/>
    </row>
    <row r="1622" spans="6:16" x14ac:dyDescent="0.25">
      <c r="F1622"/>
      <c r="G1622"/>
      <c r="P1622"/>
    </row>
    <row r="1623" spans="6:16" x14ac:dyDescent="0.25">
      <c r="F1623"/>
      <c r="G1623"/>
      <c r="P1623"/>
    </row>
    <row r="1624" spans="6:16" x14ac:dyDescent="0.25">
      <c r="F1624"/>
      <c r="G1624"/>
      <c r="P1624"/>
    </row>
    <row r="1625" spans="6:16" x14ac:dyDescent="0.25">
      <c r="F1625"/>
      <c r="G1625"/>
      <c r="P1625"/>
    </row>
    <row r="1626" spans="6:16" x14ac:dyDescent="0.25">
      <c r="F1626"/>
      <c r="G1626"/>
      <c r="P1626"/>
    </row>
    <row r="1627" spans="6:16" x14ac:dyDescent="0.25">
      <c r="F1627"/>
      <c r="G1627"/>
      <c r="P1627"/>
    </row>
    <row r="1628" spans="6:16" x14ac:dyDescent="0.25">
      <c r="F1628"/>
      <c r="G1628"/>
      <c r="P1628"/>
    </row>
    <row r="1629" spans="6:16" x14ac:dyDescent="0.25">
      <c r="F1629"/>
      <c r="G1629"/>
      <c r="P1629"/>
    </row>
    <row r="1630" spans="6:16" x14ac:dyDescent="0.25">
      <c r="F1630"/>
      <c r="G1630"/>
      <c r="P1630"/>
    </row>
    <row r="1631" spans="6:16" x14ac:dyDescent="0.25">
      <c r="F1631"/>
      <c r="G1631"/>
      <c r="P1631"/>
    </row>
    <row r="1632" spans="6:16" x14ac:dyDescent="0.25">
      <c r="F1632"/>
      <c r="G1632"/>
      <c r="P1632"/>
    </row>
    <row r="1633" spans="6:16" x14ac:dyDescent="0.25">
      <c r="F1633"/>
      <c r="G1633"/>
      <c r="P1633"/>
    </row>
    <row r="1634" spans="6:16" x14ac:dyDescent="0.25">
      <c r="F1634"/>
      <c r="G1634"/>
      <c r="P1634"/>
    </row>
    <row r="1635" spans="6:16" x14ac:dyDescent="0.25">
      <c r="F1635"/>
      <c r="G1635"/>
      <c r="P1635"/>
    </row>
    <row r="1636" spans="6:16" x14ac:dyDescent="0.25">
      <c r="F1636"/>
      <c r="G1636"/>
      <c r="P1636"/>
    </row>
    <row r="1637" spans="6:16" x14ac:dyDescent="0.25">
      <c r="F1637"/>
      <c r="G1637"/>
      <c r="P1637"/>
    </row>
    <row r="1638" spans="6:16" x14ac:dyDescent="0.25">
      <c r="F1638"/>
      <c r="G1638"/>
      <c r="P1638"/>
    </row>
    <row r="1639" spans="6:16" x14ac:dyDescent="0.25">
      <c r="F1639"/>
      <c r="G1639"/>
      <c r="P1639"/>
    </row>
    <row r="1640" spans="6:16" x14ac:dyDescent="0.25">
      <c r="F1640"/>
      <c r="G1640"/>
      <c r="P1640"/>
    </row>
    <row r="1641" spans="6:16" x14ac:dyDescent="0.25">
      <c r="F1641"/>
      <c r="G1641"/>
      <c r="P1641"/>
    </row>
    <row r="1642" spans="6:16" x14ac:dyDescent="0.25">
      <c r="F1642"/>
      <c r="G1642"/>
      <c r="P1642"/>
    </row>
    <row r="1643" spans="6:16" x14ac:dyDescent="0.25">
      <c r="F1643"/>
      <c r="G1643"/>
      <c r="P1643"/>
    </row>
    <row r="1644" spans="6:16" x14ac:dyDescent="0.25">
      <c r="F1644"/>
      <c r="G1644"/>
      <c r="P1644"/>
    </row>
    <row r="1645" spans="6:16" x14ac:dyDescent="0.25">
      <c r="F1645"/>
      <c r="G1645"/>
      <c r="P1645"/>
    </row>
    <row r="1646" spans="6:16" x14ac:dyDescent="0.25">
      <c r="F1646"/>
      <c r="G1646"/>
      <c r="P1646"/>
    </row>
    <row r="1647" spans="6:16" x14ac:dyDescent="0.25">
      <c r="F1647"/>
      <c r="G1647"/>
      <c r="P1647"/>
    </row>
    <row r="1648" spans="6:16" x14ac:dyDescent="0.25">
      <c r="F1648"/>
      <c r="G1648"/>
      <c r="P1648"/>
    </row>
    <row r="1649" spans="6:16" x14ac:dyDescent="0.25">
      <c r="F1649"/>
      <c r="G1649"/>
      <c r="P1649"/>
    </row>
    <row r="1650" spans="6:16" x14ac:dyDescent="0.25">
      <c r="F1650"/>
      <c r="G1650"/>
      <c r="P1650"/>
    </row>
    <row r="1651" spans="6:16" x14ac:dyDescent="0.25">
      <c r="F1651"/>
      <c r="G1651"/>
      <c r="P1651"/>
    </row>
    <row r="1652" spans="6:16" x14ac:dyDescent="0.25">
      <c r="F1652"/>
      <c r="G1652"/>
      <c r="P1652"/>
    </row>
    <row r="1653" spans="6:16" x14ac:dyDescent="0.25">
      <c r="F1653"/>
      <c r="G1653"/>
      <c r="P1653"/>
    </row>
    <row r="1654" spans="6:16" x14ac:dyDescent="0.25">
      <c r="F1654"/>
      <c r="G1654"/>
      <c r="P1654"/>
    </row>
    <row r="1655" spans="6:16" x14ac:dyDescent="0.25">
      <c r="F1655"/>
      <c r="G1655"/>
      <c r="P1655"/>
    </row>
    <row r="1656" spans="6:16" x14ac:dyDescent="0.25">
      <c r="F1656"/>
      <c r="G1656"/>
      <c r="P1656"/>
    </row>
    <row r="1657" spans="6:16" x14ac:dyDescent="0.25">
      <c r="F1657"/>
      <c r="G1657"/>
      <c r="P1657"/>
    </row>
    <row r="1658" spans="6:16" x14ac:dyDescent="0.25">
      <c r="F1658"/>
      <c r="G1658"/>
      <c r="P1658"/>
    </row>
    <row r="1659" spans="6:16" x14ac:dyDescent="0.25">
      <c r="F1659"/>
      <c r="G1659"/>
      <c r="P1659"/>
    </row>
    <row r="1660" spans="6:16" x14ac:dyDescent="0.25">
      <c r="F1660"/>
      <c r="G1660"/>
      <c r="P1660"/>
    </row>
    <row r="1661" spans="6:16" x14ac:dyDescent="0.25">
      <c r="F1661"/>
      <c r="G1661"/>
      <c r="P1661"/>
    </row>
    <row r="1662" spans="6:16" x14ac:dyDescent="0.25">
      <c r="F1662"/>
      <c r="G1662"/>
      <c r="P1662"/>
    </row>
    <row r="1663" spans="6:16" x14ac:dyDescent="0.25">
      <c r="F1663"/>
      <c r="G1663"/>
      <c r="P1663"/>
    </row>
    <row r="1664" spans="6:16" x14ac:dyDescent="0.25">
      <c r="F1664"/>
      <c r="G1664"/>
      <c r="P1664"/>
    </row>
    <row r="1665" spans="6:16" x14ac:dyDescent="0.25">
      <c r="F1665"/>
      <c r="G1665"/>
      <c r="P1665"/>
    </row>
    <row r="1666" spans="6:16" x14ac:dyDescent="0.25">
      <c r="F1666"/>
      <c r="G1666"/>
      <c r="P1666"/>
    </row>
    <row r="1667" spans="6:16" x14ac:dyDescent="0.25">
      <c r="F1667"/>
      <c r="G1667"/>
      <c r="P1667"/>
    </row>
    <row r="1668" spans="6:16" x14ac:dyDescent="0.25">
      <c r="F1668"/>
      <c r="G1668"/>
      <c r="P1668"/>
    </row>
    <row r="1669" spans="6:16" x14ac:dyDescent="0.25">
      <c r="F1669"/>
      <c r="G1669"/>
      <c r="P1669"/>
    </row>
    <row r="1670" spans="6:16" x14ac:dyDescent="0.25">
      <c r="F1670"/>
      <c r="G1670"/>
      <c r="P1670"/>
    </row>
    <row r="1671" spans="6:16" x14ac:dyDescent="0.25">
      <c r="F1671"/>
      <c r="G1671"/>
      <c r="P1671"/>
    </row>
    <row r="1672" spans="6:16" x14ac:dyDescent="0.25">
      <c r="F1672"/>
      <c r="G1672"/>
      <c r="P1672"/>
    </row>
    <row r="1673" spans="6:16" x14ac:dyDescent="0.25">
      <c r="F1673"/>
      <c r="G1673"/>
      <c r="P1673"/>
    </row>
    <row r="1674" spans="6:16" x14ac:dyDescent="0.25">
      <c r="F1674"/>
      <c r="G1674"/>
      <c r="P1674"/>
    </row>
    <row r="1675" spans="6:16" x14ac:dyDescent="0.25">
      <c r="F1675"/>
      <c r="G1675"/>
      <c r="P1675"/>
    </row>
    <row r="1676" spans="6:16" x14ac:dyDescent="0.25">
      <c r="F1676"/>
      <c r="G1676"/>
      <c r="P1676"/>
    </row>
    <row r="1677" spans="6:16" x14ac:dyDescent="0.25">
      <c r="F1677"/>
      <c r="G1677"/>
      <c r="P1677"/>
    </row>
    <row r="1678" spans="6:16" x14ac:dyDescent="0.25">
      <c r="F1678"/>
      <c r="G1678"/>
      <c r="P1678"/>
    </row>
    <row r="1679" spans="6:16" x14ac:dyDescent="0.25">
      <c r="F1679"/>
      <c r="G1679"/>
      <c r="P1679"/>
    </row>
    <row r="1680" spans="6:16" x14ac:dyDescent="0.25">
      <c r="F1680"/>
      <c r="G1680"/>
      <c r="P1680"/>
    </row>
    <row r="1681" spans="6:16" x14ac:dyDescent="0.25">
      <c r="F1681"/>
      <c r="G1681"/>
      <c r="P1681"/>
    </row>
    <row r="1682" spans="6:16" x14ac:dyDescent="0.25">
      <c r="F1682"/>
      <c r="G1682"/>
      <c r="P1682"/>
    </row>
    <row r="1683" spans="6:16" x14ac:dyDescent="0.25">
      <c r="F1683"/>
      <c r="G1683"/>
      <c r="P1683"/>
    </row>
    <row r="1684" spans="6:16" x14ac:dyDescent="0.25">
      <c r="F1684"/>
      <c r="G1684"/>
      <c r="P1684"/>
    </row>
    <row r="1685" spans="6:16" x14ac:dyDescent="0.25">
      <c r="F1685"/>
      <c r="G1685"/>
      <c r="P1685"/>
    </row>
    <row r="1686" spans="6:16" x14ac:dyDescent="0.25">
      <c r="F1686"/>
      <c r="G1686"/>
      <c r="P1686"/>
    </row>
    <row r="1687" spans="6:16" x14ac:dyDescent="0.25">
      <c r="F1687"/>
      <c r="G1687"/>
      <c r="P1687"/>
    </row>
    <row r="1688" spans="6:16" x14ac:dyDescent="0.25">
      <c r="F1688"/>
      <c r="G1688"/>
      <c r="P1688"/>
    </row>
    <row r="1689" spans="6:16" x14ac:dyDescent="0.25">
      <c r="F1689"/>
      <c r="G1689"/>
      <c r="P1689"/>
    </row>
    <row r="1690" spans="6:16" x14ac:dyDescent="0.25">
      <c r="F1690"/>
      <c r="G1690"/>
      <c r="P1690"/>
    </row>
    <row r="1691" spans="6:16" x14ac:dyDescent="0.25">
      <c r="F1691"/>
      <c r="G1691"/>
      <c r="P1691"/>
    </row>
    <row r="1692" spans="6:16" x14ac:dyDescent="0.25">
      <c r="F1692"/>
      <c r="G1692"/>
      <c r="P1692"/>
    </row>
    <row r="1693" spans="6:16" x14ac:dyDescent="0.25">
      <c r="F1693"/>
      <c r="G1693"/>
      <c r="P1693"/>
    </row>
    <row r="1694" spans="6:16" x14ac:dyDescent="0.25">
      <c r="F1694"/>
      <c r="G1694"/>
      <c r="P1694"/>
    </row>
    <row r="1695" spans="6:16" x14ac:dyDescent="0.25">
      <c r="F1695"/>
      <c r="G1695"/>
      <c r="P1695"/>
    </row>
    <row r="1696" spans="6:16" x14ac:dyDescent="0.25">
      <c r="F1696"/>
      <c r="G1696"/>
      <c r="P1696"/>
    </row>
    <row r="1697" spans="6:16" x14ac:dyDescent="0.25">
      <c r="F1697"/>
      <c r="G1697"/>
      <c r="P1697"/>
    </row>
    <row r="1698" spans="6:16" x14ac:dyDescent="0.25">
      <c r="F1698"/>
      <c r="G1698"/>
      <c r="P1698"/>
    </row>
    <row r="1699" spans="6:16" x14ac:dyDescent="0.25">
      <c r="F1699"/>
      <c r="G1699"/>
      <c r="P1699"/>
    </row>
    <row r="1700" spans="6:16" x14ac:dyDescent="0.25">
      <c r="F1700"/>
      <c r="G1700"/>
      <c r="P1700"/>
    </row>
    <row r="1701" spans="6:16" x14ac:dyDescent="0.25">
      <c r="F1701"/>
      <c r="G1701"/>
      <c r="P1701"/>
    </row>
    <row r="1702" spans="6:16" x14ac:dyDescent="0.25">
      <c r="F1702"/>
      <c r="G1702"/>
      <c r="P1702"/>
    </row>
    <row r="1703" spans="6:16" x14ac:dyDescent="0.25">
      <c r="F1703"/>
      <c r="G1703"/>
      <c r="P1703"/>
    </row>
    <row r="1704" spans="6:16" x14ac:dyDescent="0.25">
      <c r="F1704"/>
      <c r="G1704"/>
      <c r="P1704"/>
    </row>
    <row r="1705" spans="6:16" x14ac:dyDescent="0.25">
      <c r="F1705"/>
      <c r="G1705"/>
      <c r="P1705"/>
    </row>
    <row r="1706" spans="6:16" x14ac:dyDescent="0.25">
      <c r="F1706"/>
      <c r="G1706"/>
      <c r="P1706"/>
    </row>
    <row r="1707" spans="6:16" x14ac:dyDescent="0.25">
      <c r="F1707"/>
      <c r="G1707"/>
      <c r="P1707"/>
    </row>
    <row r="1708" spans="6:16" x14ac:dyDescent="0.25">
      <c r="F1708"/>
      <c r="G1708"/>
      <c r="P1708"/>
    </row>
    <row r="1709" spans="6:16" x14ac:dyDescent="0.25">
      <c r="F1709"/>
      <c r="G1709"/>
      <c r="P1709"/>
    </row>
    <row r="1710" spans="6:16" x14ac:dyDescent="0.25">
      <c r="F1710"/>
      <c r="G1710"/>
      <c r="P1710"/>
    </row>
    <row r="1711" spans="6:16" x14ac:dyDescent="0.25">
      <c r="F1711"/>
      <c r="G1711"/>
      <c r="P1711"/>
    </row>
    <row r="1712" spans="6:16" x14ac:dyDescent="0.25">
      <c r="F1712"/>
      <c r="G1712"/>
      <c r="P1712"/>
    </row>
    <row r="1713" spans="6:16" x14ac:dyDescent="0.25">
      <c r="F1713"/>
      <c r="G1713"/>
      <c r="P1713"/>
    </row>
    <row r="1714" spans="6:16" x14ac:dyDescent="0.25">
      <c r="F1714"/>
      <c r="G1714"/>
      <c r="P1714"/>
    </row>
    <row r="1715" spans="6:16" x14ac:dyDescent="0.25">
      <c r="F1715"/>
      <c r="G1715"/>
      <c r="P1715"/>
    </row>
    <row r="1716" spans="6:16" x14ac:dyDescent="0.25">
      <c r="F1716"/>
      <c r="G1716"/>
      <c r="P1716"/>
    </row>
    <row r="1717" spans="6:16" x14ac:dyDescent="0.25">
      <c r="F1717"/>
      <c r="G1717"/>
      <c r="P1717"/>
    </row>
    <row r="1718" spans="6:16" x14ac:dyDescent="0.25">
      <c r="F1718"/>
      <c r="G1718"/>
      <c r="P1718"/>
    </row>
    <row r="1719" spans="6:16" x14ac:dyDescent="0.25">
      <c r="F1719"/>
      <c r="G1719"/>
      <c r="P1719"/>
    </row>
    <row r="1720" spans="6:16" x14ac:dyDescent="0.25">
      <c r="F1720"/>
      <c r="G1720"/>
      <c r="P1720"/>
    </row>
    <row r="1721" spans="6:16" x14ac:dyDescent="0.25">
      <c r="F1721"/>
      <c r="G1721"/>
      <c r="P1721"/>
    </row>
    <row r="1722" spans="6:16" x14ac:dyDescent="0.25">
      <c r="F1722"/>
      <c r="G1722"/>
      <c r="P1722"/>
    </row>
    <row r="1723" spans="6:16" x14ac:dyDescent="0.25">
      <c r="F1723"/>
      <c r="G1723"/>
      <c r="P1723"/>
    </row>
    <row r="1724" spans="6:16" x14ac:dyDescent="0.25">
      <c r="F1724"/>
      <c r="G1724"/>
      <c r="P1724"/>
    </row>
    <row r="1725" spans="6:16" x14ac:dyDescent="0.25">
      <c r="F1725"/>
      <c r="G1725"/>
      <c r="P1725"/>
    </row>
    <row r="1726" spans="6:16" x14ac:dyDescent="0.25">
      <c r="F1726"/>
      <c r="G1726"/>
      <c r="P1726"/>
    </row>
    <row r="1727" spans="6:16" x14ac:dyDescent="0.25">
      <c r="F1727"/>
      <c r="G1727"/>
      <c r="P1727"/>
    </row>
    <row r="1728" spans="6:16" x14ac:dyDescent="0.25">
      <c r="F1728"/>
      <c r="G1728"/>
      <c r="P1728"/>
    </row>
    <row r="1729" spans="6:16" x14ac:dyDescent="0.25">
      <c r="F1729"/>
      <c r="G1729"/>
      <c r="P1729"/>
    </row>
    <row r="1730" spans="6:16" x14ac:dyDescent="0.25">
      <c r="F1730"/>
      <c r="G1730"/>
      <c r="P1730"/>
    </row>
    <row r="1731" spans="6:16" x14ac:dyDescent="0.25">
      <c r="F1731"/>
      <c r="G1731"/>
      <c r="P1731"/>
    </row>
    <row r="1732" spans="6:16" x14ac:dyDescent="0.25">
      <c r="F1732"/>
      <c r="G1732"/>
      <c r="P1732"/>
    </row>
    <row r="1733" spans="6:16" x14ac:dyDescent="0.25">
      <c r="F1733"/>
      <c r="G1733"/>
      <c r="P1733"/>
    </row>
    <row r="1734" spans="6:16" x14ac:dyDescent="0.25">
      <c r="F1734"/>
      <c r="G1734"/>
      <c r="P1734"/>
    </row>
    <row r="1735" spans="6:16" x14ac:dyDescent="0.25">
      <c r="F1735"/>
      <c r="G1735"/>
      <c r="P1735"/>
    </row>
    <row r="1736" spans="6:16" x14ac:dyDescent="0.25">
      <c r="F1736"/>
      <c r="G1736"/>
      <c r="P1736"/>
    </row>
    <row r="1737" spans="6:16" x14ac:dyDescent="0.25">
      <c r="F1737"/>
      <c r="G1737"/>
      <c r="P1737"/>
    </row>
    <row r="1738" spans="6:16" x14ac:dyDescent="0.25">
      <c r="F1738"/>
      <c r="G1738"/>
      <c r="P1738"/>
    </row>
    <row r="1739" spans="6:16" x14ac:dyDescent="0.25">
      <c r="F1739"/>
      <c r="G1739"/>
      <c r="P1739"/>
    </row>
    <row r="1740" spans="6:16" x14ac:dyDescent="0.25">
      <c r="F1740"/>
      <c r="G1740"/>
      <c r="P1740"/>
    </row>
    <row r="1741" spans="6:16" x14ac:dyDescent="0.25">
      <c r="F1741"/>
      <c r="G1741"/>
      <c r="P1741"/>
    </row>
    <row r="1742" spans="6:16" x14ac:dyDescent="0.25">
      <c r="F1742"/>
      <c r="G1742"/>
      <c r="P1742"/>
    </row>
    <row r="1743" spans="6:16" x14ac:dyDescent="0.25">
      <c r="F1743"/>
      <c r="G1743"/>
      <c r="P1743"/>
    </row>
    <row r="1744" spans="6:16" x14ac:dyDescent="0.25">
      <c r="F1744"/>
      <c r="G1744"/>
      <c r="P1744"/>
    </row>
    <row r="1745" spans="6:16" x14ac:dyDescent="0.25">
      <c r="F1745"/>
      <c r="G1745"/>
      <c r="P1745"/>
    </row>
    <row r="1746" spans="6:16" x14ac:dyDescent="0.25">
      <c r="F1746"/>
      <c r="G1746"/>
      <c r="P1746"/>
    </row>
    <row r="1747" spans="6:16" x14ac:dyDescent="0.25">
      <c r="F1747"/>
      <c r="G1747"/>
      <c r="P1747"/>
    </row>
    <row r="1748" spans="6:16" x14ac:dyDescent="0.25">
      <c r="F1748"/>
      <c r="G1748"/>
      <c r="P1748"/>
    </row>
    <row r="1749" spans="6:16" x14ac:dyDescent="0.25">
      <c r="F1749"/>
      <c r="G1749"/>
      <c r="P1749"/>
    </row>
    <row r="1750" spans="6:16" x14ac:dyDescent="0.25">
      <c r="F1750"/>
      <c r="G1750"/>
      <c r="P1750"/>
    </row>
    <row r="1751" spans="6:16" x14ac:dyDescent="0.25">
      <c r="F1751"/>
      <c r="G1751"/>
      <c r="P1751"/>
    </row>
    <row r="1752" spans="6:16" x14ac:dyDescent="0.25">
      <c r="F1752"/>
      <c r="G1752"/>
      <c r="P1752"/>
    </row>
    <row r="1753" spans="6:16" x14ac:dyDescent="0.25">
      <c r="F1753"/>
      <c r="G1753"/>
      <c r="P1753"/>
    </row>
    <row r="1754" spans="6:16" x14ac:dyDescent="0.25">
      <c r="F1754"/>
      <c r="G1754"/>
      <c r="P1754"/>
    </row>
    <row r="1755" spans="6:16" x14ac:dyDescent="0.25">
      <c r="F1755"/>
      <c r="G1755"/>
      <c r="P1755"/>
    </row>
    <row r="1756" spans="6:16" x14ac:dyDescent="0.25">
      <c r="F1756"/>
      <c r="G1756"/>
      <c r="P1756"/>
    </row>
    <row r="1757" spans="6:16" x14ac:dyDescent="0.25">
      <c r="F1757"/>
      <c r="G1757"/>
      <c r="P1757"/>
    </row>
    <row r="1758" spans="6:16" x14ac:dyDescent="0.25">
      <c r="F1758"/>
      <c r="G1758"/>
      <c r="P1758"/>
    </row>
    <row r="1759" spans="6:16" x14ac:dyDescent="0.25">
      <c r="F1759"/>
      <c r="G1759"/>
      <c r="P1759"/>
    </row>
    <row r="1760" spans="6:16" x14ac:dyDescent="0.25">
      <c r="F1760"/>
      <c r="G1760"/>
      <c r="P1760"/>
    </row>
    <row r="1761" spans="6:16" x14ac:dyDescent="0.25">
      <c r="F1761"/>
      <c r="G1761"/>
      <c r="P1761"/>
    </row>
    <row r="1762" spans="6:16" x14ac:dyDescent="0.25">
      <c r="F1762"/>
      <c r="G1762"/>
      <c r="P1762"/>
    </row>
    <row r="1763" spans="6:16" x14ac:dyDescent="0.25">
      <c r="F1763"/>
      <c r="G1763"/>
      <c r="P1763"/>
    </row>
    <row r="1764" spans="6:16" x14ac:dyDescent="0.25">
      <c r="F1764"/>
      <c r="G1764"/>
      <c r="P1764"/>
    </row>
    <row r="1765" spans="6:16" x14ac:dyDescent="0.25">
      <c r="F1765"/>
      <c r="G1765"/>
      <c r="P1765"/>
    </row>
    <row r="1766" spans="6:16" x14ac:dyDescent="0.25">
      <c r="F1766"/>
      <c r="G1766"/>
      <c r="P1766"/>
    </row>
    <row r="1767" spans="6:16" x14ac:dyDescent="0.25">
      <c r="F1767"/>
      <c r="G1767"/>
      <c r="P1767"/>
    </row>
    <row r="1768" spans="6:16" x14ac:dyDescent="0.25">
      <c r="F1768"/>
      <c r="G1768"/>
      <c r="P1768"/>
    </row>
    <row r="1769" spans="6:16" x14ac:dyDescent="0.25">
      <c r="F1769"/>
      <c r="G1769"/>
      <c r="P1769"/>
    </row>
    <row r="1770" spans="6:16" x14ac:dyDescent="0.25">
      <c r="F1770"/>
      <c r="G1770"/>
      <c r="P1770"/>
    </row>
    <row r="1771" spans="6:16" x14ac:dyDescent="0.25">
      <c r="F1771"/>
      <c r="G1771"/>
      <c r="P1771"/>
    </row>
    <row r="1772" spans="6:16" x14ac:dyDescent="0.25">
      <c r="F1772"/>
      <c r="G1772"/>
      <c r="P1772"/>
    </row>
    <row r="1773" spans="6:16" x14ac:dyDescent="0.25">
      <c r="F1773"/>
      <c r="G1773"/>
      <c r="P1773"/>
    </row>
    <row r="1774" spans="6:16" x14ac:dyDescent="0.25">
      <c r="F1774"/>
      <c r="G1774"/>
      <c r="P1774"/>
    </row>
    <row r="1775" spans="6:16" x14ac:dyDescent="0.25">
      <c r="F1775"/>
      <c r="G1775"/>
      <c r="P1775"/>
    </row>
    <row r="1776" spans="6:16" x14ac:dyDescent="0.25">
      <c r="F1776"/>
      <c r="G1776"/>
      <c r="P1776"/>
    </row>
    <row r="1777" spans="6:16" x14ac:dyDescent="0.25">
      <c r="F1777"/>
      <c r="G1777"/>
      <c r="P1777"/>
    </row>
    <row r="1778" spans="6:16" x14ac:dyDescent="0.25">
      <c r="F1778"/>
      <c r="G1778"/>
      <c r="P1778"/>
    </row>
    <row r="1779" spans="6:16" x14ac:dyDescent="0.25">
      <c r="F1779"/>
      <c r="G1779"/>
      <c r="P1779"/>
    </row>
    <row r="1780" spans="6:16" x14ac:dyDescent="0.25">
      <c r="F1780"/>
      <c r="G1780"/>
      <c r="P1780"/>
    </row>
    <row r="1781" spans="6:16" x14ac:dyDescent="0.25">
      <c r="F1781"/>
      <c r="G1781"/>
      <c r="P1781"/>
    </row>
    <row r="1782" spans="6:16" x14ac:dyDescent="0.25">
      <c r="F1782"/>
      <c r="G1782"/>
      <c r="P1782"/>
    </row>
    <row r="1783" spans="6:16" x14ac:dyDescent="0.25">
      <c r="F1783"/>
      <c r="G1783"/>
      <c r="P1783"/>
    </row>
    <row r="1784" spans="6:16" x14ac:dyDescent="0.25">
      <c r="F1784"/>
      <c r="G1784"/>
      <c r="P1784"/>
    </row>
    <row r="1785" spans="6:16" x14ac:dyDescent="0.25">
      <c r="F1785"/>
      <c r="G1785"/>
      <c r="P1785"/>
    </row>
    <row r="1786" spans="6:16" x14ac:dyDescent="0.25">
      <c r="F1786"/>
      <c r="G1786"/>
      <c r="P1786"/>
    </row>
    <row r="1787" spans="6:16" x14ac:dyDescent="0.25">
      <c r="F1787"/>
      <c r="G1787"/>
      <c r="P1787"/>
    </row>
    <row r="1788" spans="6:16" x14ac:dyDescent="0.25">
      <c r="F1788"/>
      <c r="G1788"/>
      <c r="P1788"/>
    </row>
    <row r="1789" spans="6:16" x14ac:dyDescent="0.25">
      <c r="F1789"/>
      <c r="G1789"/>
      <c r="P1789"/>
    </row>
    <row r="1790" spans="6:16" x14ac:dyDescent="0.25">
      <c r="F1790"/>
      <c r="G1790"/>
      <c r="P1790"/>
    </row>
    <row r="1791" spans="6:16" x14ac:dyDescent="0.25">
      <c r="F1791"/>
      <c r="G1791"/>
      <c r="P1791"/>
    </row>
    <row r="1792" spans="6:16" x14ac:dyDescent="0.25">
      <c r="F1792"/>
      <c r="G1792"/>
      <c r="P1792"/>
    </row>
    <row r="1793" spans="6:16" x14ac:dyDescent="0.25">
      <c r="F1793"/>
      <c r="G1793"/>
      <c r="P1793"/>
    </row>
    <row r="1794" spans="6:16" x14ac:dyDescent="0.25">
      <c r="F1794"/>
      <c r="G1794"/>
      <c r="P1794"/>
    </row>
    <row r="1795" spans="6:16" x14ac:dyDescent="0.25">
      <c r="F1795"/>
      <c r="G1795"/>
      <c r="P1795"/>
    </row>
    <row r="1796" spans="6:16" x14ac:dyDescent="0.25">
      <c r="F1796"/>
      <c r="G1796"/>
      <c r="P1796"/>
    </row>
    <row r="1797" spans="6:16" x14ac:dyDescent="0.25">
      <c r="F1797"/>
      <c r="G1797"/>
      <c r="P1797"/>
    </row>
    <row r="1798" spans="6:16" x14ac:dyDescent="0.25">
      <c r="F1798"/>
      <c r="G1798"/>
      <c r="P1798"/>
    </row>
    <row r="1799" spans="6:16" x14ac:dyDescent="0.25">
      <c r="F1799"/>
      <c r="G1799"/>
      <c r="P1799"/>
    </row>
    <row r="1800" spans="6:16" x14ac:dyDescent="0.25">
      <c r="F1800"/>
      <c r="G1800"/>
      <c r="P1800"/>
    </row>
    <row r="1801" spans="6:16" x14ac:dyDescent="0.25">
      <c r="F1801"/>
      <c r="G1801"/>
      <c r="P1801"/>
    </row>
    <row r="1802" spans="6:16" x14ac:dyDescent="0.25">
      <c r="F1802"/>
      <c r="G1802"/>
      <c r="P1802"/>
    </row>
    <row r="1803" spans="6:16" x14ac:dyDescent="0.25">
      <c r="F1803"/>
      <c r="G1803"/>
      <c r="P1803"/>
    </row>
    <row r="1804" spans="6:16" x14ac:dyDescent="0.25">
      <c r="F1804"/>
      <c r="G1804"/>
      <c r="P1804"/>
    </row>
    <row r="1805" spans="6:16" x14ac:dyDescent="0.25">
      <c r="F1805"/>
      <c r="G1805"/>
      <c r="P1805"/>
    </row>
    <row r="1806" spans="6:16" x14ac:dyDescent="0.25">
      <c r="F1806"/>
      <c r="G1806"/>
      <c r="P1806"/>
    </row>
    <row r="1807" spans="6:16" x14ac:dyDescent="0.25">
      <c r="F1807"/>
      <c r="G1807"/>
      <c r="P1807"/>
    </row>
    <row r="1808" spans="6:16" x14ac:dyDescent="0.25">
      <c r="F1808"/>
      <c r="G1808"/>
      <c r="P1808"/>
    </row>
    <row r="1809" spans="6:16" x14ac:dyDescent="0.25">
      <c r="F1809"/>
      <c r="G1809"/>
      <c r="P1809"/>
    </row>
    <row r="1810" spans="6:16" x14ac:dyDescent="0.25">
      <c r="F1810"/>
      <c r="G1810"/>
      <c r="P1810"/>
    </row>
    <row r="1811" spans="6:16" x14ac:dyDescent="0.25">
      <c r="F1811"/>
      <c r="G1811"/>
      <c r="P1811"/>
    </row>
    <row r="1812" spans="6:16" x14ac:dyDescent="0.25">
      <c r="F1812"/>
      <c r="G1812"/>
      <c r="P1812"/>
    </row>
    <row r="1813" spans="6:16" x14ac:dyDescent="0.25">
      <c r="F1813"/>
      <c r="G1813"/>
      <c r="P1813"/>
    </row>
    <row r="1814" spans="6:16" x14ac:dyDescent="0.25">
      <c r="F1814"/>
      <c r="G1814"/>
      <c r="P1814"/>
    </row>
    <row r="1815" spans="6:16" x14ac:dyDescent="0.25">
      <c r="F1815"/>
      <c r="G1815"/>
      <c r="P1815"/>
    </row>
    <row r="1816" spans="6:16" x14ac:dyDescent="0.25">
      <c r="F1816"/>
      <c r="G1816"/>
      <c r="P1816"/>
    </row>
    <row r="1817" spans="6:16" x14ac:dyDescent="0.25">
      <c r="F1817"/>
      <c r="G1817"/>
      <c r="P1817"/>
    </row>
    <row r="1818" spans="6:16" x14ac:dyDescent="0.25">
      <c r="F1818"/>
      <c r="G1818"/>
      <c r="P1818"/>
    </row>
    <row r="1819" spans="6:16" x14ac:dyDescent="0.25">
      <c r="F1819"/>
      <c r="G1819"/>
      <c r="P1819"/>
    </row>
    <row r="1820" spans="6:16" x14ac:dyDescent="0.25">
      <c r="F1820"/>
      <c r="G1820"/>
      <c r="P1820"/>
    </row>
    <row r="1821" spans="6:16" x14ac:dyDescent="0.25">
      <c r="F1821"/>
      <c r="G1821"/>
      <c r="P1821"/>
    </row>
    <row r="1822" spans="6:16" x14ac:dyDescent="0.25">
      <c r="F1822"/>
      <c r="G1822"/>
      <c r="P1822"/>
    </row>
    <row r="1823" spans="6:16" x14ac:dyDescent="0.25">
      <c r="F1823"/>
      <c r="G1823"/>
      <c r="P1823"/>
    </row>
    <row r="1824" spans="6:16" x14ac:dyDescent="0.25">
      <c r="F1824"/>
      <c r="G1824"/>
      <c r="P1824"/>
    </row>
    <row r="1825" spans="6:16" x14ac:dyDescent="0.25">
      <c r="F1825"/>
      <c r="G1825"/>
      <c r="P1825"/>
    </row>
    <row r="1826" spans="6:16" x14ac:dyDescent="0.25">
      <c r="F1826"/>
      <c r="G1826"/>
      <c r="P1826"/>
    </row>
    <row r="1827" spans="6:16" x14ac:dyDescent="0.25">
      <c r="F1827"/>
      <c r="G1827"/>
      <c r="P1827"/>
    </row>
    <row r="1828" spans="6:16" x14ac:dyDescent="0.25">
      <c r="F1828"/>
      <c r="G1828"/>
      <c r="P1828"/>
    </row>
    <row r="1829" spans="6:16" x14ac:dyDescent="0.25">
      <c r="F1829"/>
      <c r="G1829"/>
      <c r="P1829"/>
    </row>
    <row r="1830" spans="6:16" x14ac:dyDescent="0.25">
      <c r="F1830"/>
      <c r="G1830"/>
      <c r="P1830"/>
    </row>
    <row r="1831" spans="6:16" x14ac:dyDescent="0.25">
      <c r="F1831"/>
      <c r="G1831"/>
      <c r="P1831"/>
    </row>
    <row r="1832" spans="6:16" x14ac:dyDescent="0.25">
      <c r="F1832"/>
      <c r="G1832"/>
      <c r="P1832"/>
    </row>
    <row r="1833" spans="6:16" x14ac:dyDescent="0.25">
      <c r="F1833"/>
      <c r="G1833"/>
      <c r="P1833"/>
    </row>
    <row r="1834" spans="6:16" x14ac:dyDescent="0.25">
      <c r="F1834"/>
      <c r="G1834"/>
      <c r="P1834"/>
    </row>
    <row r="1835" spans="6:16" x14ac:dyDescent="0.25">
      <c r="F1835"/>
      <c r="G1835"/>
      <c r="P1835"/>
    </row>
    <row r="1836" spans="6:16" x14ac:dyDescent="0.25">
      <c r="F1836"/>
      <c r="G1836"/>
      <c r="P1836"/>
    </row>
    <row r="1837" spans="6:16" x14ac:dyDescent="0.25">
      <c r="F1837"/>
      <c r="G1837"/>
      <c r="P1837"/>
    </row>
    <row r="1838" spans="6:16" x14ac:dyDescent="0.25">
      <c r="F1838"/>
      <c r="G1838"/>
      <c r="P1838"/>
    </row>
    <row r="1839" spans="6:16" x14ac:dyDescent="0.25">
      <c r="F1839"/>
      <c r="G1839"/>
      <c r="P1839"/>
    </row>
    <row r="1840" spans="6:16" x14ac:dyDescent="0.25">
      <c r="F1840"/>
      <c r="G1840"/>
      <c r="P1840"/>
    </row>
    <row r="1841" spans="6:16" x14ac:dyDescent="0.25">
      <c r="F1841"/>
      <c r="G1841"/>
      <c r="P1841"/>
    </row>
    <row r="1842" spans="6:16" x14ac:dyDescent="0.25">
      <c r="F1842"/>
      <c r="G1842"/>
      <c r="P1842"/>
    </row>
    <row r="1843" spans="6:16" x14ac:dyDescent="0.25">
      <c r="F1843"/>
      <c r="G1843"/>
      <c r="P1843"/>
    </row>
    <row r="1844" spans="6:16" x14ac:dyDescent="0.25">
      <c r="F1844"/>
      <c r="G1844"/>
      <c r="P1844"/>
    </row>
    <row r="1845" spans="6:16" x14ac:dyDescent="0.25">
      <c r="F1845"/>
      <c r="G1845"/>
      <c r="P1845"/>
    </row>
    <row r="1846" spans="6:16" x14ac:dyDescent="0.25">
      <c r="F1846"/>
      <c r="G1846"/>
      <c r="P1846"/>
    </row>
    <row r="1847" spans="6:16" x14ac:dyDescent="0.25">
      <c r="F1847"/>
      <c r="G1847"/>
      <c r="P1847"/>
    </row>
    <row r="1848" spans="6:16" x14ac:dyDescent="0.25">
      <c r="F1848"/>
      <c r="G1848"/>
      <c r="P1848"/>
    </row>
    <row r="1849" spans="6:16" x14ac:dyDescent="0.25">
      <c r="F1849"/>
      <c r="G1849"/>
      <c r="P1849"/>
    </row>
    <row r="1850" spans="6:16" x14ac:dyDescent="0.25">
      <c r="F1850"/>
      <c r="G1850"/>
      <c r="P1850"/>
    </row>
    <row r="1851" spans="6:16" x14ac:dyDescent="0.25">
      <c r="F1851"/>
      <c r="G1851"/>
      <c r="P1851"/>
    </row>
    <row r="1852" spans="6:16" x14ac:dyDescent="0.25">
      <c r="F1852"/>
      <c r="G1852"/>
      <c r="P1852"/>
    </row>
    <row r="1853" spans="6:16" x14ac:dyDescent="0.25">
      <c r="F1853"/>
      <c r="G1853"/>
      <c r="P1853"/>
    </row>
    <row r="1854" spans="6:16" x14ac:dyDescent="0.25">
      <c r="F1854"/>
      <c r="G1854"/>
      <c r="P1854"/>
    </row>
    <row r="1855" spans="6:16" x14ac:dyDescent="0.25">
      <c r="F1855"/>
      <c r="G1855"/>
      <c r="P1855"/>
    </row>
    <row r="1856" spans="6:16" x14ac:dyDescent="0.25">
      <c r="F1856"/>
      <c r="G1856"/>
      <c r="P1856"/>
    </row>
    <row r="1857" spans="6:16" x14ac:dyDescent="0.25">
      <c r="F1857"/>
      <c r="G1857"/>
      <c r="P1857"/>
    </row>
    <row r="1858" spans="6:16" x14ac:dyDescent="0.25">
      <c r="F1858"/>
      <c r="G1858"/>
      <c r="P1858"/>
    </row>
    <row r="1859" spans="6:16" x14ac:dyDescent="0.25">
      <c r="F1859"/>
      <c r="G1859"/>
      <c r="P1859"/>
    </row>
    <row r="1860" spans="6:16" x14ac:dyDescent="0.25">
      <c r="F1860"/>
      <c r="G1860"/>
      <c r="P1860"/>
    </row>
    <row r="1861" spans="6:16" x14ac:dyDescent="0.25">
      <c r="F1861"/>
      <c r="G1861"/>
      <c r="P1861"/>
    </row>
    <row r="1862" spans="6:16" x14ac:dyDescent="0.25">
      <c r="F1862"/>
      <c r="G1862"/>
      <c r="P1862"/>
    </row>
    <row r="1863" spans="6:16" x14ac:dyDescent="0.25">
      <c r="F1863"/>
      <c r="G1863"/>
      <c r="P1863"/>
    </row>
    <row r="1864" spans="6:16" x14ac:dyDescent="0.25">
      <c r="F1864"/>
      <c r="G1864"/>
      <c r="P1864"/>
    </row>
    <row r="1865" spans="6:16" x14ac:dyDescent="0.25">
      <c r="F1865"/>
      <c r="G1865"/>
      <c r="P1865"/>
    </row>
    <row r="1866" spans="6:16" x14ac:dyDescent="0.25">
      <c r="F1866"/>
      <c r="G1866"/>
      <c r="P1866"/>
    </row>
    <row r="1867" spans="6:16" x14ac:dyDescent="0.25">
      <c r="F1867"/>
      <c r="G1867"/>
      <c r="P1867"/>
    </row>
    <row r="1868" spans="6:16" x14ac:dyDescent="0.25">
      <c r="F1868"/>
      <c r="G1868"/>
      <c r="P1868"/>
    </row>
    <row r="1869" spans="6:16" x14ac:dyDescent="0.25">
      <c r="F1869"/>
      <c r="G1869"/>
      <c r="P1869"/>
    </row>
    <row r="1870" spans="6:16" x14ac:dyDescent="0.25">
      <c r="F1870"/>
      <c r="G1870"/>
      <c r="P1870"/>
    </row>
    <row r="1871" spans="6:16" x14ac:dyDescent="0.25">
      <c r="F1871"/>
      <c r="G1871"/>
      <c r="P1871"/>
    </row>
    <row r="1872" spans="6:16" x14ac:dyDescent="0.25">
      <c r="F1872"/>
      <c r="G1872"/>
      <c r="P1872"/>
    </row>
    <row r="1873" spans="6:16" x14ac:dyDescent="0.25">
      <c r="F1873"/>
      <c r="G1873"/>
      <c r="P1873"/>
    </row>
    <row r="1874" spans="6:16" x14ac:dyDescent="0.25">
      <c r="F1874"/>
      <c r="G1874"/>
      <c r="P1874"/>
    </row>
    <row r="1875" spans="6:16" x14ac:dyDescent="0.25">
      <c r="F1875"/>
      <c r="G1875"/>
      <c r="P1875"/>
    </row>
    <row r="1876" spans="6:16" x14ac:dyDescent="0.25">
      <c r="F1876"/>
      <c r="G1876"/>
      <c r="P1876"/>
    </row>
    <row r="1877" spans="6:16" x14ac:dyDescent="0.25">
      <c r="F1877"/>
      <c r="G1877"/>
      <c r="P1877"/>
    </row>
    <row r="1878" spans="6:16" x14ac:dyDescent="0.25">
      <c r="F1878"/>
      <c r="G1878"/>
      <c r="P1878"/>
    </row>
    <row r="1879" spans="6:16" x14ac:dyDescent="0.25">
      <c r="F1879"/>
      <c r="G1879"/>
      <c r="P1879"/>
    </row>
    <row r="1880" spans="6:16" x14ac:dyDescent="0.25">
      <c r="F1880"/>
      <c r="G1880"/>
      <c r="P1880"/>
    </row>
    <row r="1881" spans="6:16" x14ac:dyDescent="0.25">
      <c r="F1881"/>
      <c r="G1881"/>
      <c r="P1881"/>
    </row>
    <row r="1882" spans="6:16" x14ac:dyDescent="0.25">
      <c r="F1882"/>
      <c r="G1882"/>
      <c r="P1882"/>
    </row>
    <row r="1883" spans="6:16" x14ac:dyDescent="0.25">
      <c r="F1883"/>
      <c r="G1883"/>
      <c r="P1883"/>
    </row>
    <row r="1884" spans="6:16" x14ac:dyDescent="0.25">
      <c r="F1884"/>
      <c r="G1884"/>
      <c r="P1884"/>
    </row>
    <row r="1885" spans="6:16" x14ac:dyDescent="0.25">
      <c r="F1885"/>
      <c r="G1885"/>
      <c r="P1885"/>
    </row>
    <row r="1886" spans="6:16" x14ac:dyDescent="0.25">
      <c r="F1886"/>
      <c r="G1886"/>
      <c r="P1886"/>
    </row>
    <row r="1887" spans="6:16" x14ac:dyDescent="0.25">
      <c r="F1887"/>
      <c r="G1887"/>
      <c r="P1887"/>
    </row>
    <row r="1888" spans="6:16" x14ac:dyDescent="0.25">
      <c r="F1888"/>
      <c r="G1888"/>
      <c r="P1888"/>
    </row>
    <row r="1889" spans="6:16" x14ac:dyDescent="0.25">
      <c r="F1889"/>
      <c r="G1889"/>
      <c r="P1889"/>
    </row>
    <row r="1890" spans="6:16" x14ac:dyDescent="0.25">
      <c r="F1890"/>
      <c r="G1890"/>
      <c r="P1890"/>
    </row>
    <row r="1891" spans="6:16" x14ac:dyDescent="0.25">
      <c r="F1891"/>
      <c r="G1891"/>
      <c r="P1891"/>
    </row>
    <row r="1892" spans="6:16" x14ac:dyDescent="0.25">
      <c r="F1892"/>
      <c r="G1892"/>
      <c r="P1892"/>
    </row>
    <row r="1893" spans="6:16" x14ac:dyDescent="0.25">
      <c r="F1893"/>
      <c r="G1893"/>
      <c r="P1893"/>
    </row>
    <row r="1894" spans="6:16" x14ac:dyDescent="0.25">
      <c r="F1894"/>
      <c r="G1894"/>
      <c r="P1894"/>
    </row>
    <row r="1895" spans="6:16" x14ac:dyDescent="0.25">
      <c r="F1895"/>
      <c r="G1895"/>
      <c r="P1895"/>
    </row>
    <row r="1896" spans="6:16" x14ac:dyDescent="0.25">
      <c r="F1896"/>
      <c r="G1896"/>
      <c r="P1896"/>
    </row>
    <row r="1897" spans="6:16" x14ac:dyDescent="0.25">
      <c r="F1897"/>
      <c r="G1897"/>
      <c r="P1897"/>
    </row>
    <row r="1898" spans="6:16" x14ac:dyDescent="0.25">
      <c r="F1898"/>
      <c r="G1898"/>
      <c r="P1898"/>
    </row>
    <row r="1899" spans="6:16" x14ac:dyDescent="0.25">
      <c r="F1899"/>
      <c r="G1899"/>
      <c r="P1899"/>
    </row>
    <row r="1900" spans="6:16" x14ac:dyDescent="0.25">
      <c r="F1900"/>
      <c r="G1900"/>
      <c r="P1900"/>
    </row>
    <row r="1901" spans="6:16" x14ac:dyDescent="0.25">
      <c r="F1901"/>
      <c r="G1901"/>
      <c r="P1901"/>
    </row>
    <row r="1902" spans="6:16" x14ac:dyDescent="0.25">
      <c r="F1902"/>
      <c r="G1902"/>
      <c r="P1902"/>
    </row>
    <row r="1903" spans="6:16" x14ac:dyDescent="0.25">
      <c r="F1903"/>
      <c r="G1903"/>
      <c r="P1903"/>
    </row>
    <row r="1904" spans="6:16" x14ac:dyDescent="0.25">
      <c r="F1904"/>
      <c r="G1904"/>
      <c r="P1904"/>
    </row>
    <row r="1905" spans="6:16" x14ac:dyDescent="0.25">
      <c r="F1905"/>
      <c r="G1905"/>
      <c r="P1905"/>
    </row>
    <row r="1906" spans="6:16" x14ac:dyDescent="0.25">
      <c r="F1906"/>
      <c r="G1906"/>
      <c r="P1906"/>
    </row>
    <row r="1907" spans="6:16" x14ac:dyDescent="0.25">
      <c r="F1907"/>
      <c r="G1907"/>
      <c r="P1907"/>
    </row>
    <row r="1908" spans="6:16" x14ac:dyDescent="0.25">
      <c r="F1908"/>
      <c r="G1908"/>
      <c r="P1908"/>
    </row>
    <row r="1909" spans="6:16" x14ac:dyDescent="0.25">
      <c r="F1909"/>
      <c r="G1909"/>
      <c r="P1909"/>
    </row>
    <row r="1910" spans="6:16" x14ac:dyDescent="0.25">
      <c r="F1910"/>
      <c r="G1910"/>
      <c r="P1910"/>
    </row>
    <row r="1911" spans="6:16" x14ac:dyDescent="0.25">
      <c r="F1911"/>
      <c r="G1911"/>
      <c r="P1911"/>
    </row>
    <row r="1912" spans="6:16" x14ac:dyDescent="0.25">
      <c r="F1912"/>
      <c r="G1912"/>
      <c r="P1912"/>
    </row>
    <row r="1913" spans="6:16" x14ac:dyDescent="0.25">
      <c r="F1913"/>
      <c r="G1913"/>
      <c r="P1913"/>
    </row>
    <row r="1914" spans="6:16" x14ac:dyDescent="0.25">
      <c r="F1914"/>
      <c r="G1914"/>
      <c r="P1914"/>
    </row>
    <row r="1915" spans="6:16" x14ac:dyDescent="0.25">
      <c r="F1915"/>
      <c r="G1915"/>
      <c r="P1915"/>
    </row>
    <row r="1916" spans="6:16" x14ac:dyDescent="0.25">
      <c r="F1916"/>
      <c r="G1916"/>
      <c r="P1916"/>
    </row>
    <row r="1917" spans="6:16" x14ac:dyDescent="0.25">
      <c r="F1917"/>
      <c r="G1917"/>
      <c r="P1917"/>
    </row>
    <row r="1918" spans="6:16" x14ac:dyDescent="0.25">
      <c r="F1918"/>
      <c r="G1918"/>
      <c r="P1918"/>
    </row>
    <row r="1919" spans="6:16" x14ac:dyDescent="0.25">
      <c r="F1919"/>
      <c r="G1919"/>
      <c r="P1919"/>
    </row>
    <row r="1920" spans="6:16" x14ac:dyDescent="0.25">
      <c r="F1920"/>
      <c r="G1920"/>
      <c r="P1920"/>
    </row>
    <row r="1921" spans="6:16" x14ac:dyDescent="0.25">
      <c r="F1921"/>
      <c r="G1921"/>
      <c r="P1921"/>
    </row>
    <row r="1922" spans="6:16" x14ac:dyDescent="0.25">
      <c r="F1922"/>
      <c r="G1922"/>
      <c r="P1922"/>
    </row>
    <row r="1923" spans="6:16" x14ac:dyDescent="0.25">
      <c r="F1923"/>
      <c r="G1923"/>
      <c r="P1923"/>
    </row>
    <row r="1924" spans="6:16" x14ac:dyDescent="0.25">
      <c r="F1924"/>
      <c r="G1924"/>
      <c r="P1924"/>
    </row>
    <row r="1925" spans="6:16" x14ac:dyDescent="0.25">
      <c r="F1925"/>
      <c r="G1925"/>
      <c r="P1925"/>
    </row>
    <row r="1926" spans="6:16" x14ac:dyDescent="0.25">
      <c r="F1926"/>
      <c r="G1926"/>
      <c r="P1926"/>
    </row>
    <row r="1927" spans="6:16" x14ac:dyDescent="0.25">
      <c r="F1927"/>
      <c r="G1927"/>
      <c r="P1927"/>
    </row>
    <row r="1928" spans="6:16" x14ac:dyDescent="0.25">
      <c r="F1928"/>
      <c r="G1928"/>
      <c r="P1928"/>
    </row>
    <row r="1929" spans="6:16" x14ac:dyDescent="0.25">
      <c r="F1929"/>
      <c r="G1929"/>
      <c r="P1929"/>
    </row>
    <row r="1930" spans="6:16" x14ac:dyDescent="0.25">
      <c r="F1930"/>
      <c r="G1930"/>
      <c r="P1930"/>
    </row>
    <row r="1931" spans="6:16" x14ac:dyDescent="0.25">
      <c r="F1931"/>
      <c r="G1931"/>
      <c r="P1931"/>
    </row>
    <row r="1932" spans="6:16" x14ac:dyDescent="0.25">
      <c r="F1932"/>
      <c r="G1932"/>
      <c r="P1932"/>
    </row>
    <row r="1933" spans="6:16" x14ac:dyDescent="0.25">
      <c r="F1933"/>
      <c r="G1933"/>
      <c r="P1933"/>
    </row>
    <row r="1934" spans="6:16" x14ac:dyDescent="0.25">
      <c r="F1934"/>
      <c r="G1934"/>
      <c r="P1934"/>
    </row>
    <row r="1935" spans="6:16" x14ac:dyDescent="0.25">
      <c r="F1935"/>
      <c r="G1935"/>
      <c r="P1935"/>
    </row>
    <row r="1936" spans="6:16" x14ac:dyDescent="0.25">
      <c r="F1936"/>
      <c r="G1936"/>
      <c r="P1936"/>
    </row>
    <row r="1937" spans="6:16" x14ac:dyDescent="0.25">
      <c r="F1937"/>
      <c r="G1937"/>
      <c r="P1937"/>
    </row>
    <row r="1938" spans="6:16" x14ac:dyDescent="0.25">
      <c r="F1938"/>
      <c r="G1938"/>
      <c r="P1938"/>
    </row>
    <row r="1939" spans="6:16" x14ac:dyDescent="0.25">
      <c r="F1939"/>
      <c r="G1939"/>
      <c r="P1939"/>
    </row>
    <row r="1940" spans="6:16" x14ac:dyDescent="0.25">
      <c r="F1940"/>
      <c r="G1940"/>
      <c r="P1940"/>
    </row>
    <row r="1941" spans="6:16" x14ac:dyDescent="0.25">
      <c r="F1941"/>
      <c r="G1941"/>
      <c r="P1941"/>
    </row>
    <row r="1942" spans="6:16" x14ac:dyDescent="0.25">
      <c r="F1942"/>
      <c r="G1942"/>
      <c r="P1942"/>
    </row>
    <row r="1943" spans="6:16" x14ac:dyDescent="0.25">
      <c r="F1943"/>
      <c r="G1943"/>
      <c r="P1943"/>
    </row>
    <row r="1944" spans="6:16" x14ac:dyDescent="0.25">
      <c r="F1944"/>
      <c r="G1944"/>
      <c r="P1944"/>
    </row>
    <row r="1945" spans="6:16" x14ac:dyDescent="0.25">
      <c r="F1945"/>
      <c r="G1945"/>
      <c r="P1945"/>
    </row>
    <row r="1946" spans="6:16" x14ac:dyDescent="0.25">
      <c r="F1946"/>
      <c r="G1946"/>
      <c r="P1946"/>
    </row>
    <row r="1947" spans="6:16" x14ac:dyDescent="0.25">
      <c r="F1947"/>
      <c r="G1947"/>
      <c r="P1947"/>
    </row>
    <row r="1948" spans="6:16" x14ac:dyDescent="0.25">
      <c r="F1948"/>
      <c r="G1948"/>
      <c r="P1948"/>
    </row>
    <row r="1949" spans="6:16" x14ac:dyDescent="0.25">
      <c r="F1949"/>
      <c r="G1949"/>
      <c r="P1949"/>
    </row>
    <row r="1950" spans="6:16" x14ac:dyDescent="0.25">
      <c r="F1950"/>
      <c r="G1950"/>
      <c r="P1950"/>
    </row>
    <row r="1951" spans="6:16" x14ac:dyDescent="0.25">
      <c r="F1951"/>
      <c r="G1951"/>
      <c r="P1951"/>
    </row>
    <row r="1952" spans="6:16" x14ac:dyDescent="0.25">
      <c r="F1952"/>
      <c r="G1952"/>
      <c r="P1952"/>
    </row>
    <row r="1953" spans="6:16" x14ac:dyDescent="0.25">
      <c r="F1953"/>
      <c r="G1953"/>
      <c r="P1953"/>
    </row>
    <row r="1954" spans="6:16" x14ac:dyDescent="0.25">
      <c r="F1954"/>
      <c r="G1954"/>
      <c r="P1954"/>
    </row>
    <row r="1955" spans="6:16" x14ac:dyDescent="0.25">
      <c r="F1955"/>
      <c r="G1955"/>
      <c r="P1955"/>
    </row>
    <row r="1956" spans="6:16" x14ac:dyDescent="0.25">
      <c r="F1956"/>
      <c r="G1956"/>
      <c r="P1956"/>
    </row>
    <row r="1957" spans="6:16" x14ac:dyDescent="0.25">
      <c r="F1957"/>
      <c r="G1957"/>
      <c r="P1957"/>
    </row>
    <row r="1958" spans="6:16" x14ac:dyDescent="0.25">
      <c r="F1958"/>
      <c r="G1958"/>
      <c r="P1958"/>
    </row>
    <row r="1959" spans="6:16" x14ac:dyDescent="0.25">
      <c r="F1959"/>
      <c r="G1959"/>
      <c r="P1959"/>
    </row>
    <row r="1960" spans="6:16" x14ac:dyDescent="0.25">
      <c r="F1960"/>
      <c r="G1960"/>
      <c r="P1960"/>
    </row>
    <row r="1961" spans="6:16" x14ac:dyDescent="0.25">
      <c r="F1961"/>
      <c r="G1961"/>
      <c r="P1961"/>
    </row>
    <row r="1962" spans="6:16" x14ac:dyDescent="0.25">
      <c r="F1962"/>
      <c r="G1962"/>
      <c r="P1962"/>
    </row>
    <row r="1963" spans="6:16" x14ac:dyDescent="0.25">
      <c r="F1963"/>
      <c r="G1963"/>
      <c r="P1963"/>
    </row>
    <row r="1964" spans="6:16" x14ac:dyDescent="0.25">
      <c r="F1964"/>
      <c r="G1964"/>
      <c r="P1964"/>
    </row>
    <row r="1965" spans="6:16" x14ac:dyDescent="0.25">
      <c r="F1965"/>
      <c r="G1965"/>
      <c r="P1965"/>
    </row>
    <row r="1966" spans="6:16" x14ac:dyDescent="0.25">
      <c r="F1966"/>
      <c r="G1966"/>
      <c r="P1966"/>
    </row>
    <row r="1967" spans="6:16" x14ac:dyDescent="0.25">
      <c r="F1967"/>
      <c r="G1967"/>
      <c r="P1967"/>
    </row>
    <row r="1968" spans="6:16" x14ac:dyDescent="0.25">
      <c r="F1968"/>
      <c r="G1968"/>
      <c r="P1968"/>
    </row>
    <row r="1969" spans="6:16" x14ac:dyDescent="0.25">
      <c r="F1969"/>
      <c r="G1969"/>
      <c r="P1969"/>
    </row>
    <row r="1970" spans="6:16" x14ac:dyDescent="0.25">
      <c r="F1970"/>
      <c r="G1970"/>
      <c r="P1970"/>
    </row>
    <row r="1971" spans="6:16" x14ac:dyDescent="0.25">
      <c r="F1971"/>
      <c r="G1971"/>
      <c r="P1971"/>
    </row>
    <row r="1972" spans="6:16" x14ac:dyDescent="0.25">
      <c r="F1972"/>
      <c r="G1972"/>
      <c r="P1972"/>
    </row>
    <row r="1973" spans="6:16" x14ac:dyDescent="0.25">
      <c r="F1973"/>
      <c r="G1973"/>
      <c r="P1973"/>
    </row>
    <row r="1974" spans="6:16" x14ac:dyDescent="0.25">
      <c r="F1974"/>
      <c r="G1974"/>
      <c r="P1974"/>
    </row>
    <row r="1975" spans="6:16" x14ac:dyDescent="0.25">
      <c r="F1975"/>
      <c r="G1975"/>
      <c r="P1975"/>
    </row>
    <row r="1976" spans="6:16" x14ac:dyDescent="0.25">
      <c r="F1976"/>
      <c r="G1976"/>
      <c r="P1976"/>
    </row>
    <row r="1977" spans="6:16" x14ac:dyDescent="0.25">
      <c r="F1977"/>
      <c r="G1977"/>
      <c r="P1977"/>
    </row>
    <row r="1978" spans="6:16" x14ac:dyDescent="0.25">
      <c r="F1978"/>
      <c r="G1978"/>
      <c r="P1978"/>
    </row>
    <row r="1979" spans="6:16" x14ac:dyDescent="0.25">
      <c r="F1979"/>
      <c r="G1979"/>
      <c r="P1979"/>
    </row>
    <row r="1980" spans="6:16" x14ac:dyDescent="0.25">
      <c r="F1980"/>
      <c r="G1980"/>
      <c r="P1980"/>
    </row>
    <row r="1981" spans="6:16" x14ac:dyDescent="0.25">
      <c r="F1981"/>
      <c r="G1981"/>
      <c r="P1981"/>
    </row>
    <row r="1982" spans="6:16" x14ac:dyDescent="0.25">
      <c r="F1982"/>
      <c r="G1982"/>
      <c r="P1982"/>
    </row>
    <row r="1983" spans="6:16" x14ac:dyDescent="0.25">
      <c r="F1983"/>
      <c r="G1983"/>
      <c r="P1983"/>
    </row>
    <row r="1984" spans="6:16" x14ac:dyDescent="0.25">
      <c r="F1984"/>
      <c r="G1984"/>
      <c r="P1984"/>
    </row>
    <row r="1985" spans="6:16" x14ac:dyDescent="0.25">
      <c r="F1985"/>
      <c r="G1985"/>
      <c r="P1985"/>
    </row>
    <row r="1986" spans="6:16" x14ac:dyDescent="0.25">
      <c r="F1986"/>
      <c r="G1986"/>
      <c r="P1986"/>
    </row>
    <row r="1987" spans="6:16" x14ac:dyDescent="0.25">
      <c r="F1987"/>
      <c r="G1987"/>
      <c r="P1987"/>
    </row>
    <row r="1988" spans="6:16" x14ac:dyDescent="0.25">
      <c r="F1988"/>
      <c r="G1988"/>
      <c r="P1988"/>
    </row>
    <row r="1989" spans="6:16" x14ac:dyDescent="0.25">
      <c r="F1989"/>
      <c r="G1989"/>
      <c r="P1989"/>
    </row>
    <row r="1990" spans="6:16" x14ac:dyDescent="0.25">
      <c r="F1990"/>
      <c r="G1990"/>
      <c r="P1990"/>
    </row>
    <row r="1991" spans="6:16" x14ac:dyDescent="0.25">
      <c r="F1991"/>
      <c r="G1991"/>
      <c r="P1991"/>
    </row>
    <row r="1992" spans="6:16" x14ac:dyDescent="0.25">
      <c r="F1992"/>
      <c r="G1992"/>
      <c r="P1992"/>
    </row>
    <row r="1993" spans="6:16" x14ac:dyDescent="0.25">
      <c r="F1993"/>
      <c r="G1993"/>
      <c r="P1993"/>
    </row>
    <row r="1994" spans="6:16" x14ac:dyDescent="0.25">
      <c r="F1994"/>
      <c r="G1994"/>
      <c r="P1994"/>
    </row>
    <row r="1995" spans="6:16" x14ac:dyDescent="0.25">
      <c r="F1995"/>
      <c r="G1995"/>
      <c r="P1995"/>
    </row>
    <row r="1996" spans="6:16" x14ac:dyDescent="0.25">
      <c r="F1996"/>
      <c r="G1996"/>
      <c r="P1996"/>
    </row>
    <row r="1997" spans="6:16" x14ac:dyDescent="0.25">
      <c r="F1997"/>
      <c r="G1997"/>
      <c r="P1997"/>
    </row>
    <row r="1998" spans="6:16" x14ac:dyDescent="0.25">
      <c r="F1998"/>
      <c r="G1998"/>
      <c r="P1998"/>
    </row>
    <row r="1999" spans="6:16" x14ac:dyDescent="0.25">
      <c r="F1999"/>
      <c r="G1999"/>
      <c r="P1999"/>
    </row>
    <row r="2000" spans="6:16" x14ac:dyDescent="0.25">
      <c r="F2000"/>
      <c r="G2000"/>
      <c r="P2000"/>
    </row>
    <row r="2001" spans="6:16" x14ac:dyDescent="0.25">
      <c r="F2001"/>
      <c r="G2001"/>
      <c r="P2001"/>
    </row>
    <row r="2002" spans="6:16" x14ac:dyDescent="0.25">
      <c r="F2002"/>
      <c r="G2002"/>
      <c r="P2002"/>
    </row>
    <row r="2003" spans="6:16" x14ac:dyDescent="0.25">
      <c r="F2003"/>
      <c r="G2003"/>
      <c r="P2003"/>
    </row>
    <row r="2004" spans="6:16" x14ac:dyDescent="0.25">
      <c r="F2004"/>
      <c r="G2004"/>
      <c r="P2004"/>
    </row>
    <row r="2005" spans="6:16" x14ac:dyDescent="0.25">
      <c r="F2005"/>
      <c r="G2005"/>
      <c r="P2005"/>
    </row>
    <row r="2006" spans="6:16" x14ac:dyDescent="0.25">
      <c r="F2006"/>
      <c r="G2006"/>
      <c r="P2006"/>
    </row>
    <row r="2007" spans="6:16" x14ac:dyDescent="0.25">
      <c r="F2007"/>
      <c r="G2007"/>
      <c r="P2007"/>
    </row>
    <row r="2008" spans="6:16" x14ac:dyDescent="0.25">
      <c r="F2008"/>
      <c r="G2008"/>
      <c r="P2008"/>
    </row>
    <row r="2009" spans="6:16" x14ac:dyDescent="0.25">
      <c r="F2009"/>
      <c r="G2009"/>
      <c r="P2009"/>
    </row>
    <row r="2010" spans="6:16" x14ac:dyDescent="0.25">
      <c r="F2010"/>
      <c r="G2010"/>
      <c r="P2010"/>
    </row>
    <row r="2011" spans="6:16" x14ac:dyDescent="0.25">
      <c r="F2011"/>
      <c r="G2011"/>
      <c r="P2011"/>
    </row>
    <row r="2012" spans="6:16" x14ac:dyDescent="0.25">
      <c r="F2012"/>
      <c r="G2012"/>
      <c r="P2012"/>
    </row>
    <row r="2013" spans="6:16" x14ac:dyDescent="0.25">
      <c r="F2013"/>
      <c r="G2013"/>
      <c r="P2013"/>
    </row>
    <row r="2014" spans="6:16" x14ac:dyDescent="0.25">
      <c r="F2014"/>
      <c r="G2014"/>
      <c r="P2014"/>
    </row>
    <row r="2015" spans="6:16" x14ac:dyDescent="0.25">
      <c r="F2015"/>
      <c r="G2015"/>
      <c r="P2015"/>
    </row>
    <row r="2016" spans="6:16" x14ac:dyDescent="0.25">
      <c r="F2016"/>
      <c r="G2016"/>
      <c r="P2016"/>
    </row>
    <row r="2017" spans="6:16" x14ac:dyDescent="0.25">
      <c r="F2017"/>
      <c r="G2017"/>
      <c r="P2017"/>
    </row>
    <row r="2018" spans="6:16" x14ac:dyDescent="0.25">
      <c r="F2018"/>
      <c r="G2018"/>
      <c r="P2018"/>
    </row>
    <row r="2019" spans="6:16" x14ac:dyDescent="0.25">
      <c r="F2019"/>
      <c r="G2019"/>
      <c r="P2019"/>
    </row>
    <row r="2020" spans="6:16" x14ac:dyDescent="0.25">
      <c r="F2020"/>
      <c r="G2020"/>
      <c r="P2020"/>
    </row>
    <row r="2021" spans="6:16" x14ac:dyDescent="0.25">
      <c r="F2021"/>
      <c r="G2021"/>
      <c r="P2021"/>
    </row>
    <row r="2022" spans="6:16" x14ac:dyDescent="0.25">
      <c r="F2022"/>
      <c r="G2022"/>
      <c r="P2022"/>
    </row>
    <row r="2023" spans="6:16" x14ac:dyDescent="0.25">
      <c r="F2023"/>
      <c r="G2023"/>
      <c r="P2023"/>
    </row>
    <row r="2024" spans="6:16" x14ac:dyDescent="0.25">
      <c r="F2024"/>
      <c r="G2024"/>
      <c r="P2024"/>
    </row>
    <row r="2025" spans="6:16" x14ac:dyDescent="0.25">
      <c r="F2025"/>
      <c r="G2025"/>
      <c r="P2025"/>
    </row>
    <row r="2026" spans="6:16" x14ac:dyDescent="0.25">
      <c r="F2026"/>
      <c r="G2026"/>
      <c r="P2026"/>
    </row>
    <row r="2027" spans="6:16" x14ac:dyDescent="0.25">
      <c r="F2027"/>
      <c r="G2027"/>
      <c r="P2027"/>
    </row>
    <row r="2028" spans="6:16" x14ac:dyDescent="0.25">
      <c r="F2028"/>
      <c r="G2028"/>
      <c r="P2028"/>
    </row>
    <row r="2029" spans="6:16" x14ac:dyDescent="0.25">
      <c r="F2029"/>
      <c r="G2029"/>
      <c r="P2029"/>
    </row>
    <row r="2030" spans="6:16" x14ac:dyDescent="0.25">
      <c r="F2030"/>
      <c r="G2030"/>
      <c r="P2030"/>
    </row>
    <row r="2031" spans="6:16" x14ac:dyDescent="0.25">
      <c r="F2031"/>
      <c r="G2031"/>
      <c r="P2031"/>
    </row>
    <row r="2032" spans="6:16" x14ac:dyDescent="0.25">
      <c r="F2032"/>
      <c r="G2032"/>
      <c r="P2032"/>
    </row>
    <row r="2033" spans="6:16" x14ac:dyDescent="0.25">
      <c r="F2033"/>
      <c r="G2033"/>
      <c r="P2033"/>
    </row>
    <row r="2034" spans="6:16" x14ac:dyDescent="0.25">
      <c r="F2034"/>
      <c r="G2034"/>
      <c r="P2034"/>
    </row>
    <row r="2035" spans="6:16" x14ac:dyDescent="0.25">
      <c r="F2035"/>
      <c r="G2035"/>
      <c r="P2035"/>
    </row>
    <row r="2036" spans="6:16" x14ac:dyDescent="0.25">
      <c r="F2036"/>
      <c r="G2036"/>
      <c r="P2036"/>
    </row>
    <row r="2037" spans="6:16" x14ac:dyDescent="0.25">
      <c r="F2037"/>
      <c r="G2037"/>
      <c r="P2037"/>
    </row>
    <row r="2038" spans="6:16" x14ac:dyDescent="0.25">
      <c r="F2038"/>
      <c r="G2038"/>
      <c r="P2038"/>
    </row>
    <row r="2039" spans="6:16" x14ac:dyDescent="0.25">
      <c r="F2039"/>
      <c r="G2039"/>
      <c r="P2039"/>
    </row>
    <row r="2040" spans="6:16" x14ac:dyDescent="0.25">
      <c r="F2040"/>
      <c r="G2040"/>
      <c r="P2040"/>
    </row>
    <row r="2041" spans="6:16" x14ac:dyDescent="0.25">
      <c r="F2041"/>
      <c r="G2041"/>
      <c r="P2041"/>
    </row>
    <row r="2042" spans="6:16" x14ac:dyDescent="0.25">
      <c r="F2042"/>
      <c r="G2042"/>
      <c r="P2042"/>
    </row>
    <row r="2043" spans="6:16" x14ac:dyDescent="0.25">
      <c r="F2043"/>
      <c r="G2043"/>
      <c r="P2043"/>
    </row>
    <row r="2044" spans="6:16" x14ac:dyDescent="0.25">
      <c r="F2044"/>
      <c r="G2044"/>
      <c r="P2044"/>
    </row>
    <row r="2045" spans="6:16" x14ac:dyDescent="0.25">
      <c r="F2045"/>
      <c r="G2045"/>
      <c r="P2045"/>
    </row>
    <row r="2046" spans="6:16" x14ac:dyDescent="0.25">
      <c r="F2046"/>
      <c r="G2046"/>
      <c r="P2046"/>
    </row>
    <row r="2047" spans="6:16" x14ac:dyDescent="0.25">
      <c r="F2047"/>
      <c r="G2047"/>
      <c r="P2047"/>
    </row>
    <row r="2048" spans="6:16" x14ac:dyDescent="0.25">
      <c r="F2048"/>
      <c r="G2048"/>
      <c r="P2048"/>
    </row>
    <row r="2049" spans="6:16" x14ac:dyDescent="0.25">
      <c r="F2049"/>
      <c r="G2049"/>
      <c r="P2049"/>
    </row>
    <row r="2050" spans="6:16" x14ac:dyDescent="0.25">
      <c r="F2050"/>
      <c r="G2050"/>
      <c r="P2050"/>
    </row>
    <row r="2051" spans="6:16" x14ac:dyDescent="0.25">
      <c r="F2051"/>
      <c r="G2051"/>
      <c r="P2051"/>
    </row>
    <row r="2052" spans="6:16" x14ac:dyDescent="0.25">
      <c r="F2052"/>
      <c r="G2052"/>
      <c r="P2052"/>
    </row>
    <row r="2053" spans="6:16" x14ac:dyDescent="0.25">
      <c r="F2053"/>
      <c r="G2053"/>
      <c r="P2053"/>
    </row>
    <row r="2054" spans="6:16" x14ac:dyDescent="0.25">
      <c r="F2054"/>
      <c r="G2054"/>
      <c r="P2054"/>
    </row>
    <row r="2055" spans="6:16" x14ac:dyDescent="0.25">
      <c r="F2055"/>
      <c r="G2055"/>
      <c r="P2055"/>
    </row>
    <row r="2056" spans="6:16" x14ac:dyDescent="0.25">
      <c r="F2056"/>
      <c r="G2056"/>
      <c r="P2056"/>
    </row>
    <row r="2057" spans="6:16" x14ac:dyDescent="0.25">
      <c r="F2057"/>
      <c r="G2057"/>
      <c r="P2057"/>
    </row>
    <row r="2058" spans="6:16" x14ac:dyDescent="0.25">
      <c r="F2058"/>
      <c r="G2058"/>
      <c r="P2058"/>
    </row>
    <row r="2059" spans="6:16" x14ac:dyDescent="0.25">
      <c r="F2059"/>
      <c r="G2059"/>
      <c r="P2059"/>
    </row>
    <row r="2060" spans="6:16" x14ac:dyDescent="0.25">
      <c r="F2060"/>
      <c r="G2060"/>
      <c r="P2060"/>
    </row>
    <row r="2061" spans="6:16" x14ac:dyDescent="0.25">
      <c r="F2061"/>
      <c r="G2061"/>
      <c r="P2061"/>
    </row>
    <row r="2062" spans="6:16" x14ac:dyDescent="0.25">
      <c r="F2062"/>
      <c r="G2062"/>
      <c r="P2062"/>
    </row>
    <row r="2063" spans="6:16" x14ac:dyDescent="0.25">
      <c r="F2063"/>
      <c r="G2063"/>
      <c r="P2063"/>
    </row>
    <row r="2064" spans="6:16" x14ac:dyDescent="0.25">
      <c r="F2064"/>
      <c r="G2064"/>
      <c r="P2064"/>
    </row>
    <row r="2065" spans="6:16" x14ac:dyDescent="0.25">
      <c r="F2065"/>
      <c r="G2065"/>
      <c r="P2065"/>
    </row>
    <row r="2066" spans="6:16" x14ac:dyDescent="0.25">
      <c r="F2066"/>
      <c r="G2066"/>
      <c r="P2066"/>
    </row>
    <row r="2067" spans="6:16" x14ac:dyDescent="0.25">
      <c r="F2067"/>
      <c r="G2067"/>
      <c r="P2067"/>
    </row>
    <row r="2068" spans="6:16" x14ac:dyDescent="0.25">
      <c r="F2068"/>
      <c r="G2068"/>
      <c r="P2068"/>
    </row>
    <row r="2069" spans="6:16" x14ac:dyDescent="0.25">
      <c r="F2069"/>
      <c r="G2069"/>
      <c r="P2069"/>
    </row>
    <row r="2070" spans="6:16" x14ac:dyDescent="0.25">
      <c r="F2070"/>
      <c r="G2070"/>
      <c r="P2070"/>
    </row>
    <row r="2071" spans="6:16" x14ac:dyDescent="0.25">
      <c r="F2071"/>
      <c r="G2071"/>
      <c r="P2071"/>
    </row>
    <row r="2072" spans="6:16" x14ac:dyDescent="0.25">
      <c r="F2072"/>
      <c r="G2072"/>
      <c r="P2072"/>
    </row>
    <row r="2073" spans="6:16" x14ac:dyDescent="0.25">
      <c r="F2073"/>
      <c r="G2073"/>
      <c r="P2073"/>
    </row>
    <row r="2074" spans="6:16" x14ac:dyDescent="0.25">
      <c r="F2074"/>
      <c r="G2074"/>
      <c r="P2074"/>
    </row>
    <row r="2075" spans="6:16" x14ac:dyDescent="0.25">
      <c r="F2075"/>
      <c r="G2075"/>
      <c r="P2075"/>
    </row>
    <row r="2076" spans="6:16" x14ac:dyDescent="0.25">
      <c r="F2076"/>
      <c r="G2076"/>
      <c r="P2076"/>
    </row>
    <row r="2077" spans="6:16" x14ac:dyDescent="0.25">
      <c r="F2077"/>
      <c r="G2077"/>
      <c r="P2077"/>
    </row>
    <row r="2078" spans="6:16" x14ac:dyDescent="0.25">
      <c r="F2078"/>
      <c r="G2078"/>
      <c r="P2078"/>
    </row>
    <row r="2079" spans="6:16" x14ac:dyDescent="0.25">
      <c r="F2079"/>
      <c r="G2079"/>
      <c r="P2079"/>
    </row>
    <row r="2080" spans="6:16" x14ac:dyDescent="0.25">
      <c r="F2080"/>
      <c r="G2080"/>
      <c r="P2080"/>
    </row>
    <row r="2081" spans="6:16" x14ac:dyDescent="0.25">
      <c r="F2081"/>
      <c r="G2081"/>
      <c r="P2081"/>
    </row>
    <row r="2082" spans="6:16" x14ac:dyDescent="0.25">
      <c r="F2082"/>
      <c r="G2082"/>
      <c r="P2082"/>
    </row>
    <row r="2083" spans="6:16" x14ac:dyDescent="0.25">
      <c r="F2083"/>
      <c r="G2083"/>
      <c r="P2083"/>
    </row>
    <row r="2084" spans="6:16" x14ac:dyDescent="0.25">
      <c r="F2084"/>
      <c r="G2084"/>
      <c r="P2084"/>
    </row>
    <row r="2085" spans="6:16" x14ac:dyDescent="0.25">
      <c r="F2085"/>
      <c r="G2085"/>
      <c r="P2085"/>
    </row>
    <row r="2086" spans="6:16" x14ac:dyDescent="0.25">
      <c r="F2086"/>
      <c r="G2086"/>
      <c r="P2086"/>
    </row>
    <row r="2087" spans="6:16" x14ac:dyDescent="0.25">
      <c r="F2087"/>
      <c r="G2087"/>
      <c r="P2087"/>
    </row>
    <row r="2088" spans="6:16" x14ac:dyDescent="0.25">
      <c r="F2088"/>
      <c r="G2088"/>
      <c r="P2088"/>
    </row>
    <row r="2089" spans="6:16" x14ac:dyDescent="0.25">
      <c r="F2089"/>
      <c r="G2089"/>
      <c r="P2089"/>
    </row>
    <row r="2090" spans="6:16" x14ac:dyDescent="0.25">
      <c r="F2090"/>
      <c r="G2090"/>
      <c r="P2090"/>
    </row>
    <row r="2091" spans="6:16" x14ac:dyDescent="0.25">
      <c r="F2091"/>
      <c r="G2091"/>
      <c r="P2091"/>
    </row>
    <row r="2092" spans="6:16" x14ac:dyDescent="0.25">
      <c r="F2092"/>
      <c r="G2092"/>
      <c r="P2092"/>
    </row>
    <row r="2093" spans="6:16" x14ac:dyDescent="0.25">
      <c r="F2093"/>
      <c r="G2093"/>
      <c r="P2093"/>
    </row>
    <row r="2094" spans="6:16" x14ac:dyDescent="0.25">
      <c r="F2094"/>
      <c r="G2094"/>
      <c r="P2094"/>
    </row>
    <row r="2095" spans="6:16" x14ac:dyDescent="0.25">
      <c r="F2095"/>
      <c r="G2095"/>
      <c r="P2095"/>
    </row>
    <row r="2096" spans="6:16" x14ac:dyDescent="0.25">
      <c r="F2096"/>
      <c r="G2096"/>
      <c r="P2096"/>
    </row>
    <row r="2097" spans="6:16" x14ac:dyDescent="0.25">
      <c r="F2097"/>
      <c r="G2097"/>
      <c r="P2097"/>
    </row>
    <row r="2098" spans="6:16" x14ac:dyDescent="0.25">
      <c r="F2098"/>
      <c r="G2098"/>
      <c r="P2098"/>
    </row>
    <row r="2099" spans="6:16" x14ac:dyDescent="0.25">
      <c r="F2099"/>
      <c r="G2099"/>
      <c r="P2099"/>
    </row>
    <row r="2100" spans="6:16" x14ac:dyDescent="0.25">
      <c r="F2100"/>
      <c r="G2100"/>
      <c r="P2100"/>
    </row>
    <row r="2101" spans="6:16" x14ac:dyDescent="0.25">
      <c r="F2101"/>
      <c r="G2101"/>
      <c r="P2101"/>
    </row>
    <row r="2102" spans="6:16" x14ac:dyDescent="0.25">
      <c r="F2102"/>
      <c r="G2102"/>
      <c r="P2102"/>
    </row>
    <row r="2103" spans="6:16" x14ac:dyDescent="0.25">
      <c r="F2103"/>
      <c r="G2103"/>
      <c r="P2103"/>
    </row>
    <row r="2104" spans="6:16" x14ac:dyDescent="0.25">
      <c r="F2104"/>
      <c r="G2104"/>
      <c r="P2104"/>
    </row>
    <row r="2105" spans="6:16" x14ac:dyDescent="0.25">
      <c r="F2105"/>
      <c r="G2105"/>
      <c r="P2105"/>
    </row>
    <row r="2106" spans="6:16" x14ac:dyDescent="0.25">
      <c r="F2106"/>
      <c r="G2106"/>
      <c r="P2106"/>
    </row>
    <row r="2107" spans="6:16" x14ac:dyDescent="0.25">
      <c r="F2107"/>
      <c r="G2107"/>
      <c r="P2107"/>
    </row>
    <row r="2108" spans="6:16" x14ac:dyDescent="0.25">
      <c r="F2108"/>
      <c r="G2108"/>
      <c r="P2108"/>
    </row>
    <row r="2109" spans="6:16" x14ac:dyDescent="0.25">
      <c r="F2109"/>
      <c r="G2109"/>
      <c r="P2109"/>
    </row>
    <row r="2110" spans="6:16" x14ac:dyDescent="0.25">
      <c r="F2110"/>
      <c r="G2110"/>
      <c r="P2110"/>
    </row>
    <row r="2111" spans="6:16" x14ac:dyDescent="0.25">
      <c r="F2111"/>
      <c r="G2111"/>
      <c r="P2111"/>
    </row>
    <row r="2112" spans="6:16" x14ac:dyDescent="0.25">
      <c r="F2112"/>
      <c r="G2112"/>
      <c r="P2112"/>
    </row>
    <row r="2113" spans="6:16" x14ac:dyDescent="0.25">
      <c r="F2113"/>
      <c r="G2113"/>
      <c r="P2113"/>
    </row>
    <row r="2114" spans="6:16" x14ac:dyDescent="0.25">
      <c r="F2114"/>
      <c r="G2114"/>
      <c r="P2114"/>
    </row>
    <row r="2115" spans="6:16" x14ac:dyDescent="0.25">
      <c r="F2115"/>
      <c r="G2115"/>
      <c r="P2115"/>
    </row>
    <row r="2116" spans="6:16" x14ac:dyDescent="0.25">
      <c r="F2116"/>
      <c r="G2116"/>
      <c r="P2116"/>
    </row>
    <row r="2117" spans="6:16" x14ac:dyDescent="0.25">
      <c r="F2117"/>
      <c r="G2117"/>
      <c r="P2117"/>
    </row>
    <row r="2118" spans="6:16" x14ac:dyDescent="0.25">
      <c r="F2118"/>
      <c r="G2118"/>
      <c r="P2118"/>
    </row>
    <row r="2119" spans="6:16" x14ac:dyDescent="0.25">
      <c r="F2119"/>
      <c r="G2119"/>
      <c r="P2119"/>
    </row>
    <row r="2120" spans="6:16" x14ac:dyDescent="0.25">
      <c r="F2120"/>
      <c r="G2120"/>
      <c r="P2120"/>
    </row>
    <row r="2121" spans="6:16" x14ac:dyDescent="0.25">
      <c r="F2121"/>
      <c r="G2121"/>
      <c r="P2121"/>
    </row>
    <row r="2122" spans="6:16" x14ac:dyDescent="0.25">
      <c r="F2122"/>
      <c r="G2122"/>
      <c r="P2122"/>
    </row>
    <row r="2123" spans="6:16" x14ac:dyDescent="0.25">
      <c r="F2123"/>
      <c r="G2123"/>
      <c r="P2123"/>
    </row>
    <row r="2124" spans="6:16" x14ac:dyDescent="0.25">
      <c r="F2124"/>
      <c r="G2124"/>
      <c r="P2124"/>
    </row>
    <row r="2125" spans="6:16" x14ac:dyDescent="0.25">
      <c r="F2125"/>
      <c r="G2125"/>
      <c r="P2125"/>
    </row>
    <row r="2126" spans="6:16" x14ac:dyDescent="0.25">
      <c r="F2126"/>
      <c r="G2126"/>
      <c r="P2126"/>
    </row>
    <row r="2127" spans="6:16" x14ac:dyDescent="0.25">
      <c r="F2127"/>
      <c r="G2127"/>
      <c r="P2127"/>
    </row>
    <row r="2128" spans="6:16" x14ac:dyDescent="0.25">
      <c r="F2128"/>
      <c r="G2128"/>
      <c r="P2128"/>
    </row>
    <row r="2129" spans="6:16" x14ac:dyDescent="0.25">
      <c r="F2129"/>
      <c r="G2129"/>
      <c r="P2129"/>
    </row>
    <row r="2130" spans="6:16" x14ac:dyDescent="0.25">
      <c r="F2130"/>
      <c r="G2130"/>
      <c r="P2130"/>
    </row>
    <row r="2131" spans="6:16" x14ac:dyDescent="0.25">
      <c r="F2131"/>
      <c r="G2131"/>
      <c r="P2131"/>
    </row>
    <row r="2132" spans="6:16" x14ac:dyDescent="0.25">
      <c r="F2132"/>
      <c r="G2132"/>
      <c r="P2132"/>
    </row>
    <row r="2133" spans="6:16" x14ac:dyDescent="0.25">
      <c r="F2133"/>
      <c r="G2133"/>
      <c r="P2133"/>
    </row>
    <row r="2134" spans="6:16" x14ac:dyDescent="0.25">
      <c r="F2134"/>
      <c r="G2134"/>
      <c r="P2134"/>
    </row>
    <row r="2135" spans="6:16" x14ac:dyDescent="0.25">
      <c r="F2135"/>
      <c r="G2135"/>
      <c r="P2135"/>
    </row>
    <row r="2136" spans="6:16" x14ac:dyDescent="0.25">
      <c r="F2136"/>
      <c r="G2136"/>
      <c r="P2136"/>
    </row>
    <row r="2137" spans="6:16" x14ac:dyDescent="0.25">
      <c r="F2137"/>
      <c r="G2137"/>
      <c r="P2137"/>
    </row>
    <row r="2138" spans="6:16" x14ac:dyDescent="0.25">
      <c r="F2138"/>
      <c r="G2138"/>
      <c r="P2138"/>
    </row>
    <row r="2139" spans="6:16" x14ac:dyDescent="0.25">
      <c r="F2139"/>
      <c r="G2139"/>
      <c r="P2139"/>
    </row>
    <row r="2140" spans="6:16" x14ac:dyDescent="0.25">
      <c r="F2140"/>
      <c r="G2140"/>
      <c r="P2140"/>
    </row>
    <row r="2141" spans="6:16" x14ac:dyDescent="0.25">
      <c r="F2141"/>
      <c r="G2141"/>
      <c r="P2141"/>
    </row>
    <row r="2142" spans="6:16" x14ac:dyDescent="0.25">
      <c r="F2142"/>
      <c r="G2142"/>
      <c r="P2142"/>
    </row>
    <row r="2143" spans="6:16" x14ac:dyDescent="0.25">
      <c r="F2143"/>
      <c r="G2143"/>
      <c r="P2143"/>
    </row>
    <row r="2144" spans="6:16" x14ac:dyDescent="0.25">
      <c r="F2144"/>
      <c r="G2144"/>
      <c r="P2144"/>
    </row>
    <row r="2145" spans="6:16" x14ac:dyDescent="0.25">
      <c r="F2145"/>
      <c r="G2145"/>
      <c r="P2145"/>
    </row>
    <row r="2146" spans="6:16" x14ac:dyDescent="0.25">
      <c r="F2146"/>
      <c r="G2146"/>
      <c r="P2146"/>
    </row>
    <row r="2147" spans="6:16" x14ac:dyDescent="0.25">
      <c r="F2147"/>
      <c r="G2147"/>
      <c r="P2147"/>
    </row>
    <row r="2148" spans="6:16" x14ac:dyDescent="0.25">
      <c r="F2148"/>
      <c r="G2148"/>
      <c r="P2148"/>
    </row>
    <row r="2149" spans="6:16" x14ac:dyDescent="0.25">
      <c r="F2149"/>
      <c r="G2149"/>
      <c r="P2149"/>
    </row>
    <row r="2150" spans="6:16" x14ac:dyDescent="0.25">
      <c r="F2150"/>
      <c r="G2150"/>
      <c r="P2150"/>
    </row>
    <row r="2151" spans="6:16" x14ac:dyDescent="0.25">
      <c r="F2151"/>
      <c r="G2151"/>
      <c r="P2151"/>
    </row>
    <row r="2152" spans="6:16" x14ac:dyDescent="0.25">
      <c r="F2152"/>
      <c r="G2152"/>
      <c r="P2152"/>
    </row>
    <row r="2153" spans="6:16" x14ac:dyDescent="0.25">
      <c r="F2153"/>
      <c r="G2153"/>
      <c r="P2153"/>
    </row>
    <row r="2154" spans="6:16" x14ac:dyDescent="0.25">
      <c r="F2154"/>
      <c r="G2154"/>
      <c r="P2154"/>
    </row>
    <row r="2155" spans="6:16" x14ac:dyDescent="0.25">
      <c r="F2155"/>
      <c r="G2155"/>
      <c r="P2155"/>
    </row>
    <row r="2156" spans="6:16" x14ac:dyDescent="0.25">
      <c r="F2156"/>
      <c r="G2156"/>
      <c r="P2156"/>
    </row>
    <row r="2157" spans="6:16" x14ac:dyDescent="0.25">
      <c r="F2157"/>
      <c r="G2157"/>
      <c r="P2157"/>
    </row>
    <row r="2158" spans="6:16" x14ac:dyDescent="0.25">
      <c r="F2158"/>
      <c r="G2158"/>
      <c r="P2158"/>
    </row>
    <row r="2159" spans="6:16" x14ac:dyDescent="0.25">
      <c r="F2159"/>
      <c r="G2159"/>
      <c r="P2159"/>
    </row>
    <row r="2160" spans="6:16" x14ac:dyDescent="0.25">
      <c r="F2160"/>
      <c r="G2160"/>
      <c r="P2160"/>
    </row>
    <row r="2161" spans="6:16" x14ac:dyDescent="0.25">
      <c r="F2161"/>
      <c r="G2161"/>
      <c r="P2161"/>
    </row>
    <row r="2162" spans="6:16" x14ac:dyDescent="0.25">
      <c r="F2162"/>
      <c r="G2162"/>
      <c r="P2162"/>
    </row>
    <row r="2163" spans="6:16" x14ac:dyDescent="0.25">
      <c r="F2163"/>
      <c r="G2163"/>
      <c r="P2163"/>
    </row>
    <row r="2164" spans="6:16" x14ac:dyDescent="0.25">
      <c r="F2164"/>
      <c r="G2164"/>
      <c r="P2164"/>
    </row>
    <row r="2165" spans="6:16" x14ac:dyDescent="0.25">
      <c r="F2165"/>
      <c r="G2165"/>
      <c r="P2165"/>
    </row>
    <row r="2166" spans="6:16" x14ac:dyDescent="0.25">
      <c r="F2166"/>
      <c r="G2166"/>
      <c r="P2166"/>
    </row>
    <row r="2167" spans="6:16" x14ac:dyDescent="0.25">
      <c r="F2167"/>
      <c r="G2167"/>
      <c r="P2167"/>
    </row>
    <row r="2168" spans="6:16" x14ac:dyDescent="0.25">
      <c r="F2168"/>
      <c r="G2168"/>
      <c r="P2168"/>
    </row>
    <row r="2169" spans="6:16" x14ac:dyDescent="0.25">
      <c r="F2169"/>
      <c r="G2169"/>
      <c r="P2169"/>
    </row>
    <row r="2170" spans="6:16" x14ac:dyDescent="0.25">
      <c r="F2170"/>
      <c r="G2170"/>
      <c r="P2170"/>
    </row>
    <row r="2171" spans="6:16" x14ac:dyDescent="0.25">
      <c r="F2171"/>
      <c r="G2171"/>
      <c r="P2171"/>
    </row>
    <row r="2172" spans="6:16" x14ac:dyDescent="0.25">
      <c r="F2172"/>
      <c r="G2172"/>
      <c r="P2172"/>
    </row>
    <row r="2173" spans="6:16" x14ac:dyDescent="0.25">
      <c r="F2173"/>
      <c r="G2173"/>
      <c r="P2173"/>
    </row>
    <row r="2174" spans="6:16" x14ac:dyDescent="0.25">
      <c r="F2174"/>
      <c r="G2174"/>
      <c r="P2174"/>
    </row>
    <row r="2175" spans="6:16" x14ac:dyDescent="0.25">
      <c r="F2175"/>
      <c r="G2175"/>
      <c r="P2175"/>
    </row>
    <row r="2176" spans="6:16" x14ac:dyDescent="0.25">
      <c r="F2176"/>
      <c r="G2176"/>
      <c r="P2176"/>
    </row>
    <row r="2177" spans="6:16" x14ac:dyDescent="0.25">
      <c r="F2177"/>
      <c r="G2177"/>
      <c r="P2177"/>
    </row>
    <row r="2178" spans="6:16" x14ac:dyDescent="0.25">
      <c r="F2178"/>
      <c r="G2178"/>
      <c r="P2178"/>
    </row>
    <row r="2179" spans="6:16" x14ac:dyDescent="0.25">
      <c r="F2179"/>
      <c r="G2179"/>
      <c r="P2179"/>
    </row>
    <row r="2180" spans="6:16" x14ac:dyDescent="0.25">
      <c r="F2180"/>
      <c r="G2180"/>
      <c r="P2180"/>
    </row>
    <row r="2181" spans="6:16" x14ac:dyDescent="0.25">
      <c r="F2181"/>
      <c r="G2181"/>
      <c r="P2181"/>
    </row>
    <row r="2182" spans="6:16" x14ac:dyDescent="0.25">
      <c r="F2182"/>
      <c r="G2182"/>
      <c r="P2182"/>
    </row>
    <row r="2183" spans="6:16" x14ac:dyDescent="0.25">
      <c r="F2183"/>
      <c r="G2183"/>
      <c r="P2183"/>
    </row>
    <row r="2184" spans="6:16" x14ac:dyDescent="0.25">
      <c r="F2184"/>
      <c r="G2184"/>
      <c r="P2184"/>
    </row>
    <row r="2185" spans="6:16" x14ac:dyDescent="0.25">
      <c r="F2185"/>
      <c r="G2185"/>
      <c r="P2185"/>
    </row>
    <row r="2186" spans="6:16" x14ac:dyDescent="0.25">
      <c r="F2186"/>
      <c r="G2186"/>
      <c r="P2186"/>
    </row>
    <row r="2187" spans="6:16" x14ac:dyDescent="0.25">
      <c r="F2187"/>
      <c r="G2187"/>
      <c r="P2187"/>
    </row>
    <row r="2188" spans="6:16" x14ac:dyDescent="0.25">
      <c r="F2188"/>
      <c r="G2188"/>
      <c r="P2188"/>
    </row>
    <row r="2189" spans="6:16" x14ac:dyDescent="0.25">
      <c r="F2189"/>
      <c r="G2189"/>
      <c r="P2189"/>
    </row>
    <row r="2190" spans="6:16" x14ac:dyDescent="0.25">
      <c r="F2190"/>
      <c r="G2190"/>
      <c r="P2190"/>
    </row>
    <row r="2191" spans="6:16" x14ac:dyDescent="0.25">
      <c r="F2191"/>
      <c r="G2191"/>
      <c r="P2191"/>
    </row>
    <row r="2192" spans="6:16" x14ac:dyDescent="0.25">
      <c r="F2192"/>
      <c r="G2192"/>
      <c r="P2192"/>
    </row>
    <row r="2193" spans="6:16" x14ac:dyDescent="0.25">
      <c r="F2193"/>
      <c r="G2193"/>
      <c r="P2193"/>
    </row>
    <row r="2194" spans="6:16" x14ac:dyDescent="0.25">
      <c r="F2194"/>
      <c r="G2194"/>
      <c r="P2194"/>
    </row>
    <row r="2195" spans="6:16" x14ac:dyDescent="0.25">
      <c r="F2195"/>
      <c r="G2195"/>
      <c r="P2195"/>
    </row>
    <row r="2196" spans="6:16" x14ac:dyDescent="0.25">
      <c r="F2196"/>
      <c r="G2196"/>
      <c r="P2196"/>
    </row>
    <row r="2197" spans="6:16" x14ac:dyDescent="0.25">
      <c r="F2197"/>
      <c r="G2197"/>
      <c r="P2197"/>
    </row>
    <row r="2198" spans="6:16" x14ac:dyDescent="0.25">
      <c r="F2198"/>
      <c r="G2198"/>
      <c r="P2198"/>
    </row>
    <row r="2199" spans="6:16" x14ac:dyDescent="0.25">
      <c r="F2199"/>
      <c r="G2199"/>
      <c r="P2199"/>
    </row>
    <row r="2200" spans="6:16" x14ac:dyDescent="0.25">
      <c r="F2200"/>
      <c r="G2200"/>
      <c r="P2200"/>
    </row>
    <row r="2201" spans="6:16" x14ac:dyDescent="0.25">
      <c r="F2201"/>
      <c r="G2201"/>
      <c r="P2201"/>
    </row>
    <row r="2202" spans="6:16" x14ac:dyDescent="0.25">
      <c r="F2202"/>
      <c r="G2202"/>
      <c r="P2202"/>
    </row>
    <row r="2203" spans="6:16" x14ac:dyDescent="0.25">
      <c r="F2203"/>
      <c r="G2203"/>
      <c r="P2203"/>
    </row>
    <row r="2204" spans="6:16" x14ac:dyDescent="0.25">
      <c r="F2204"/>
      <c r="G2204"/>
      <c r="P2204"/>
    </row>
    <row r="2205" spans="6:16" x14ac:dyDescent="0.25">
      <c r="F2205"/>
      <c r="G2205"/>
      <c r="P2205"/>
    </row>
    <row r="2206" spans="6:16" x14ac:dyDescent="0.25">
      <c r="F2206"/>
      <c r="G2206"/>
      <c r="P2206"/>
    </row>
    <row r="2207" spans="6:16" x14ac:dyDescent="0.25">
      <c r="F2207"/>
      <c r="G2207"/>
      <c r="P2207"/>
    </row>
    <row r="2208" spans="6:16" x14ac:dyDescent="0.25">
      <c r="F2208"/>
      <c r="G2208"/>
      <c r="P2208"/>
    </row>
    <row r="2209" spans="6:16" x14ac:dyDescent="0.25">
      <c r="F2209"/>
      <c r="G2209"/>
      <c r="P2209"/>
    </row>
    <row r="2210" spans="6:16" x14ac:dyDescent="0.25">
      <c r="F2210"/>
      <c r="G2210"/>
      <c r="P2210"/>
    </row>
    <row r="2211" spans="6:16" x14ac:dyDescent="0.25">
      <c r="F2211"/>
      <c r="G2211"/>
      <c r="P2211"/>
    </row>
    <row r="2212" spans="6:16" x14ac:dyDescent="0.25">
      <c r="F2212"/>
      <c r="G2212"/>
      <c r="P2212"/>
    </row>
    <row r="2213" spans="6:16" x14ac:dyDescent="0.25">
      <c r="F2213"/>
      <c r="G2213"/>
      <c r="P2213"/>
    </row>
    <row r="2214" spans="6:16" x14ac:dyDescent="0.25">
      <c r="F2214"/>
      <c r="G2214"/>
      <c r="P2214"/>
    </row>
    <row r="2215" spans="6:16" x14ac:dyDescent="0.25">
      <c r="F2215"/>
      <c r="G2215"/>
      <c r="P2215"/>
    </row>
    <row r="2216" spans="6:16" x14ac:dyDescent="0.25">
      <c r="F2216"/>
      <c r="G2216"/>
      <c r="P2216"/>
    </row>
    <row r="2217" spans="6:16" x14ac:dyDescent="0.25">
      <c r="F2217"/>
      <c r="G2217"/>
      <c r="P2217"/>
    </row>
    <row r="2218" spans="6:16" x14ac:dyDescent="0.25">
      <c r="F2218"/>
      <c r="G2218"/>
      <c r="P2218"/>
    </row>
    <row r="2219" spans="6:16" x14ac:dyDescent="0.25">
      <c r="F2219"/>
      <c r="G2219"/>
      <c r="P2219"/>
    </row>
    <row r="2220" spans="6:16" x14ac:dyDescent="0.25">
      <c r="F2220"/>
      <c r="G2220"/>
      <c r="P2220"/>
    </row>
    <row r="2221" spans="6:16" x14ac:dyDescent="0.25">
      <c r="F2221"/>
      <c r="G2221"/>
      <c r="P2221"/>
    </row>
    <row r="2222" spans="6:16" x14ac:dyDescent="0.25">
      <c r="F2222"/>
      <c r="G2222"/>
      <c r="P2222"/>
    </row>
    <row r="2223" spans="6:16" x14ac:dyDescent="0.25">
      <c r="F2223"/>
      <c r="G2223"/>
      <c r="P2223"/>
    </row>
    <row r="2224" spans="6:16" x14ac:dyDescent="0.25">
      <c r="F2224"/>
      <c r="G2224"/>
      <c r="P2224"/>
    </row>
    <row r="2225" spans="6:16" x14ac:dyDescent="0.25">
      <c r="F2225"/>
      <c r="G2225"/>
      <c r="P2225"/>
    </row>
    <row r="2226" spans="6:16" x14ac:dyDescent="0.25">
      <c r="F2226"/>
      <c r="G2226"/>
      <c r="P2226"/>
    </row>
    <row r="2227" spans="6:16" x14ac:dyDescent="0.25">
      <c r="F2227"/>
      <c r="G2227"/>
      <c r="P2227"/>
    </row>
    <row r="2228" spans="6:16" x14ac:dyDescent="0.25">
      <c r="F2228"/>
      <c r="G2228"/>
      <c r="P2228"/>
    </row>
    <row r="2229" spans="6:16" x14ac:dyDescent="0.25">
      <c r="F2229"/>
      <c r="G2229"/>
      <c r="P2229"/>
    </row>
    <row r="2230" spans="6:16" x14ac:dyDescent="0.25">
      <c r="F2230"/>
      <c r="G2230"/>
      <c r="P2230"/>
    </row>
    <row r="2231" spans="6:16" x14ac:dyDescent="0.25">
      <c r="F2231"/>
      <c r="G2231"/>
      <c r="P2231"/>
    </row>
    <row r="2232" spans="6:16" x14ac:dyDescent="0.25">
      <c r="F2232"/>
      <c r="G2232"/>
      <c r="P2232"/>
    </row>
    <row r="2233" spans="6:16" x14ac:dyDescent="0.25">
      <c r="F2233"/>
      <c r="G2233"/>
      <c r="P2233"/>
    </row>
    <row r="2234" spans="6:16" x14ac:dyDescent="0.25">
      <c r="F2234"/>
      <c r="G2234"/>
      <c r="P2234"/>
    </row>
    <row r="2235" spans="6:16" x14ac:dyDescent="0.25">
      <c r="F2235"/>
      <c r="G2235"/>
      <c r="P2235"/>
    </row>
    <row r="2236" spans="6:16" x14ac:dyDescent="0.25">
      <c r="F2236"/>
      <c r="G2236"/>
      <c r="P2236"/>
    </row>
    <row r="2237" spans="6:16" x14ac:dyDescent="0.25">
      <c r="F2237"/>
      <c r="G2237"/>
      <c r="P2237"/>
    </row>
    <row r="2238" spans="6:16" x14ac:dyDescent="0.25">
      <c r="F2238"/>
      <c r="G2238"/>
      <c r="P2238"/>
    </row>
    <row r="2239" spans="6:16" x14ac:dyDescent="0.25">
      <c r="F2239"/>
      <c r="G2239"/>
      <c r="P2239"/>
    </row>
    <row r="2240" spans="6:16" x14ac:dyDescent="0.25">
      <c r="F2240"/>
      <c r="G2240"/>
      <c r="P2240"/>
    </row>
    <row r="2241" spans="6:16" x14ac:dyDescent="0.25">
      <c r="F2241"/>
      <c r="G2241"/>
      <c r="P2241"/>
    </row>
    <row r="2242" spans="6:16" x14ac:dyDescent="0.25">
      <c r="F2242"/>
      <c r="G2242"/>
      <c r="P2242"/>
    </row>
    <row r="2243" spans="6:16" x14ac:dyDescent="0.25">
      <c r="F2243"/>
      <c r="G2243"/>
      <c r="P2243"/>
    </row>
    <row r="2244" spans="6:16" x14ac:dyDescent="0.25">
      <c r="F2244"/>
      <c r="G2244"/>
      <c r="P2244"/>
    </row>
    <row r="2245" spans="6:16" x14ac:dyDescent="0.25">
      <c r="F2245"/>
      <c r="G2245"/>
      <c r="P2245"/>
    </row>
    <row r="2246" spans="6:16" x14ac:dyDescent="0.25">
      <c r="F2246"/>
      <c r="G2246"/>
      <c r="P2246"/>
    </row>
    <row r="2247" spans="6:16" x14ac:dyDescent="0.25">
      <c r="F2247"/>
      <c r="G2247"/>
      <c r="P2247"/>
    </row>
    <row r="2248" spans="6:16" x14ac:dyDescent="0.25">
      <c r="F2248"/>
      <c r="G2248"/>
      <c r="P2248"/>
    </row>
    <row r="2249" spans="6:16" x14ac:dyDescent="0.25">
      <c r="F2249"/>
      <c r="G2249"/>
      <c r="P2249"/>
    </row>
    <row r="2250" spans="6:16" x14ac:dyDescent="0.25">
      <c r="F2250"/>
      <c r="G2250"/>
      <c r="P2250"/>
    </row>
    <row r="2251" spans="6:16" x14ac:dyDescent="0.25">
      <c r="F2251"/>
      <c r="G2251"/>
      <c r="P2251"/>
    </row>
    <row r="2252" spans="6:16" x14ac:dyDescent="0.25">
      <c r="F2252"/>
      <c r="G2252"/>
      <c r="P2252"/>
    </row>
    <row r="2253" spans="6:16" x14ac:dyDescent="0.25">
      <c r="F2253"/>
      <c r="G2253"/>
      <c r="P2253"/>
    </row>
    <row r="2254" spans="6:16" x14ac:dyDescent="0.25">
      <c r="F2254"/>
      <c r="G2254"/>
      <c r="P2254"/>
    </row>
    <row r="2255" spans="6:16" x14ac:dyDescent="0.25">
      <c r="F2255"/>
      <c r="G2255"/>
      <c r="P2255"/>
    </row>
    <row r="2256" spans="6:16" x14ac:dyDescent="0.25">
      <c r="F2256"/>
      <c r="G2256"/>
      <c r="P2256"/>
    </row>
    <row r="2257" spans="6:16" x14ac:dyDescent="0.25">
      <c r="F2257"/>
      <c r="G2257"/>
      <c r="P2257"/>
    </row>
    <row r="2258" spans="6:16" x14ac:dyDescent="0.25">
      <c r="F2258"/>
      <c r="G2258"/>
      <c r="P2258"/>
    </row>
    <row r="2259" spans="6:16" x14ac:dyDescent="0.25">
      <c r="F2259"/>
      <c r="G2259"/>
      <c r="P2259"/>
    </row>
    <row r="2260" spans="6:16" x14ac:dyDescent="0.25">
      <c r="F2260"/>
      <c r="G2260"/>
      <c r="P2260"/>
    </row>
    <row r="2261" spans="6:16" x14ac:dyDescent="0.25">
      <c r="F2261"/>
      <c r="G2261"/>
      <c r="P2261"/>
    </row>
    <row r="2262" spans="6:16" x14ac:dyDescent="0.25">
      <c r="F2262"/>
      <c r="G2262"/>
      <c r="P2262"/>
    </row>
    <row r="2263" spans="6:16" x14ac:dyDescent="0.25">
      <c r="F2263"/>
      <c r="G2263"/>
      <c r="P2263"/>
    </row>
    <row r="2264" spans="6:16" x14ac:dyDescent="0.25">
      <c r="F2264"/>
      <c r="G2264"/>
      <c r="P2264"/>
    </row>
    <row r="2265" spans="6:16" x14ac:dyDescent="0.25">
      <c r="F2265"/>
      <c r="G2265"/>
      <c r="P2265"/>
    </row>
    <row r="2266" spans="6:16" x14ac:dyDescent="0.25">
      <c r="F2266"/>
      <c r="G2266"/>
      <c r="P2266"/>
    </row>
    <row r="2267" spans="6:16" x14ac:dyDescent="0.25">
      <c r="F2267"/>
      <c r="G2267"/>
      <c r="P2267"/>
    </row>
    <row r="2268" spans="6:16" x14ac:dyDescent="0.25">
      <c r="F2268"/>
      <c r="G2268"/>
      <c r="P2268"/>
    </row>
    <row r="2269" spans="6:16" x14ac:dyDescent="0.25">
      <c r="F2269"/>
      <c r="G2269"/>
      <c r="P2269"/>
    </row>
    <row r="2270" spans="6:16" x14ac:dyDescent="0.25">
      <c r="F2270"/>
      <c r="G2270"/>
      <c r="P2270"/>
    </row>
    <row r="2271" spans="6:16" x14ac:dyDescent="0.25">
      <c r="F2271"/>
      <c r="G2271"/>
      <c r="P2271"/>
    </row>
    <row r="2272" spans="6:16" x14ac:dyDescent="0.25">
      <c r="F2272"/>
      <c r="G2272"/>
      <c r="P2272"/>
    </row>
    <row r="2273" spans="6:16" x14ac:dyDescent="0.25">
      <c r="F2273"/>
      <c r="G2273"/>
      <c r="P2273"/>
    </row>
    <row r="2274" spans="6:16" x14ac:dyDescent="0.25">
      <c r="F2274"/>
      <c r="G2274"/>
      <c r="P2274"/>
    </row>
    <row r="2275" spans="6:16" x14ac:dyDescent="0.25">
      <c r="F2275"/>
      <c r="G2275"/>
      <c r="P2275"/>
    </row>
    <row r="2276" spans="6:16" x14ac:dyDescent="0.25">
      <c r="F2276"/>
      <c r="G2276"/>
      <c r="P2276"/>
    </row>
    <row r="2277" spans="6:16" x14ac:dyDescent="0.25">
      <c r="F2277"/>
      <c r="G2277"/>
      <c r="P2277"/>
    </row>
    <row r="2278" spans="6:16" x14ac:dyDescent="0.25">
      <c r="F2278"/>
      <c r="G2278"/>
      <c r="P2278"/>
    </row>
    <row r="2279" spans="6:16" x14ac:dyDescent="0.25">
      <c r="F2279"/>
      <c r="G2279"/>
      <c r="P2279"/>
    </row>
    <row r="2280" spans="6:16" x14ac:dyDescent="0.25">
      <c r="F2280"/>
      <c r="G2280"/>
      <c r="P2280"/>
    </row>
    <row r="2281" spans="6:16" x14ac:dyDescent="0.25">
      <c r="F2281"/>
      <c r="G2281"/>
      <c r="P2281"/>
    </row>
    <row r="2282" spans="6:16" x14ac:dyDescent="0.25">
      <c r="F2282"/>
      <c r="G2282"/>
      <c r="P2282"/>
    </row>
    <row r="2283" spans="6:16" x14ac:dyDescent="0.25">
      <c r="F2283"/>
      <c r="G2283"/>
      <c r="P2283"/>
    </row>
    <row r="2284" spans="6:16" x14ac:dyDescent="0.25">
      <c r="F2284"/>
      <c r="G2284"/>
      <c r="P2284"/>
    </row>
    <row r="2285" spans="6:16" x14ac:dyDescent="0.25">
      <c r="F2285"/>
      <c r="G2285"/>
      <c r="P2285"/>
    </row>
    <row r="2286" spans="6:16" x14ac:dyDescent="0.25">
      <c r="F2286"/>
      <c r="G2286"/>
      <c r="P2286"/>
    </row>
    <row r="2287" spans="6:16" x14ac:dyDescent="0.25">
      <c r="F2287"/>
      <c r="G2287"/>
      <c r="P2287"/>
    </row>
    <row r="2288" spans="6:16" x14ac:dyDescent="0.25">
      <c r="F2288"/>
      <c r="G2288"/>
      <c r="P2288"/>
    </row>
    <row r="2289" spans="6:16" x14ac:dyDescent="0.25">
      <c r="F2289"/>
      <c r="G2289"/>
      <c r="P2289"/>
    </row>
    <row r="2290" spans="6:16" x14ac:dyDescent="0.25">
      <c r="F2290"/>
      <c r="G2290"/>
      <c r="P2290"/>
    </row>
    <row r="2291" spans="6:16" x14ac:dyDescent="0.25">
      <c r="F2291"/>
      <c r="G2291"/>
      <c r="P2291"/>
    </row>
    <row r="2292" spans="6:16" x14ac:dyDescent="0.25">
      <c r="F2292"/>
      <c r="G2292"/>
      <c r="P2292"/>
    </row>
    <row r="2293" spans="6:16" x14ac:dyDescent="0.25">
      <c r="F2293"/>
      <c r="G2293"/>
      <c r="P2293"/>
    </row>
    <row r="2294" spans="6:16" x14ac:dyDescent="0.25">
      <c r="F2294"/>
      <c r="G2294"/>
      <c r="P2294"/>
    </row>
    <row r="2295" spans="6:16" x14ac:dyDescent="0.25">
      <c r="F2295"/>
      <c r="G2295"/>
      <c r="P2295"/>
    </row>
    <row r="2296" spans="6:16" x14ac:dyDescent="0.25">
      <c r="F2296"/>
      <c r="G2296"/>
      <c r="P2296"/>
    </row>
    <row r="2297" spans="6:16" x14ac:dyDescent="0.25">
      <c r="F2297"/>
      <c r="G2297"/>
      <c r="P2297"/>
    </row>
    <row r="2298" spans="6:16" x14ac:dyDescent="0.25">
      <c r="F2298"/>
      <c r="G2298"/>
      <c r="P2298"/>
    </row>
    <row r="2299" spans="6:16" x14ac:dyDescent="0.25">
      <c r="F2299"/>
      <c r="G2299"/>
      <c r="P2299"/>
    </row>
    <row r="2300" spans="6:16" x14ac:dyDescent="0.25">
      <c r="F2300"/>
      <c r="G2300"/>
      <c r="P2300"/>
    </row>
    <row r="2301" spans="6:16" x14ac:dyDescent="0.25">
      <c r="F2301"/>
      <c r="G2301"/>
      <c r="P2301"/>
    </row>
    <row r="2302" spans="6:16" x14ac:dyDescent="0.25">
      <c r="F2302"/>
      <c r="G2302"/>
      <c r="P2302"/>
    </row>
    <row r="2303" spans="6:16" x14ac:dyDescent="0.25">
      <c r="F2303"/>
      <c r="G2303"/>
      <c r="P2303"/>
    </row>
    <row r="2304" spans="6:16" x14ac:dyDescent="0.25">
      <c r="F2304"/>
      <c r="G2304"/>
      <c r="P2304"/>
    </row>
    <row r="2305" spans="6:16" x14ac:dyDescent="0.25">
      <c r="F2305"/>
      <c r="G2305"/>
      <c r="P2305"/>
    </row>
    <row r="2306" spans="6:16" x14ac:dyDescent="0.25">
      <c r="F2306"/>
      <c r="G2306"/>
      <c r="P2306"/>
    </row>
    <row r="2307" spans="6:16" x14ac:dyDescent="0.25">
      <c r="F2307"/>
      <c r="G2307"/>
      <c r="P2307"/>
    </row>
    <row r="2308" spans="6:16" x14ac:dyDescent="0.25">
      <c r="F2308"/>
      <c r="G2308"/>
      <c r="P2308"/>
    </row>
    <row r="2309" spans="6:16" x14ac:dyDescent="0.25">
      <c r="F2309"/>
      <c r="G2309"/>
      <c r="P2309"/>
    </row>
    <row r="2310" spans="6:16" x14ac:dyDescent="0.25">
      <c r="F2310"/>
      <c r="G2310"/>
      <c r="P2310"/>
    </row>
    <row r="2311" spans="6:16" x14ac:dyDescent="0.25">
      <c r="F2311"/>
      <c r="G2311"/>
      <c r="P2311"/>
    </row>
    <row r="2312" spans="6:16" x14ac:dyDescent="0.25">
      <c r="F2312"/>
      <c r="G2312"/>
      <c r="P2312"/>
    </row>
    <row r="2313" spans="6:16" x14ac:dyDescent="0.25">
      <c r="F2313"/>
      <c r="G2313"/>
      <c r="P2313"/>
    </row>
    <row r="2314" spans="6:16" x14ac:dyDescent="0.25">
      <c r="F2314"/>
      <c r="G2314"/>
      <c r="P2314"/>
    </row>
    <row r="2315" spans="6:16" x14ac:dyDescent="0.25">
      <c r="F2315"/>
      <c r="G2315"/>
      <c r="P2315"/>
    </row>
    <row r="2316" spans="6:16" x14ac:dyDescent="0.25">
      <c r="F2316"/>
      <c r="G2316"/>
      <c r="P2316"/>
    </row>
    <row r="2317" spans="6:16" x14ac:dyDescent="0.25">
      <c r="F2317"/>
      <c r="G2317"/>
      <c r="P2317"/>
    </row>
    <row r="2318" spans="6:16" x14ac:dyDescent="0.25">
      <c r="F2318"/>
      <c r="G2318"/>
      <c r="P2318"/>
    </row>
    <row r="2319" spans="6:16" x14ac:dyDescent="0.25">
      <c r="F2319"/>
      <c r="G2319"/>
      <c r="P2319"/>
    </row>
    <row r="2320" spans="6:16" x14ac:dyDescent="0.25">
      <c r="F2320"/>
      <c r="G2320"/>
      <c r="P2320"/>
    </row>
    <row r="2321" spans="6:16" x14ac:dyDescent="0.25">
      <c r="F2321"/>
      <c r="G2321"/>
      <c r="P2321"/>
    </row>
    <row r="2322" spans="6:16" x14ac:dyDescent="0.25">
      <c r="F2322"/>
      <c r="G2322"/>
      <c r="P2322"/>
    </row>
    <row r="2323" spans="6:16" x14ac:dyDescent="0.25">
      <c r="F2323"/>
      <c r="G2323"/>
      <c r="P2323"/>
    </row>
    <row r="2324" spans="6:16" x14ac:dyDescent="0.25">
      <c r="F2324"/>
      <c r="G2324"/>
      <c r="P2324"/>
    </row>
    <row r="2325" spans="6:16" x14ac:dyDescent="0.25">
      <c r="F2325"/>
      <c r="G2325"/>
      <c r="P2325"/>
    </row>
    <row r="2326" spans="6:16" x14ac:dyDescent="0.25">
      <c r="F2326"/>
      <c r="G2326"/>
      <c r="P2326"/>
    </row>
    <row r="2327" spans="6:16" x14ac:dyDescent="0.25">
      <c r="F2327"/>
      <c r="G2327"/>
      <c r="P2327"/>
    </row>
    <row r="2328" spans="6:16" x14ac:dyDescent="0.25">
      <c r="F2328"/>
      <c r="G2328"/>
      <c r="P2328"/>
    </row>
    <row r="2329" spans="6:16" x14ac:dyDescent="0.25">
      <c r="F2329"/>
      <c r="G2329"/>
      <c r="P2329"/>
    </row>
    <row r="2330" spans="6:16" x14ac:dyDescent="0.25">
      <c r="F2330"/>
      <c r="G2330"/>
      <c r="P2330"/>
    </row>
    <row r="2331" spans="6:16" x14ac:dyDescent="0.25">
      <c r="F2331"/>
      <c r="G2331"/>
      <c r="P2331"/>
    </row>
    <row r="2332" spans="6:16" x14ac:dyDescent="0.25">
      <c r="F2332"/>
      <c r="G2332"/>
      <c r="P2332"/>
    </row>
    <row r="2333" spans="6:16" x14ac:dyDescent="0.25">
      <c r="F2333"/>
      <c r="G2333"/>
      <c r="P2333"/>
    </row>
    <row r="2334" spans="6:16" x14ac:dyDescent="0.25">
      <c r="F2334"/>
      <c r="G2334"/>
      <c r="P2334"/>
    </row>
    <row r="2335" spans="6:16" x14ac:dyDescent="0.25">
      <c r="F2335"/>
      <c r="G2335"/>
      <c r="P2335"/>
    </row>
    <row r="2336" spans="6:16" x14ac:dyDescent="0.25">
      <c r="F2336"/>
      <c r="G2336"/>
      <c r="P2336"/>
    </row>
    <row r="2337" spans="6:16" x14ac:dyDescent="0.25">
      <c r="F2337"/>
      <c r="G2337"/>
      <c r="P2337"/>
    </row>
    <row r="2338" spans="6:16" x14ac:dyDescent="0.25">
      <c r="F2338"/>
      <c r="G2338"/>
      <c r="P2338"/>
    </row>
    <row r="2339" spans="6:16" x14ac:dyDescent="0.25">
      <c r="F2339"/>
      <c r="G2339"/>
      <c r="P2339"/>
    </row>
    <row r="2340" spans="6:16" x14ac:dyDescent="0.25">
      <c r="F2340"/>
      <c r="G2340"/>
      <c r="P2340"/>
    </row>
    <row r="2341" spans="6:16" x14ac:dyDescent="0.25">
      <c r="F2341"/>
      <c r="G2341"/>
      <c r="P2341"/>
    </row>
    <row r="2342" spans="6:16" x14ac:dyDescent="0.25">
      <c r="F2342"/>
      <c r="G2342"/>
      <c r="P2342"/>
    </row>
    <row r="2343" spans="6:16" x14ac:dyDescent="0.25">
      <c r="F2343"/>
      <c r="G2343"/>
      <c r="P2343"/>
    </row>
    <row r="2344" spans="6:16" x14ac:dyDescent="0.25">
      <c r="F2344"/>
      <c r="G2344"/>
      <c r="P2344"/>
    </row>
    <row r="2345" spans="6:16" x14ac:dyDescent="0.25">
      <c r="F2345"/>
      <c r="G2345"/>
      <c r="P2345"/>
    </row>
    <row r="2346" spans="6:16" x14ac:dyDescent="0.25">
      <c r="F2346"/>
      <c r="G2346"/>
      <c r="P2346"/>
    </row>
    <row r="2347" spans="6:16" x14ac:dyDescent="0.25">
      <c r="F2347"/>
      <c r="G2347"/>
      <c r="P2347"/>
    </row>
    <row r="2348" spans="6:16" x14ac:dyDescent="0.25">
      <c r="F2348"/>
      <c r="G2348"/>
      <c r="P2348"/>
    </row>
    <row r="2349" spans="6:16" x14ac:dyDescent="0.25">
      <c r="F2349"/>
      <c r="G2349"/>
      <c r="P2349"/>
    </row>
    <row r="2350" spans="6:16" x14ac:dyDescent="0.25">
      <c r="F2350"/>
      <c r="G2350"/>
      <c r="P2350"/>
    </row>
    <row r="2351" spans="6:16" x14ac:dyDescent="0.25">
      <c r="F2351"/>
      <c r="G2351"/>
      <c r="P2351"/>
    </row>
    <row r="2352" spans="6:16" x14ac:dyDescent="0.25">
      <c r="F2352"/>
      <c r="G2352"/>
      <c r="P2352"/>
    </row>
    <row r="2353" spans="6:16" x14ac:dyDescent="0.25">
      <c r="F2353"/>
      <c r="G2353"/>
      <c r="P2353"/>
    </row>
    <row r="2354" spans="6:16" x14ac:dyDescent="0.25">
      <c r="F2354"/>
      <c r="G2354"/>
      <c r="P2354"/>
    </row>
    <row r="2355" spans="6:16" x14ac:dyDescent="0.25">
      <c r="F2355"/>
      <c r="G2355"/>
      <c r="P2355"/>
    </row>
    <row r="2356" spans="6:16" x14ac:dyDescent="0.25">
      <c r="F2356"/>
      <c r="G2356"/>
      <c r="P2356"/>
    </row>
    <row r="2357" spans="6:16" x14ac:dyDescent="0.25">
      <c r="F2357"/>
      <c r="G2357"/>
      <c r="P2357"/>
    </row>
    <row r="2358" spans="6:16" x14ac:dyDescent="0.25">
      <c r="F2358"/>
      <c r="G2358"/>
      <c r="P2358"/>
    </row>
    <row r="2359" spans="6:16" x14ac:dyDescent="0.25">
      <c r="F2359"/>
      <c r="G2359"/>
      <c r="P2359"/>
    </row>
    <row r="2360" spans="6:16" x14ac:dyDescent="0.25">
      <c r="F2360"/>
      <c r="G2360"/>
      <c r="P2360"/>
    </row>
    <row r="2361" spans="6:16" x14ac:dyDescent="0.25">
      <c r="F2361"/>
      <c r="G2361"/>
      <c r="P2361"/>
    </row>
    <row r="2362" spans="6:16" x14ac:dyDescent="0.25">
      <c r="F2362"/>
      <c r="G2362"/>
      <c r="P2362"/>
    </row>
    <row r="2363" spans="6:16" x14ac:dyDescent="0.25">
      <c r="F2363"/>
      <c r="G2363"/>
      <c r="P2363"/>
    </row>
    <row r="2364" spans="6:16" x14ac:dyDescent="0.25">
      <c r="F2364"/>
      <c r="G2364"/>
      <c r="P2364"/>
    </row>
    <row r="2365" spans="6:16" x14ac:dyDescent="0.25">
      <c r="F2365"/>
      <c r="G2365"/>
      <c r="P2365"/>
    </row>
    <row r="2366" spans="6:16" x14ac:dyDescent="0.25">
      <c r="F2366"/>
      <c r="G2366"/>
      <c r="P2366"/>
    </row>
    <row r="2367" spans="6:16" x14ac:dyDescent="0.25">
      <c r="F2367"/>
      <c r="G2367"/>
      <c r="P2367"/>
    </row>
    <row r="2368" spans="6:16" x14ac:dyDescent="0.25">
      <c r="F2368"/>
      <c r="G2368"/>
      <c r="P2368"/>
    </row>
    <row r="2369" spans="6:16" x14ac:dyDescent="0.25">
      <c r="F2369"/>
      <c r="G2369"/>
      <c r="P2369"/>
    </row>
    <row r="2370" spans="6:16" x14ac:dyDescent="0.25">
      <c r="F2370"/>
      <c r="G2370"/>
      <c r="P2370"/>
    </row>
    <row r="2371" spans="6:16" x14ac:dyDescent="0.25">
      <c r="F2371"/>
      <c r="G2371"/>
      <c r="P2371"/>
    </row>
    <row r="2372" spans="6:16" x14ac:dyDescent="0.25">
      <c r="F2372"/>
      <c r="G2372"/>
      <c r="P2372"/>
    </row>
    <row r="2373" spans="6:16" x14ac:dyDescent="0.25">
      <c r="F2373"/>
      <c r="G2373"/>
      <c r="P2373"/>
    </row>
    <row r="2374" spans="6:16" x14ac:dyDescent="0.25">
      <c r="F2374"/>
      <c r="G2374"/>
      <c r="P2374"/>
    </row>
    <row r="2375" spans="6:16" x14ac:dyDescent="0.25">
      <c r="F2375"/>
      <c r="G2375"/>
      <c r="P2375"/>
    </row>
    <row r="2376" spans="6:16" x14ac:dyDescent="0.25">
      <c r="F2376"/>
      <c r="G2376"/>
      <c r="P2376"/>
    </row>
    <row r="2377" spans="6:16" x14ac:dyDescent="0.25">
      <c r="F2377"/>
      <c r="G2377"/>
      <c r="P2377"/>
    </row>
    <row r="2378" spans="6:16" x14ac:dyDescent="0.25">
      <c r="F2378"/>
      <c r="G2378"/>
      <c r="P2378"/>
    </row>
    <row r="2379" spans="6:16" x14ac:dyDescent="0.25">
      <c r="F2379"/>
      <c r="G2379"/>
      <c r="P2379"/>
    </row>
    <row r="2380" spans="6:16" x14ac:dyDescent="0.25">
      <c r="F2380"/>
      <c r="G2380"/>
      <c r="P2380"/>
    </row>
    <row r="2381" spans="6:16" x14ac:dyDescent="0.25">
      <c r="F2381"/>
      <c r="G2381"/>
      <c r="P2381"/>
    </row>
    <row r="2382" spans="6:16" x14ac:dyDescent="0.25">
      <c r="F2382"/>
      <c r="G2382"/>
      <c r="P2382"/>
    </row>
    <row r="2383" spans="6:16" x14ac:dyDescent="0.25">
      <c r="F2383"/>
      <c r="G2383"/>
      <c r="P2383"/>
    </row>
    <row r="2384" spans="6:16" x14ac:dyDescent="0.25">
      <c r="F2384"/>
      <c r="G2384"/>
      <c r="P2384"/>
    </row>
    <row r="2385" spans="6:16" x14ac:dyDescent="0.25">
      <c r="F2385"/>
      <c r="G2385"/>
      <c r="P2385"/>
    </row>
    <row r="2386" spans="6:16" x14ac:dyDescent="0.25">
      <c r="F2386"/>
      <c r="G2386"/>
      <c r="P2386"/>
    </row>
    <row r="2387" spans="6:16" x14ac:dyDescent="0.25">
      <c r="F2387"/>
      <c r="G2387"/>
      <c r="P2387"/>
    </row>
    <row r="2388" spans="6:16" x14ac:dyDescent="0.25">
      <c r="F2388"/>
      <c r="G2388"/>
      <c r="P2388"/>
    </row>
    <row r="2389" spans="6:16" x14ac:dyDescent="0.25">
      <c r="F2389"/>
      <c r="G2389"/>
      <c r="P2389"/>
    </row>
    <row r="2390" spans="6:16" x14ac:dyDescent="0.25">
      <c r="F2390"/>
      <c r="G2390"/>
      <c r="P2390"/>
    </row>
    <row r="2391" spans="6:16" x14ac:dyDescent="0.25">
      <c r="F2391"/>
      <c r="G2391"/>
      <c r="P2391"/>
    </row>
    <row r="2392" spans="6:16" x14ac:dyDescent="0.25">
      <c r="F2392"/>
      <c r="G2392"/>
      <c r="P2392"/>
    </row>
    <row r="2393" spans="6:16" x14ac:dyDescent="0.25">
      <c r="F2393"/>
      <c r="G2393"/>
      <c r="P2393"/>
    </row>
    <row r="2394" spans="6:16" x14ac:dyDescent="0.25">
      <c r="F2394"/>
      <c r="G2394"/>
      <c r="P2394"/>
    </row>
    <row r="2395" spans="6:16" x14ac:dyDescent="0.25">
      <c r="F2395"/>
      <c r="G2395"/>
      <c r="P2395"/>
    </row>
    <row r="2396" spans="6:16" x14ac:dyDescent="0.25">
      <c r="F2396"/>
      <c r="G2396"/>
      <c r="P2396"/>
    </row>
    <row r="2397" spans="6:16" x14ac:dyDescent="0.25">
      <c r="F2397"/>
      <c r="G2397"/>
      <c r="P2397"/>
    </row>
    <row r="2398" spans="6:16" x14ac:dyDescent="0.25">
      <c r="F2398"/>
      <c r="G2398"/>
      <c r="P2398"/>
    </row>
    <row r="2399" spans="6:16" x14ac:dyDescent="0.25">
      <c r="F2399"/>
      <c r="G2399"/>
      <c r="P2399"/>
    </row>
    <row r="2400" spans="6:16" x14ac:dyDescent="0.25">
      <c r="F2400"/>
      <c r="G2400"/>
      <c r="P2400"/>
    </row>
    <row r="2401" spans="6:16" x14ac:dyDescent="0.25">
      <c r="F2401"/>
      <c r="G2401"/>
      <c r="P2401"/>
    </row>
    <row r="2402" spans="6:16" x14ac:dyDescent="0.25">
      <c r="F2402"/>
      <c r="G2402"/>
      <c r="P2402"/>
    </row>
    <row r="2403" spans="6:16" x14ac:dyDescent="0.25">
      <c r="F2403"/>
      <c r="G2403"/>
      <c r="P2403"/>
    </row>
    <row r="2404" spans="6:16" x14ac:dyDescent="0.25">
      <c r="F2404"/>
      <c r="G2404"/>
      <c r="P2404"/>
    </row>
    <row r="2405" spans="6:16" x14ac:dyDescent="0.25">
      <c r="F2405"/>
      <c r="G2405"/>
      <c r="P2405"/>
    </row>
    <row r="2406" spans="6:16" x14ac:dyDescent="0.25">
      <c r="F2406"/>
      <c r="G2406"/>
      <c r="P2406"/>
    </row>
    <row r="2407" spans="6:16" x14ac:dyDescent="0.25">
      <c r="F2407"/>
      <c r="G2407"/>
      <c r="P2407"/>
    </row>
    <row r="2408" spans="6:16" x14ac:dyDescent="0.25">
      <c r="F2408"/>
      <c r="G2408"/>
      <c r="P2408"/>
    </row>
    <row r="2409" spans="6:16" x14ac:dyDescent="0.25">
      <c r="F2409"/>
      <c r="G2409"/>
      <c r="P2409"/>
    </row>
    <row r="2410" spans="6:16" x14ac:dyDescent="0.25">
      <c r="F2410"/>
      <c r="G2410"/>
      <c r="P2410"/>
    </row>
    <row r="2411" spans="6:16" x14ac:dyDescent="0.25">
      <c r="F2411"/>
      <c r="G2411"/>
      <c r="P2411"/>
    </row>
    <row r="2412" spans="6:16" x14ac:dyDescent="0.25">
      <c r="F2412"/>
      <c r="G2412"/>
      <c r="P2412"/>
    </row>
    <row r="2413" spans="6:16" x14ac:dyDescent="0.25">
      <c r="F2413"/>
      <c r="G2413"/>
      <c r="P2413"/>
    </row>
    <row r="2414" spans="6:16" x14ac:dyDescent="0.25">
      <c r="F2414"/>
      <c r="G2414"/>
      <c r="P2414"/>
    </row>
    <row r="2415" spans="6:16" x14ac:dyDescent="0.25">
      <c r="F2415"/>
      <c r="G2415"/>
      <c r="P2415"/>
    </row>
    <row r="2416" spans="6:16" x14ac:dyDescent="0.25">
      <c r="F2416"/>
      <c r="G2416"/>
      <c r="P2416"/>
    </row>
    <row r="2417" spans="6:16" x14ac:dyDescent="0.25">
      <c r="F2417"/>
      <c r="G2417"/>
      <c r="P2417"/>
    </row>
    <row r="2418" spans="6:16" x14ac:dyDescent="0.25">
      <c r="F2418"/>
      <c r="G2418"/>
      <c r="P2418"/>
    </row>
    <row r="2419" spans="6:16" x14ac:dyDescent="0.25">
      <c r="F2419"/>
      <c r="G2419"/>
      <c r="P2419"/>
    </row>
    <row r="2420" spans="6:16" x14ac:dyDescent="0.25">
      <c r="F2420"/>
      <c r="G2420"/>
      <c r="P2420"/>
    </row>
    <row r="2421" spans="6:16" x14ac:dyDescent="0.25">
      <c r="F2421"/>
      <c r="G2421"/>
      <c r="P2421"/>
    </row>
    <row r="2422" spans="6:16" x14ac:dyDescent="0.25">
      <c r="F2422"/>
      <c r="G2422"/>
      <c r="P2422"/>
    </row>
    <row r="2423" spans="6:16" x14ac:dyDescent="0.25">
      <c r="F2423"/>
      <c r="G2423"/>
      <c r="P2423"/>
    </row>
    <row r="2424" spans="6:16" x14ac:dyDescent="0.25">
      <c r="F2424"/>
      <c r="G2424"/>
      <c r="P2424"/>
    </row>
    <row r="2425" spans="6:16" x14ac:dyDescent="0.25">
      <c r="F2425"/>
      <c r="G2425"/>
      <c r="P2425"/>
    </row>
    <row r="2426" spans="6:16" x14ac:dyDescent="0.25">
      <c r="F2426"/>
      <c r="G2426"/>
      <c r="P2426"/>
    </row>
    <row r="2427" spans="6:16" x14ac:dyDescent="0.25">
      <c r="F2427"/>
      <c r="G2427"/>
      <c r="P2427"/>
    </row>
    <row r="2428" spans="6:16" x14ac:dyDescent="0.25">
      <c r="F2428"/>
      <c r="G2428"/>
      <c r="P2428"/>
    </row>
    <row r="2429" spans="6:16" x14ac:dyDescent="0.25">
      <c r="F2429"/>
      <c r="G2429"/>
      <c r="P2429"/>
    </row>
    <row r="2430" spans="6:16" x14ac:dyDescent="0.25">
      <c r="F2430"/>
      <c r="G2430"/>
      <c r="P2430"/>
    </row>
    <row r="2431" spans="6:16" x14ac:dyDescent="0.25">
      <c r="F2431"/>
      <c r="G2431"/>
      <c r="P2431"/>
    </row>
    <row r="2432" spans="6:16" x14ac:dyDescent="0.25">
      <c r="F2432"/>
      <c r="G2432"/>
      <c r="P2432"/>
    </row>
    <row r="2433" spans="6:16" x14ac:dyDescent="0.25">
      <c r="F2433"/>
      <c r="G2433"/>
      <c r="P2433"/>
    </row>
    <row r="2434" spans="6:16" x14ac:dyDescent="0.25">
      <c r="F2434"/>
      <c r="G2434"/>
      <c r="P2434"/>
    </row>
    <row r="2435" spans="6:16" x14ac:dyDescent="0.25">
      <c r="F2435"/>
      <c r="G2435"/>
      <c r="P2435"/>
    </row>
    <row r="2436" spans="6:16" x14ac:dyDescent="0.25">
      <c r="F2436"/>
      <c r="G2436"/>
      <c r="P2436"/>
    </row>
    <row r="2437" spans="6:16" x14ac:dyDescent="0.25">
      <c r="F2437"/>
      <c r="G2437"/>
      <c r="P2437"/>
    </row>
    <row r="2438" spans="6:16" x14ac:dyDescent="0.25">
      <c r="F2438"/>
      <c r="G2438"/>
      <c r="P2438"/>
    </row>
    <row r="2439" spans="6:16" x14ac:dyDescent="0.25">
      <c r="F2439"/>
      <c r="G2439"/>
      <c r="P2439"/>
    </row>
    <row r="2440" spans="6:16" x14ac:dyDescent="0.25">
      <c r="F2440"/>
      <c r="G2440"/>
      <c r="P2440"/>
    </row>
    <row r="2441" spans="6:16" x14ac:dyDescent="0.25">
      <c r="F2441"/>
      <c r="G2441"/>
      <c r="P2441"/>
    </row>
    <row r="2442" spans="6:16" x14ac:dyDescent="0.25">
      <c r="F2442"/>
      <c r="G2442"/>
      <c r="P2442"/>
    </row>
    <row r="2443" spans="6:16" x14ac:dyDescent="0.25">
      <c r="F2443"/>
      <c r="G2443"/>
      <c r="P2443"/>
    </row>
    <row r="2444" spans="6:16" x14ac:dyDescent="0.25">
      <c r="F2444"/>
      <c r="G2444"/>
      <c r="P2444"/>
    </row>
    <row r="2445" spans="6:16" x14ac:dyDescent="0.25">
      <c r="F2445"/>
      <c r="G2445"/>
      <c r="P2445"/>
    </row>
    <row r="2446" spans="6:16" x14ac:dyDescent="0.25">
      <c r="F2446"/>
      <c r="G2446"/>
      <c r="P2446"/>
    </row>
    <row r="2447" spans="6:16" x14ac:dyDescent="0.25">
      <c r="F2447"/>
      <c r="G2447"/>
      <c r="P2447"/>
    </row>
    <row r="2448" spans="6:16" x14ac:dyDescent="0.25">
      <c r="F2448"/>
      <c r="G2448"/>
      <c r="P2448"/>
    </row>
    <row r="2449" spans="6:16" x14ac:dyDescent="0.25">
      <c r="F2449"/>
      <c r="G2449"/>
      <c r="P2449"/>
    </row>
    <row r="2450" spans="6:16" x14ac:dyDescent="0.25">
      <c r="F2450"/>
      <c r="G2450"/>
      <c r="P2450"/>
    </row>
    <row r="2451" spans="6:16" x14ac:dyDescent="0.25">
      <c r="F2451"/>
      <c r="G2451"/>
      <c r="P2451"/>
    </row>
    <row r="2452" spans="6:16" x14ac:dyDescent="0.25">
      <c r="F2452"/>
      <c r="G2452"/>
      <c r="P2452"/>
    </row>
    <row r="2453" spans="6:16" x14ac:dyDescent="0.25">
      <c r="F2453"/>
      <c r="G2453"/>
      <c r="P2453"/>
    </row>
    <row r="2454" spans="6:16" x14ac:dyDescent="0.25">
      <c r="F2454"/>
      <c r="G2454"/>
      <c r="P2454"/>
    </row>
    <row r="2455" spans="6:16" x14ac:dyDescent="0.25">
      <c r="F2455"/>
      <c r="G2455"/>
      <c r="P2455"/>
    </row>
    <row r="2456" spans="6:16" x14ac:dyDescent="0.25">
      <c r="F2456"/>
      <c r="G2456"/>
      <c r="P2456"/>
    </row>
    <row r="2457" spans="6:16" x14ac:dyDescent="0.25">
      <c r="F2457"/>
      <c r="G2457"/>
      <c r="P2457"/>
    </row>
    <row r="2458" spans="6:16" x14ac:dyDescent="0.25">
      <c r="F2458"/>
      <c r="G2458"/>
      <c r="P2458"/>
    </row>
    <row r="2459" spans="6:16" x14ac:dyDescent="0.25">
      <c r="F2459"/>
      <c r="G2459"/>
      <c r="P2459"/>
    </row>
    <row r="2460" spans="6:16" x14ac:dyDescent="0.25">
      <c r="F2460"/>
      <c r="G2460"/>
      <c r="P2460"/>
    </row>
    <row r="2461" spans="6:16" x14ac:dyDescent="0.25">
      <c r="F2461"/>
      <c r="G2461"/>
      <c r="P2461"/>
    </row>
    <row r="2462" spans="6:16" x14ac:dyDescent="0.25">
      <c r="F2462"/>
      <c r="G2462"/>
      <c r="P2462"/>
    </row>
    <row r="2463" spans="6:16" x14ac:dyDescent="0.25">
      <c r="F2463"/>
      <c r="G2463"/>
      <c r="P2463"/>
    </row>
    <row r="2464" spans="6:16" x14ac:dyDescent="0.25">
      <c r="F2464"/>
      <c r="G2464"/>
      <c r="P2464"/>
    </row>
    <row r="2465" spans="6:16" x14ac:dyDescent="0.25">
      <c r="F2465"/>
      <c r="G2465"/>
      <c r="P2465"/>
    </row>
    <row r="2466" spans="6:16" x14ac:dyDescent="0.25">
      <c r="F2466"/>
      <c r="G2466"/>
      <c r="P2466"/>
    </row>
    <row r="2467" spans="6:16" x14ac:dyDescent="0.25">
      <c r="F2467"/>
      <c r="G2467"/>
      <c r="P2467"/>
    </row>
    <row r="2468" spans="6:16" x14ac:dyDescent="0.25">
      <c r="F2468"/>
      <c r="G2468"/>
      <c r="P2468"/>
    </row>
    <row r="2469" spans="6:16" x14ac:dyDescent="0.25">
      <c r="F2469"/>
      <c r="G2469"/>
      <c r="P2469"/>
    </row>
    <row r="2470" spans="6:16" x14ac:dyDescent="0.25">
      <c r="F2470"/>
      <c r="G2470"/>
      <c r="P2470"/>
    </row>
    <row r="2471" spans="6:16" x14ac:dyDescent="0.25">
      <c r="F2471"/>
      <c r="G2471"/>
      <c r="P2471"/>
    </row>
    <row r="2472" spans="6:16" x14ac:dyDescent="0.25">
      <c r="F2472"/>
      <c r="G2472"/>
      <c r="P2472"/>
    </row>
    <row r="2473" spans="6:16" x14ac:dyDescent="0.25">
      <c r="F2473"/>
      <c r="G2473"/>
      <c r="P2473"/>
    </row>
    <row r="2474" spans="6:16" x14ac:dyDescent="0.25">
      <c r="F2474"/>
      <c r="G2474"/>
      <c r="P2474"/>
    </row>
    <row r="2475" spans="6:16" x14ac:dyDescent="0.25">
      <c r="F2475"/>
      <c r="G2475"/>
      <c r="P2475"/>
    </row>
    <row r="2476" spans="6:16" x14ac:dyDescent="0.25">
      <c r="F2476"/>
      <c r="G2476"/>
      <c r="P2476"/>
    </row>
    <row r="2477" spans="6:16" x14ac:dyDescent="0.25">
      <c r="F2477"/>
      <c r="G2477"/>
      <c r="P2477"/>
    </row>
    <row r="2478" spans="6:16" x14ac:dyDescent="0.25">
      <c r="F2478"/>
      <c r="G2478"/>
      <c r="P2478"/>
    </row>
    <row r="2479" spans="6:16" x14ac:dyDescent="0.25">
      <c r="F2479"/>
      <c r="G2479"/>
      <c r="P2479"/>
    </row>
    <row r="2480" spans="6:16" x14ac:dyDescent="0.25">
      <c r="F2480"/>
      <c r="G2480"/>
      <c r="P2480"/>
    </row>
    <row r="2481" spans="6:16" x14ac:dyDescent="0.25">
      <c r="F2481"/>
      <c r="G2481"/>
      <c r="P2481"/>
    </row>
    <row r="2482" spans="6:16" x14ac:dyDescent="0.25">
      <c r="F2482"/>
      <c r="G2482"/>
      <c r="P2482"/>
    </row>
    <row r="2483" spans="6:16" x14ac:dyDescent="0.25">
      <c r="F2483"/>
      <c r="G2483"/>
      <c r="P2483"/>
    </row>
    <row r="2484" spans="6:16" x14ac:dyDescent="0.25">
      <c r="F2484"/>
      <c r="G2484"/>
      <c r="P2484"/>
    </row>
    <row r="2485" spans="6:16" x14ac:dyDescent="0.25">
      <c r="F2485"/>
      <c r="G2485"/>
      <c r="P2485"/>
    </row>
    <row r="2486" spans="6:16" x14ac:dyDescent="0.25">
      <c r="F2486"/>
      <c r="G2486"/>
      <c r="P2486"/>
    </row>
    <row r="2487" spans="6:16" x14ac:dyDescent="0.25">
      <c r="F2487"/>
      <c r="G2487"/>
      <c r="P2487"/>
    </row>
    <row r="2488" spans="6:16" x14ac:dyDescent="0.25">
      <c r="F2488"/>
      <c r="G2488"/>
      <c r="P2488"/>
    </row>
    <row r="2489" spans="6:16" x14ac:dyDescent="0.25">
      <c r="F2489"/>
      <c r="G2489"/>
      <c r="P2489"/>
    </row>
    <row r="2490" spans="6:16" x14ac:dyDescent="0.25">
      <c r="F2490"/>
      <c r="G2490"/>
      <c r="P2490"/>
    </row>
    <row r="2491" spans="6:16" x14ac:dyDescent="0.25">
      <c r="F2491"/>
      <c r="G2491"/>
      <c r="P2491"/>
    </row>
    <row r="2492" spans="6:16" x14ac:dyDescent="0.25">
      <c r="F2492"/>
      <c r="G2492"/>
      <c r="P2492"/>
    </row>
    <row r="2493" spans="6:16" x14ac:dyDescent="0.25">
      <c r="F2493"/>
      <c r="G2493"/>
      <c r="P2493"/>
    </row>
    <row r="2494" spans="6:16" x14ac:dyDescent="0.25">
      <c r="F2494"/>
      <c r="G2494"/>
      <c r="P2494"/>
    </row>
    <row r="2495" spans="6:16" x14ac:dyDescent="0.25">
      <c r="F2495"/>
      <c r="G2495"/>
      <c r="P2495"/>
    </row>
    <row r="2496" spans="6:16" x14ac:dyDescent="0.25">
      <c r="F2496"/>
      <c r="G2496"/>
      <c r="P2496"/>
    </row>
    <row r="2497" spans="6:16" x14ac:dyDescent="0.25">
      <c r="F2497"/>
      <c r="G2497"/>
      <c r="P2497"/>
    </row>
    <row r="2498" spans="6:16" x14ac:dyDescent="0.25">
      <c r="F2498"/>
      <c r="G2498"/>
      <c r="P2498"/>
    </row>
    <row r="2499" spans="6:16" x14ac:dyDescent="0.25">
      <c r="F2499"/>
      <c r="G2499"/>
      <c r="P2499"/>
    </row>
    <row r="2500" spans="6:16" x14ac:dyDescent="0.25">
      <c r="F2500"/>
      <c r="G2500"/>
      <c r="P2500"/>
    </row>
    <row r="2501" spans="6:16" x14ac:dyDescent="0.25">
      <c r="F2501"/>
      <c r="G2501"/>
      <c r="P2501"/>
    </row>
    <row r="2502" spans="6:16" x14ac:dyDescent="0.25">
      <c r="F2502"/>
      <c r="G2502"/>
      <c r="P2502"/>
    </row>
    <row r="2503" spans="6:16" x14ac:dyDescent="0.25">
      <c r="F2503"/>
      <c r="G2503"/>
      <c r="P2503"/>
    </row>
    <row r="2504" spans="6:16" x14ac:dyDescent="0.25">
      <c r="F2504"/>
      <c r="G2504"/>
      <c r="P2504"/>
    </row>
    <row r="2505" spans="6:16" x14ac:dyDescent="0.25">
      <c r="F2505"/>
      <c r="G2505"/>
      <c r="P2505"/>
    </row>
    <row r="2506" spans="6:16" x14ac:dyDescent="0.25">
      <c r="F2506"/>
      <c r="G2506"/>
      <c r="P2506"/>
    </row>
    <row r="2507" spans="6:16" x14ac:dyDescent="0.25">
      <c r="F2507"/>
      <c r="G2507"/>
      <c r="P2507"/>
    </row>
    <row r="2508" spans="6:16" x14ac:dyDescent="0.25">
      <c r="F2508"/>
      <c r="G2508"/>
      <c r="P2508"/>
    </row>
    <row r="2509" spans="6:16" x14ac:dyDescent="0.25">
      <c r="F2509"/>
      <c r="G2509"/>
      <c r="P2509"/>
    </row>
    <row r="2510" spans="6:16" x14ac:dyDescent="0.25">
      <c r="F2510"/>
      <c r="G2510"/>
      <c r="P2510"/>
    </row>
    <row r="2511" spans="6:16" x14ac:dyDescent="0.25">
      <c r="F2511"/>
      <c r="G2511"/>
      <c r="P2511"/>
    </row>
    <row r="2512" spans="6:16" x14ac:dyDescent="0.25">
      <c r="F2512"/>
      <c r="G2512"/>
      <c r="P2512"/>
    </row>
    <row r="2513" spans="6:16" x14ac:dyDescent="0.25">
      <c r="F2513"/>
      <c r="G2513"/>
      <c r="P2513"/>
    </row>
    <row r="2514" spans="6:16" x14ac:dyDescent="0.25">
      <c r="F2514"/>
      <c r="G2514"/>
      <c r="P2514"/>
    </row>
    <row r="2515" spans="6:16" x14ac:dyDescent="0.25">
      <c r="F2515"/>
      <c r="G2515"/>
      <c r="P2515"/>
    </row>
    <row r="2516" spans="6:16" x14ac:dyDescent="0.25">
      <c r="F2516"/>
      <c r="G2516"/>
      <c r="P2516"/>
    </row>
    <row r="2517" spans="6:16" x14ac:dyDescent="0.25">
      <c r="F2517"/>
      <c r="G2517"/>
      <c r="P2517"/>
    </row>
    <row r="2518" spans="6:16" x14ac:dyDescent="0.25">
      <c r="F2518"/>
      <c r="G2518"/>
      <c r="P2518"/>
    </row>
    <row r="2519" spans="6:16" x14ac:dyDescent="0.25">
      <c r="F2519"/>
      <c r="G2519"/>
      <c r="P2519"/>
    </row>
    <row r="2520" spans="6:16" x14ac:dyDescent="0.25">
      <c r="F2520"/>
      <c r="G2520"/>
      <c r="P2520"/>
    </row>
    <row r="2521" spans="6:16" x14ac:dyDescent="0.25">
      <c r="F2521"/>
      <c r="G2521"/>
      <c r="P2521"/>
    </row>
    <row r="2522" spans="6:16" x14ac:dyDescent="0.25">
      <c r="F2522"/>
      <c r="G2522"/>
      <c r="P2522"/>
    </row>
    <row r="2523" spans="6:16" x14ac:dyDescent="0.25">
      <c r="F2523"/>
      <c r="G2523"/>
      <c r="P2523"/>
    </row>
    <row r="2524" spans="6:16" x14ac:dyDescent="0.25">
      <c r="F2524"/>
      <c r="G2524"/>
      <c r="P2524"/>
    </row>
    <row r="2525" spans="6:16" x14ac:dyDescent="0.25">
      <c r="F2525"/>
      <c r="G2525"/>
      <c r="P2525"/>
    </row>
    <row r="2526" spans="6:16" x14ac:dyDescent="0.25">
      <c r="F2526"/>
      <c r="G2526"/>
      <c r="P2526"/>
    </row>
    <row r="2527" spans="6:16" x14ac:dyDescent="0.25">
      <c r="F2527"/>
      <c r="G2527"/>
      <c r="P2527"/>
    </row>
    <row r="2528" spans="6:16" x14ac:dyDescent="0.25">
      <c r="F2528"/>
      <c r="G2528"/>
      <c r="P2528"/>
    </row>
    <row r="2529" spans="6:16" x14ac:dyDescent="0.25">
      <c r="F2529"/>
      <c r="G2529"/>
      <c r="P2529"/>
    </row>
    <row r="2530" spans="6:16" x14ac:dyDescent="0.25">
      <c r="F2530"/>
      <c r="G2530"/>
      <c r="P2530"/>
    </row>
    <row r="2531" spans="6:16" x14ac:dyDescent="0.25">
      <c r="F2531"/>
      <c r="G2531"/>
      <c r="P2531"/>
    </row>
    <row r="2532" spans="6:16" x14ac:dyDescent="0.25">
      <c r="F2532"/>
      <c r="G2532"/>
      <c r="P2532"/>
    </row>
    <row r="2533" spans="6:16" x14ac:dyDescent="0.25">
      <c r="F2533"/>
      <c r="G2533"/>
      <c r="P2533"/>
    </row>
    <row r="2534" spans="6:16" x14ac:dyDescent="0.25">
      <c r="F2534"/>
      <c r="G2534"/>
      <c r="P2534"/>
    </row>
    <row r="2535" spans="6:16" x14ac:dyDescent="0.25">
      <c r="F2535"/>
      <c r="G2535"/>
      <c r="P2535"/>
    </row>
    <row r="2536" spans="6:16" x14ac:dyDescent="0.25">
      <c r="F2536"/>
      <c r="G2536"/>
      <c r="P2536"/>
    </row>
    <row r="2537" spans="6:16" x14ac:dyDescent="0.25">
      <c r="F2537"/>
      <c r="G2537"/>
      <c r="P2537"/>
    </row>
    <row r="2538" spans="6:16" x14ac:dyDescent="0.25">
      <c r="F2538"/>
      <c r="G2538"/>
      <c r="P2538"/>
    </row>
    <row r="2539" spans="6:16" x14ac:dyDescent="0.25">
      <c r="F2539"/>
      <c r="G2539"/>
      <c r="P2539"/>
    </row>
    <row r="2540" spans="6:16" x14ac:dyDescent="0.25">
      <c r="F2540"/>
      <c r="G2540"/>
      <c r="P2540"/>
    </row>
    <row r="2541" spans="6:16" x14ac:dyDescent="0.25">
      <c r="F2541"/>
      <c r="G2541"/>
      <c r="P2541"/>
    </row>
    <row r="2542" spans="6:16" x14ac:dyDescent="0.25">
      <c r="F2542"/>
      <c r="G2542"/>
      <c r="P2542"/>
    </row>
    <row r="2543" spans="6:16" x14ac:dyDescent="0.25">
      <c r="F2543"/>
      <c r="G2543"/>
      <c r="P2543"/>
    </row>
    <row r="2544" spans="6:16" x14ac:dyDescent="0.25">
      <c r="F2544"/>
      <c r="G2544"/>
      <c r="P2544"/>
    </row>
    <row r="2545" spans="6:16" x14ac:dyDescent="0.25">
      <c r="F2545"/>
      <c r="G2545"/>
      <c r="P2545"/>
    </row>
    <row r="2546" spans="6:16" x14ac:dyDescent="0.25">
      <c r="F2546"/>
      <c r="G2546"/>
      <c r="P2546"/>
    </row>
    <row r="2547" spans="6:16" x14ac:dyDescent="0.25">
      <c r="F2547"/>
      <c r="G2547"/>
      <c r="P2547"/>
    </row>
    <row r="2548" spans="6:16" x14ac:dyDescent="0.25">
      <c r="F2548"/>
      <c r="G2548"/>
      <c r="P2548"/>
    </row>
    <row r="2549" spans="6:16" x14ac:dyDescent="0.25">
      <c r="F2549"/>
      <c r="G2549"/>
      <c r="P2549"/>
    </row>
    <row r="2550" spans="6:16" x14ac:dyDescent="0.25">
      <c r="F2550"/>
      <c r="G2550"/>
      <c r="P2550"/>
    </row>
    <row r="2551" spans="6:16" x14ac:dyDescent="0.25">
      <c r="F2551"/>
      <c r="G2551"/>
      <c r="P2551"/>
    </row>
    <row r="2552" spans="6:16" x14ac:dyDescent="0.25">
      <c r="F2552"/>
      <c r="G2552"/>
      <c r="P2552"/>
    </row>
    <row r="2553" spans="6:16" x14ac:dyDescent="0.25">
      <c r="F2553"/>
      <c r="G2553"/>
      <c r="P2553"/>
    </row>
    <row r="2554" spans="6:16" x14ac:dyDescent="0.25">
      <c r="F2554"/>
      <c r="G2554"/>
      <c r="P2554"/>
    </row>
    <row r="2555" spans="6:16" x14ac:dyDescent="0.25">
      <c r="F2555"/>
      <c r="G2555"/>
      <c r="P2555"/>
    </row>
    <row r="2556" spans="6:16" x14ac:dyDescent="0.25">
      <c r="F2556"/>
      <c r="G2556"/>
      <c r="P2556"/>
    </row>
    <row r="2557" spans="6:16" x14ac:dyDescent="0.25">
      <c r="F2557"/>
      <c r="G2557"/>
      <c r="P2557"/>
    </row>
    <row r="2558" spans="6:16" x14ac:dyDescent="0.25">
      <c r="F2558"/>
      <c r="G2558"/>
      <c r="P2558"/>
    </row>
    <row r="2559" spans="6:16" x14ac:dyDescent="0.25">
      <c r="F2559"/>
      <c r="G2559"/>
      <c r="P2559"/>
    </row>
    <row r="2560" spans="6:16" x14ac:dyDescent="0.25">
      <c r="F2560"/>
      <c r="G2560"/>
      <c r="P2560"/>
    </row>
    <row r="2561" spans="6:16" x14ac:dyDescent="0.25">
      <c r="F2561"/>
      <c r="G2561"/>
      <c r="P2561"/>
    </row>
    <row r="2562" spans="6:16" x14ac:dyDescent="0.25">
      <c r="F2562"/>
      <c r="G2562"/>
      <c r="P2562"/>
    </row>
    <row r="2563" spans="6:16" x14ac:dyDescent="0.25">
      <c r="F2563"/>
      <c r="G2563"/>
      <c r="P2563"/>
    </row>
    <row r="2564" spans="6:16" x14ac:dyDescent="0.25">
      <c r="F2564"/>
      <c r="G2564"/>
      <c r="P2564"/>
    </row>
    <row r="2565" spans="6:16" x14ac:dyDescent="0.25">
      <c r="F2565"/>
      <c r="G2565"/>
      <c r="P2565"/>
    </row>
    <row r="2566" spans="6:16" x14ac:dyDescent="0.25">
      <c r="F2566"/>
      <c r="G2566"/>
      <c r="P2566"/>
    </row>
    <row r="2567" spans="6:16" x14ac:dyDescent="0.25">
      <c r="F2567"/>
      <c r="G2567"/>
      <c r="P2567"/>
    </row>
    <row r="2568" spans="6:16" x14ac:dyDescent="0.25">
      <c r="F2568"/>
      <c r="G2568"/>
      <c r="P2568"/>
    </row>
    <row r="2569" spans="6:16" x14ac:dyDescent="0.25">
      <c r="F2569"/>
      <c r="G2569"/>
      <c r="P2569"/>
    </row>
    <row r="2570" spans="6:16" x14ac:dyDescent="0.25">
      <c r="F2570"/>
      <c r="G2570"/>
      <c r="P2570"/>
    </row>
    <row r="2571" spans="6:16" x14ac:dyDescent="0.25">
      <c r="F2571"/>
      <c r="G2571"/>
      <c r="P2571"/>
    </row>
    <row r="2572" spans="6:16" x14ac:dyDescent="0.25">
      <c r="F2572"/>
      <c r="G2572"/>
      <c r="P2572"/>
    </row>
    <row r="2573" spans="6:16" x14ac:dyDescent="0.25">
      <c r="F2573"/>
      <c r="G2573"/>
      <c r="P2573"/>
    </row>
    <row r="2574" spans="6:16" x14ac:dyDescent="0.25">
      <c r="F2574"/>
      <c r="G2574"/>
      <c r="P2574"/>
    </row>
    <row r="2575" spans="6:16" x14ac:dyDescent="0.25">
      <c r="F2575"/>
      <c r="G2575"/>
      <c r="P2575"/>
    </row>
    <row r="2576" spans="6:16" x14ac:dyDescent="0.25">
      <c r="F2576"/>
      <c r="G2576"/>
      <c r="P2576"/>
    </row>
    <row r="2577" spans="6:16" x14ac:dyDescent="0.25">
      <c r="F2577"/>
      <c r="G2577"/>
      <c r="P2577"/>
    </row>
    <row r="2578" spans="6:16" x14ac:dyDescent="0.25">
      <c r="F2578"/>
      <c r="G2578"/>
      <c r="P2578"/>
    </row>
    <row r="2579" spans="6:16" x14ac:dyDescent="0.25">
      <c r="F2579"/>
      <c r="G2579"/>
      <c r="P2579"/>
    </row>
    <row r="2580" spans="6:16" x14ac:dyDescent="0.25">
      <c r="F2580"/>
      <c r="G2580"/>
      <c r="P2580"/>
    </row>
    <row r="2581" spans="6:16" x14ac:dyDescent="0.25">
      <c r="F2581"/>
      <c r="G2581"/>
      <c r="P2581"/>
    </row>
    <row r="2582" spans="6:16" x14ac:dyDescent="0.25">
      <c r="F2582"/>
      <c r="G2582"/>
      <c r="P2582"/>
    </row>
    <row r="2583" spans="6:16" x14ac:dyDescent="0.25">
      <c r="F2583"/>
      <c r="G2583"/>
      <c r="P2583"/>
    </row>
    <row r="2584" spans="6:16" x14ac:dyDescent="0.25">
      <c r="F2584"/>
      <c r="G2584"/>
      <c r="P2584"/>
    </row>
    <row r="2585" spans="6:16" x14ac:dyDescent="0.25">
      <c r="F2585"/>
      <c r="G2585"/>
      <c r="P2585"/>
    </row>
    <row r="2586" spans="6:16" x14ac:dyDescent="0.25">
      <c r="F2586"/>
      <c r="G2586"/>
      <c r="P2586"/>
    </row>
    <row r="2587" spans="6:16" x14ac:dyDescent="0.25">
      <c r="F2587"/>
      <c r="G2587"/>
      <c r="P2587"/>
    </row>
    <row r="2588" spans="6:16" x14ac:dyDescent="0.25">
      <c r="F2588"/>
      <c r="G2588"/>
      <c r="P2588"/>
    </row>
    <row r="2589" spans="6:16" x14ac:dyDescent="0.25">
      <c r="F2589"/>
      <c r="G2589"/>
      <c r="P2589"/>
    </row>
    <row r="2590" spans="6:16" x14ac:dyDescent="0.25">
      <c r="F2590"/>
      <c r="G2590"/>
      <c r="P2590"/>
    </row>
    <row r="2591" spans="6:16" x14ac:dyDescent="0.25">
      <c r="F2591"/>
      <c r="G2591"/>
      <c r="P2591"/>
    </row>
    <row r="2592" spans="6:16" x14ac:dyDescent="0.25">
      <c r="F2592"/>
      <c r="G2592"/>
      <c r="P2592"/>
    </row>
    <row r="2593" spans="6:16" x14ac:dyDescent="0.25">
      <c r="F2593"/>
      <c r="G2593"/>
      <c r="P2593"/>
    </row>
    <row r="2594" spans="6:16" x14ac:dyDescent="0.25">
      <c r="F2594"/>
      <c r="G2594"/>
      <c r="P2594"/>
    </row>
    <row r="2595" spans="6:16" x14ac:dyDescent="0.25">
      <c r="F2595"/>
      <c r="G2595"/>
      <c r="P2595"/>
    </row>
    <row r="2596" spans="6:16" x14ac:dyDescent="0.25">
      <c r="F2596"/>
      <c r="G2596"/>
      <c r="P2596"/>
    </row>
    <row r="2597" spans="6:16" x14ac:dyDescent="0.25">
      <c r="F2597"/>
      <c r="G2597"/>
      <c r="P2597"/>
    </row>
    <row r="2598" spans="6:16" x14ac:dyDescent="0.25">
      <c r="F2598"/>
      <c r="G2598"/>
      <c r="P2598"/>
    </row>
    <row r="2599" spans="6:16" x14ac:dyDescent="0.25">
      <c r="F2599"/>
      <c r="G2599"/>
      <c r="P2599"/>
    </row>
    <row r="2600" spans="6:16" x14ac:dyDescent="0.25">
      <c r="F2600"/>
      <c r="G2600"/>
      <c r="P2600"/>
    </row>
    <row r="2601" spans="6:16" x14ac:dyDescent="0.25">
      <c r="F2601"/>
      <c r="G2601"/>
      <c r="P2601"/>
    </row>
    <row r="2602" spans="6:16" x14ac:dyDescent="0.25">
      <c r="F2602"/>
      <c r="G2602"/>
      <c r="P2602"/>
    </row>
    <row r="2603" spans="6:16" x14ac:dyDescent="0.25">
      <c r="F2603"/>
      <c r="G2603"/>
      <c r="P2603"/>
    </row>
    <row r="2604" spans="6:16" x14ac:dyDescent="0.25">
      <c r="F2604"/>
      <c r="G2604"/>
      <c r="P2604"/>
    </row>
    <row r="2605" spans="6:16" x14ac:dyDescent="0.25">
      <c r="F2605"/>
      <c r="G2605"/>
      <c r="P2605"/>
    </row>
    <row r="2606" spans="6:16" x14ac:dyDescent="0.25">
      <c r="F2606"/>
      <c r="G2606"/>
      <c r="P2606"/>
    </row>
    <row r="2607" spans="6:16" x14ac:dyDescent="0.25">
      <c r="F2607"/>
      <c r="G2607"/>
      <c r="P2607"/>
    </row>
    <row r="2608" spans="6:16" x14ac:dyDescent="0.25">
      <c r="F2608"/>
      <c r="G2608"/>
      <c r="P2608"/>
    </row>
    <row r="2609" spans="6:16" x14ac:dyDescent="0.25">
      <c r="F2609"/>
      <c r="G2609"/>
      <c r="P2609"/>
    </row>
    <row r="2610" spans="6:16" x14ac:dyDescent="0.25">
      <c r="F2610"/>
      <c r="G2610"/>
      <c r="P2610"/>
    </row>
    <row r="2611" spans="6:16" x14ac:dyDescent="0.25">
      <c r="F2611"/>
      <c r="G2611"/>
      <c r="P2611"/>
    </row>
    <row r="2612" spans="6:16" x14ac:dyDescent="0.25">
      <c r="F2612"/>
      <c r="G2612"/>
      <c r="P2612"/>
    </row>
    <row r="2613" spans="6:16" x14ac:dyDescent="0.25">
      <c r="F2613"/>
      <c r="G2613"/>
      <c r="P2613"/>
    </row>
    <row r="2614" spans="6:16" x14ac:dyDescent="0.25">
      <c r="F2614"/>
      <c r="G2614"/>
      <c r="P2614"/>
    </row>
    <row r="2615" spans="6:16" x14ac:dyDescent="0.25">
      <c r="F2615"/>
      <c r="G2615"/>
      <c r="P2615"/>
    </row>
    <row r="2616" spans="6:16" x14ac:dyDescent="0.25">
      <c r="F2616"/>
      <c r="G2616"/>
      <c r="P2616"/>
    </row>
    <row r="2617" spans="6:16" x14ac:dyDescent="0.25">
      <c r="F2617"/>
      <c r="G2617"/>
      <c r="P2617"/>
    </row>
    <row r="2618" spans="6:16" x14ac:dyDescent="0.25">
      <c r="F2618"/>
      <c r="G2618"/>
      <c r="P2618"/>
    </row>
    <row r="2619" spans="6:16" x14ac:dyDescent="0.25">
      <c r="F2619"/>
      <c r="G2619"/>
      <c r="P2619"/>
    </row>
    <row r="2620" spans="6:16" x14ac:dyDescent="0.25">
      <c r="F2620"/>
      <c r="G2620"/>
      <c r="P2620"/>
    </row>
    <row r="2621" spans="6:16" x14ac:dyDescent="0.25">
      <c r="F2621"/>
      <c r="G2621"/>
      <c r="P2621"/>
    </row>
    <row r="2622" spans="6:16" x14ac:dyDescent="0.25">
      <c r="F2622"/>
      <c r="G2622"/>
      <c r="P2622"/>
    </row>
    <row r="2623" spans="6:16" x14ac:dyDescent="0.25">
      <c r="F2623"/>
      <c r="G2623"/>
      <c r="P2623"/>
    </row>
    <row r="2624" spans="6:16" x14ac:dyDescent="0.25">
      <c r="F2624"/>
      <c r="G2624"/>
      <c r="P2624"/>
    </row>
    <row r="2625" spans="6:16" x14ac:dyDescent="0.25">
      <c r="F2625"/>
      <c r="G2625"/>
      <c r="P2625"/>
    </row>
    <row r="2626" spans="6:16" x14ac:dyDescent="0.25">
      <c r="F2626"/>
      <c r="G2626"/>
      <c r="P2626"/>
    </row>
    <row r="2627" spans="6:16" x14ac:dyDescent="0.25">
      <c r="F2627"/>
      <c r="G2627"/>
      <c r="P2627"/>
    </row>
    <row r="2628" spans="6:16" x14ac:dyDescent="0.25">
      <c r="F2628"/>
      <c r="G2628"/>
      <c r="P2628"/>
    </row>
    <row r="2629" spans="6:16" x14ac:dyDescent="0.25">
      <c r="F2629"/>
      <c r="G2629"/>
      <c r="P2629"/>
    </row>
    <row r="2630" spans="6:16" x14ac:dyDescent="0.25">
      <c r="F2630"/>
      <c r="G2630"/>
      <c r="P2630"/>
    </row>
    <row r="2631" spans="6:16" x14ac:dyDescent="0.25">
      <c r="F2631"/>
      <c r="G2631"/>
      <c r="P2631"/>
    </row>
    <row r="2632" spans="6:16" x14ac:dyDescent="0.25">
      <c r="F2632"/>
      <c r="G2632"/>
      <c r="P2632"/>
    </row>
    <row r="2633" spans="6:16" x14ac:dyDescent="0.25">
      <c r="F2633"/>
      <c r="G2633"/>
      <c r="P2633"/>
    </row>
    <row r="2634" spans="6:16" x14ac:dyDescent="0.25">
      <c r="F2634"/>
      <c r="G2634"/>
      <c r="P2634"/>
    </row>
    <row r="2635" spans="6:16" x14ac:dyDescent="0.25">
      <c r="F2635"/>
      <c r="G2635"/>
      <c r="P2635"/>
    </row>
    <row r="2636" spans="6:16" x14ac:dyDescent="0.25">
      <c r="F2636"/>
      <c r="G2636"/>
      <c r="P2636"/>
    </row>
    <row r="2637" spans="6:16" x14ac:dyDescent="0.25">
      <c r="F2637"/>
      <c r="G2637"/>
      <c r="P2637"/>
    </row>
    <row r="2638" spans="6:16" x14ac:dyDescent="0.25">
      <c r="F2638"/>
      <c r="G2638"/>
      <c r="P2638"/>
    </row>
    <row r="2639" spans="6:16" x14ac:dyDescent="0.25">
      <c r="F2639"/>
      <c r="G2639"/>
      <c r="P2639"/>
    </row>
    <row r="2640" spans="6:16" x14ac:dyDescent="0.25">
      <c r="F2640"/>
      <c r="G2640"/>
      <c r="P2640"/>
    </row>
    <row r="2641" spans="6:16" x14ac:dyDescent="0.25">
      <c r="F2641"/>
      <c r="G2641"/>
      <c r="P2641"/>
    </row>
    <row r="2642" spans="6:16" x14ac:dyDescent="0.25">
      <c r="F2642"/>
      <c r="G2642"/>
      <c r="P2642"/>
    </row>
    <row r="2643" spans="6:16" x14ac:dyDescent="0.25">
      <c r="F2643"/>
      <c r="G2643"/>
      <c r="P2643"/>
    </row>
    <row r="2644" spans="6:16" x14ac:dyDescent="0.25">
      <c r="F2644"/>
      <c r="G2644"/>
      <c r="P2644"/>
    </row>
    <row r="2645" spans="6:16" x14ac:dyDescent="0.25">
      <c r="F2645"/>
      <c r="G2645"/>
      <c r="P2645"/>
    </row>
    <row r="2646" spans="6:16" x14ac:dyDescent="0.25">
      <c r="F2646"/>
      <c r="G2646"/>
      <c r="P2646"/>
    </row>
    <row r="2647" spans="6:16" x14ac:dyDescent="0.25">
      <c r="F2647"/>
      <c r="G2647"/>
      <c r="P2647"/>
    </row>
    <row r="2648" spans="6:16" x14ac:dyDescent="0.25">
      <c r="F2648"/>
      <c r="G2648"/>
      <c r="P2648"/>
    </row>
    <row r="2649" spans="6:16" x14ac:dyDescent="0.25">
      <c r="F2649"/>
      <c r="G2649"/>
      <c r="P2649"/>
    </row>
    <row r="2650" spans="6:16" x14ac:dyDescent="0.25">
      <c r="F2650"/>
      <c r="G2650"/>
      <c r="P2650"/>
    </row>
    <row r="2651" spans="6:16" x14ac:dyDescent="0.25">
      <c r="F2651"/>
      <c r="G2651"/>
      <c r="P2651"/>
    </row>
    <row r="2652" spans="6:16" x14ac:dyDescent="0.25">
      <c r="F2652"/>
      <c r="G2652"/>
      <c r="P2652"/>
    </row>
    <row r="2653" spans="6:16" x14ac:dyDescent="0.25">
      <c r="F2653"/>
      <c r="G2653"/>
      <c r="P2653"/>
    </row>
    <row r="2654" spans="6:16" x14ac:dyDescent="0.25">
      <c r="F2654"/>
      <c r="G2654"/>
      <c r="P2654"/>
    </row>
    <row r="2655" spans="6:16" x14ac:dyDescent="0.25">
      <c r="F2655"/>
      <c r="G2655"/>
      <c r="P2655"/>
    </row>
    <row r="2656" spans="6:16" x14ac:dyDescent="0.25">
      <c r="F2656"/>
      <c r="G2656"/>
      <c r="P2656"/>
    </row>
    <row r="2657" spans="6:16" x14ac:dyDescent="0.25">
      <c r="F2657"/>
      <c r="G2657"/>
      <c r="P2657"/>
    </row>
    <row r="2658" spans="6:16" x14ac:dyDescent="0.25">
      <c r="F2658"/>
      <c r="G2658"/>
      <c r="P2658"/>
    </row>
    <row r="2659" spans="6:16" x14ac:dyDescent="0.25">
      <c r="F2659"/>
      <c r="G2659"/>
      <c r="P2659"/>
    </row>
    <row r="2660" spans="6:16" x14ac:dyDescent="0.25">
      <c r="F2660"/>
      <c r="G2660"/>
      <c r="P2660"/>
    </row>
    <row r="2661" spans="6:16" x14ac:dyDescent="0.25">
      <c r="F2661"/>
      <c r="G2661"/>
      <c r="P2661"/>
    </row>
    <row r="2662" spans="6:16" x14ac:dyDescent="0.25">
      <c r="F2662"/>
      <c r="G2662"/>
      <c r="P2662"/>
    </row>
    <row r="2663" spans="6:16" x14ac:dyDescent="0.25">
      <c r="F2663"/>
      <c r="G2663"/>
      <c r="P2663"/>
    </row>
    <row r="2664" spans="6:16" x14ac:dyDescent="0.25">
      <c r="F2664"/>
      <c r="G2664"/>
      <c r="P2664"/>
    </row>
    <row r="2665" spans="6:16" x14ac:dyDescent="0.25">
      <c r="F2665"/>
      <c r="G2665"/>
      <c r="P2665"/>
    </row>
    <row r="2666" spans="6:16" x14ac:dyDescent="0.25">
      <c r="F2666"/>
      <c r="G2666"/>
      <c r="P2666"/>
    </row>
    <row r="2667" spans="6:16" x14ac:dyDescent="0.25">
      <c r="F2667"/>
      <c r="G2667"/>
      <c r="P2667"/>
    </row>
    <row r="2668" spans="6:16" x14ac:dyDescent="0.25">
      <c r="F2668"/>
      <c r="G2668"/>
      <c r="P2668"/>
    </row>
    <row r="2669" spans="6:16" x14ac:dyDescent="0.25">
      <c r="F2669"/>
      <c r="G2669"/>
      <c r="P2669"/>
    </row>
    <row r="2670" spans="6:16" x14ac:dyDescent="0.25">
      <c r="F2670"/>
      <c r="G2670"/>
      <c r="P2670"/>
    </row>
    <row r="2671" spans="6:16" x14ac:dyDescent="0.25">
      <c r="F2671"/>
      <c r="G2671"/>
      <c r="P2671"/>
    </row>
    <row r="2672" spans="6:16" x14ac:dyDescent="0.25">
      <c r="F2672"/>
      <c r="G2672"/>
      <c r="P2672"/>
    </row>
    <row r="2673" spans="6:16" x14ac:dyDescent="0.25">
      <c r="F2673"/>
      <c r="G2673"/>
      <c r="P2673"/>
    </row>
    <row r="2674" spans="6:16" x14ac:dyDescent="0.25">
      <c r="F2674"/>
      <c r="G2674"/>
      <c r="P2674"/>
    </row>
    <row r="2675" spans="6:16" x14ac:dyDescent="0.25">
      <c r="F2675"/>
      <c r="G2675"/>
      <c r="P2675"/>
    </row>
    <row r="2676" spans="6:16" x14ac:dyDescent="0.25">
      <c r="F2676"/>
      <c r="G2676"/>
      <c r="P2676"/>
    </row>
    <row r="2677" spans="6:16" x14ac:dyDescent="0.25">
      <c r="F2677"/>
      <c r="G2677"/>
      <c r="P2677"/>
    </row>
    <row r="2678" spans="6:16" x14ac:dyDescent="0.25">
      <c r="F2678"/>
      <c r="G2678"/>
      <c r="P2678"/>
    </row>
    <row r="2679" spans="6:16" x14ac:dyDescent="0.25">
      <c r="F2679"/>
      <c r="G2679"/>
      <c r="P2679"/>
    </row>
    <row r="2680" spans="6:16" x14ac:dyDescent="0.25">
      <c r="F2680"/>
      <c r="G2680"/>
      <c r="P2680"/>
    </row>
    <row r="2681" spans="6:16" x14ac:dyDescent="0.25">
      <c r="F2681"/>
      <c r="G2681"/>
      <c r="P2681"/>
    </row>
    <row r="2682" spans="6:16" x14ac:dyDescent="0.25">
      <c r="F2682"/>
      <c r="G2682"/>
      <c r="P2682"/>
    </row>
    <row r="2683" spans="6:16" x14ac:dyDescent="0.25">
      <c r="F2683"/>
      <c r="G2683"/>
      <c r="P2683"/>
    </row>
    <row r="2684" spans="6:16" x14ac:dyDescent="0.25">
      <c r="F2684"/>
      <c r="G2684"/>
      <c r="P2684"/>
    </row>
    <row r="2685" spans="6:16" x14ac:dyDescent="0.25">
      <c r="F2685"/>
      <c r="G2685"/>
      <c r="P2685"/>
    </row>
    <row r="2686" spans="6:16" x14ac:dyDescent="0.25">
      <c r="F2686"/>
      <c r="G2686"/>
      <c r="P2686"/>
    </row>
    <row r="2687" spans="6:16" x14ac:dyDescent="0.25">
      <c r="F2687"/>
      <c r="G2687"/>
      <c r="P2687"/>
    </row>
    <row r="2688" spans="6:16" x14ac:dyDescent="0.25">
      <c r="F2688"/>
      <c r="G2688"/>
      <c r="P2688"/>
    </row>
    <row r="2689" spans="6:16" x14ac:dyDescent="0.25">
      <c r="F2689"/>
      <c r="G2689"/>
      <c r="P2689"/>
    </row>
    <row r="2690" spans="6:16" x14ac:dyDescent="0.25">
      <c r="F2690"/>
      <c r="G2690"/>
      <c r="P2690"/>
    </row>
    <row r="2691" spans="6:16" x14ac:dyDescent="0.25">
      <c r="F2691"/>
      <c r="G2691"/>
      <c r="P2691"/>
    </row>
    <row r="2692" spans="6:16" x14ac:dyDescent="0.25">
      <c r="F2692"/>
      <c r="G2692"/>
      <c r="P2692"/>
    </row>
    <row r="2693" spans="6:16" x14ac:dyDescent="0.25">
      <c r="F2693"/>
      <c r="G2693"/>
      <c r="P2693"/>
    </row>
    <row r="2694" spans="6:16" x14ac:dyDescent="0.25">
      <c r="F2694"/>
      <c r="G2694"/>
      <c r="P2694"/>
    </row>
    <row r="2695" spans="6:16" x14ac:dyDescent="0.25">
      <c r="F2695"/>
      <c r="G2695"/>
      <c r="P2695"/>
    </row>
    <row r="2696" spans="6:16" x14ac:dyDescent="0.25">
      <c r="F2696"/>
      <c r="G2696"/>
      <c r="P2696"/>
    </row>
    <row r="2697" spans="6:16" x14ac:dyDescent="0.25">
      <c r="F2697"/>
      <c r="G2697"/>
      <c r="P2697"/>
    </row>
    <row r="2698" spans="6:16" x14ac:dyDescent="0.25">
      <c r="F2698"/>
      <c r="G2698"/>
      <c r="P2698"/>
    </row>
    <row r="2699" spans="6:16" x14ac:dyDescent="0.25">
      <c r="F2699"/>
      <c r="G2699"/>
      <c r="P2699"/>
    </row>
    <row r="2700" spans="6:16" x14ac:dyDescent="0.25">
      <c r="F2700"/>
      <c r="G2700"/>
      <c r="P2700"/>
    </row>
    <row r="2701" spans="6:16" x14ac:dyDescent="0.25">
      <c r="F2701"/>
      <c r="G2701"/>
      <c r="P2701"/>
    </row>
    <row r="2702" spans="6:16" x14ac:dyDescent="0.25">
      <c r="F2702"/>
      <c r="G2702"/>
      <c r="P2702"/>
    </row>
    <row r="2703" spans="6:16" x14ac:dyDescent="0.25">
      <c r="F2703"/>
      <c r="G2703"/>
      <c r="P2703"/>
    </row>
    <row r="2704" spans="6:16" x14ac:dyDescent="0.25">
      <c r="F2704"/>
      <c r="G2704"/>
      <c r="P2704"/>
    </row>
    <row r="2705" spans="6:16" x14ac:dyDescent="0.25">
      <c r="F2705"/>
      <c r="G2705"/>
      <c r="P2705"/>
    </row>
    <row r="2706" spans="6:16" x14ac:dyDescent="0.25">
      <c r="F2706"/>
      <c r="G2706"/>
      <c r="P2706"/>
    </row>
    <row r="2707" spans="6:16" x14ac:dyDescent="0.25">
      <c r="F2707"/>
      <c r="G2707"/>
      <c r="P2707"/>
    </row>
    <row r="2708" spans="6:16" x14ac:dyDescent="0.25">
      <c r="F2708"/>
      <c r="G2708"/>
      <c r="P2708"/>
    </row>
    <row r="2709" spans="6:16" x14ac:dyDescent="0.25">
      <c r="F2709"/>
      <c r="G2709"/>
      <c r="P2709"/>
    </row>
    <row r="2710" spans="6:16" x14ac:dyDescent="0.25">
      <c r="F2710"/>
      <c r="G2710"/>
      <c r="P2710"/>
    </row>
    <row r="2711" spans="6:16" x14ac:dyDescent="0.25">
      <c r="F2711"/>
      <c r="G2711"/>
      <c r="P2711"/>
    </row>
    <row r="2712" spans="6:16" x14ac:dyDescent="0.25">
      <c r="F2712"/>
      <c r="G2712"/>
      <c r="P2712"/>
    </row>
    <row r="2713" spans="6:16" x14ac:dyDescent="0.25">
      <c r="F2713"/>
      <c r="G2713"/>
      <c r="P2713"/>
    </row>
    <row r="2714" spans="6:16" x14ac:dyDescent="0.25">
      <c r="F2714"/>
      <c r="G2714"/>
      <c r="P2714"/>
    </row>
    <row r="2715" spans="6:16" x14ac:dyDescent="0.25">
      <c r="F2715"/>
      <c r="G2715"/>
      <c r="P2715"/>
    </row>
    <row r="2716" spans="6:16" x14ac:dyDescent="0.25">
      <c r="F2716"/>
      <c r="G2716"/>
      <c r="P2716"/>
    </row>
    <row r="2717" spans="6:16" x14ac:dyDescent="0.25">
      <c r="F2717"/>
      <c r="G2717"/>
      <c r="P2717"/>
    </row>
    <row r="2718" spans="6:16" x14ac:dyDescent="0.25">
      <c r="F2718"/>
      <c r="G2718"/>
      <c r="P2718"/>
    </row>
    <row r="2719" spans="6:16" x14ac:dyDescent="0.25">
      <c r="F2719"/>
      <c r="G2719"/>
      <c r="P2719"/>
    </row>
    <row r="2720" spans="6:16" x14ac:dyDescent="0.25">
      <c r="F2720"/>
      <c r="G2720"/>
      <c r="P2720"/>
    </row>
    <row r="2721" spans="6:16" x14ac:dyDescent="0.25">
      <c r="F2721"/>
      <c r="G2721"/>
      <c r="P2721"/>
    </row>
  </sheetData>
  <autoFilter ref="B7:P135" xr:uid="{00000000-0009-0000-0000-000003000000}">
    <sortState xmlns:xlrd2="http://schemas.microsoft.com/office/spreadsheetml/2017/richdata2" ref="B8:P135">
      <sortCondition descending="1" ref="P7:P135"/>
    </sortState>
  </autoFilter>
  <sortState xmlns:xlrd2="http://schemas.microsoft.com/office/spreadsheetml/2017/richdata2" ref="A8:P124">
    <sortCondition ref="B8:B124"/>
    <sortCondition descending="1" ref="C8:C124"/>
  </sortState>
  <mergeCells count="9">
    <mergeCell ref="B3:E3"/>
    <mergeCell ref="H5:I5"/>
    <mergeCell ref="J5:K5"/>
    <mergeCell ref="L5:M5"/>
    <mergeCell ref="N5:O5"/>
    <mergeCell ref="H4:I4"/>
    <mergeCell ref="J4:K4"/>
    <mergeCell ref="L4:M4"/>
    <mergeCell ref="N4:O4"/>
  </mergeCells>
  <phoneticPr fontId="0" type="noConversion"/>
  <conditionalFormatting sqref="A8:A111 A113:A124">
    <cfRule type="duplicateValues" dxfId="205" priority="12"/>
  </conditionalFormatting>
  <conditionalFormatting sqref="A73:A85">
    <cfRule type="duplicateValues" dxfId="204" priority="39"/>
  </conditionalFormatting>
  <conditionalFormatting sqref="A86:A104">
    <cfRule type="duplicateValues" dxfId="203" priority="33"/>
  </conditionalFormatting>
  <conditionalFormatting sqref="A105:A111 A125:A129">
    <cfRule type="duplicateValues" dxfId="202" priority="32"/>
  </conditionalFormatting>
  <conditionalFormatting sqref="A112">
    <cfRule type="duplicateValues" dxfId="201" priority="5"/>
    <cfRule type="duplicateValues" dxfId="200" priority="6"/>
  </conditionalFormatting>
  <conditionalFormatting sqref="A114:A124">
    <cfRule type="duplicateValues" dxfId="199" priority="1643"/>
  </conditionalFormatting>
  <conditionalFormatting sqref="A122:A124">
    <cfRule type="duplicateValues" dxfId="198" priority="1644"/>
  </conditionalFormatting>
  <conditionalFormatting sqref="A130:A133">
    <cfRule type="duplicateValues" dxfId="197" priority="27"/>
  </conditionalFormatting>
  <conditionalFormatting sqref="A134:A135">
    <cfRule type="duplicateValues" dxfId="196" priority="26"/>
  </conditionalFormatting>
  <conditionalFormatting sqref="B7:B111 B113:B122">
    <cfRule type="duplicateValues" dxfId="195" priority="13"/>
  </conditionalFormatting>
  <conditionalFormatting sqref="B73:B80 B82:B85">
    <cfRule type="duplicateValues" dxfId="194" priority="44"/>
  </conditionalFormatting>
  <conditionalFormatting sqref="B73:B85">
    <cfRule type="duplicateValues" dxfId="193" priority="40"/>
    <cfRule type="duplicateValues" dxfId="192" priority="49"/>
  </conditionalFormatting>
  <conditionalFormatting sqref="B112">
    <cfRule type="duplicateValues" dxfId="191" priority="4"/>
  </conditionalFormatting>
  <conditionalFormatting sqref="B114:B121">
    <cfRule type="duplicateValues" dxfId="190" priority="1640"/>
  </conditionalFormatting>
  <conditionalFormatting sqref="B122:B124">
    <cfRule type="duplicateValues" dxfId="189" priority="1646"/>
    <cfRule type="duplicateValues" dxfId="188" priority="1645"/>
  </conditionalFormatting>
  <conditionalFormatting sqref="B135">
    <cfRule type="duplicateValues" dxfId="187" priority="20"/>
    <cfRule type="duplicateValues" dxfId="186" priority="18"/>
    <cfRule type="duplicateValues" dxfId="185" priority="19"/>
  </conditionalFormatting>
  <conditionalFormatting sqref="B8:E18 G8:P18">
    <cfRule type="expression" dxfId="184" priority="97">
      <formula>$F8=$E$5</formula>
    </cfRule>
  </conditionalFormatting>
  <conditionalFormatting sqref="D19:D44">
    <cfRule type="expression" dxfId="183" priority="34">
      <formula>#REF!=$E$5</formula>
    </cfRule>
  </conditionalFormatting>
  <conditionalFormatting sqref="D19:D55">
    <cfRule type="cellIs" dxfId="182" priority="15" operator="equal">
      <formula>"F"</formula>
    </cfRule>
  </conditionalFormatting>
  <conditionalFormatting sqref="D45">
    <cfRule type="expression" dxfId="181" priority="17">
      <formula>$F45=$E$5</formula>
    </cfRule>
    <cfRule type="expression" dxfId="180" priority="16">
      <formula>#REF!=$E$5</formula>
    </cfRule>
  </conditionalFormatting>
  <conditionalFormatting sqref="D46:D55">
    <cfRule type="expression" dxfId="179" priority="37">
      <formula>#REF!=$E$5</formula>
    </cfRule>
  </conditionalFormatting>
  <conditionalFormatting sqref="D57:D72 D19:D44 D46:D55">
    <cfRule type="expression" dxfId="178" priority="38">
      <formula>$F19=$E$5</formula>
    </cfRule>
  </conditionalFormatting>
  <conditionalFormatting sqref="D57:D72">
    <cfRule type="cellIs" dxfId="177" priority="35" operator="equal">
      <formula>"F"</formula>
    </cfRule>
    <cfRule type="expression" dxfId="176" priority="36">
      <formula>#REF!=$E$5</formula>
    </cfRule>
  </conditionalFormatting>
  <conditionalFormatting sqref="D73:D111">
    <cfRule type="expression" dxfId="175" priority="47">
      <formula>$F73=$E$5</formula>
    </cfRule>
  </conditionalFormatting>
  <conditionalFormatting sqref="D75:D76">
    <cfRule type="expression" dxfId="174" priority="46">
      <formula>#REF!=$E$5</formula>
    </cfRule>
    <cfRule type="cellIs" dxfId="173" priority="45" operator="equal">
      <formula>"F"</formula>
    </cfRule>
  </conditionalFormatting>
  <conditionalFormatting sqref="D84:D112 D114:D129">
    <cfRule type="expression" dxfId="172" priority="8">
      <formula>#REF!=$E$5</formula>
    </cfRule>
    <cfRule type="cellIs" dxfId="171" priority="7" operator="equal">
      <formula>"F"</formula>
    </cfRule>
  </conditionalFormatting>
  <conditionalFormatting sqref="D112">
    <cfRule type="expression" dxfId="170" priority="9">
      <formula>$F112=$E$5</formula>
    </cfRule>
  </conditionalFormatting>
  <conditionalFormatting sqref="D114:D121 D125:D129 F19:F111 H122:I122 F125:F129 H125:K135">
    <cfRule type="expression" dxfId="169" priority="74">
      <formula>$F19=$E$5</formula>
    </cfRule>
  </conditionalFormatting>
  <conditionalFormatting sqref="D114:D124">
    <cfRule type="cellIs" dxfId="168" priority="71" operator="equal">
      <formula>"F"</formula>
    </cfRule>
  </conditionalFormatting>
  <conditionalFormatting sqref="D122:D124">
    <cfRule type="expression" dxfId="167" priority="73">
      <formula>#REF!=$E$5</formula>
    </cfRule>
    <cfRule type="expression" dxfId="166" priority="1680">
      <formula>$F200=$E$5</formula>
    </cfRule>
  </conditionalFormatting>
  <conditionalFormatting sqref="D134">
    <cfRule type="expression" dxfId="165" priority="25">
      <formula>$F134=#REF!</formula>
    </cfRule>
    <cfRule type="expression" dxfId="164" priority="24">
      <formula>#REF!=#REF!</formula>
    </cfRule>
  </conditionalFormatting>
  <conditionalFormatting sqref="D134:D135">
    <cfRule type="cellIs" dxfId="163" priority="23" operator="equal">
      <formula>"F"</formula>
    </cfRule>
  </conditionalFormatting>
  <conditionalFormatting sqref="D135 F135">
    <cfRule type="expression" dxfId="162" priority="22">
      <formula>$F135=#REF!</formula>
    </cfRule>
  </conditionalFormatting>
  <conditionalFormatting sqref="D135">
    <cfRule type="expression" dxfId="161" priority="21">
      <formula>#REF!=#REF!</formula>
    </cfRule>
  </conditionalFormatting>
  <conditionalFormatting sqref="F8:F18">
    <cfRule type="expression" dxfId="160" priority="96" stopIfTrue="1">
      <formula>$F8=$E$5</formula>
    </cfRule>
  </conditionalFormatting>
  <conditionalFormatting sqref="F112">
    <cfRule type="expression" dxfId="159" priority="3" stopIfTrue="1">
      <formula>$F112=$E$5</formula>
    </cfRule>
  </conditionalFormatting>
  <conditionalFormatting sqref="H108:I108">
    <cfRule type="expression" dxfId="158" priority="48">
      <formula>$F108=$E$5</formula>
    </cfRule>
  </conditionalFormatting>
  <conditionalFormatting sqref="H19:K107">
    <cfRule type="expression" dxfId="157" priority="41">
      <formula>$F19=$E$5</formula>
    </cfRule>
  </conditionalFormatting>
  <conditionalFormatting sqref="H109:K112 H114:K121">
    <cfRule type="expression" dxfId="156" priority="10">
      <formula>$F109=$E$5</formula>
    </cfRule>
  </conditionalFormatting>
  <conditionalFormatting sqref="J108:K108">
    <cfRule type="expression" dxfId="155" priority="42">
      <formula>$F109=$E$5</formula>
    </cfRule>
  </conditionalFormatting>
  <conditionalFormatting sqref="J122:P122 G123:P124 L125:P135">
    <cfRule type="expression" dxfId="154" priority="556">
      <formula>$F122=$E$5</formula>
    </cfRule>
  </conditionalFormatting>
  <conditionalFormatting sqref="L19:P112 L114:P121">
    <cfRule type="expression" dxfId="153" priority="11">
      <formula>$F19=$E$5</formula>
    </cfRule>
  </conditionalFormatting>
  <conditionalFormatting sqref="B113:E113 G113:P113">
    <cfRule type="expression" dxfId="1" priority="2">
      <formula>$F113=$E$5</formula>
    </cfRule>
  </conditionalFormatting>
  <conditionalFormatting sqref="F113">
    <cfRule type="expression" dxfId="0" priority="1" stopIfTrue="1">
      <formula>$F113=$E$5</formula>
    </cfRule>
  </conditionalFormatting>
  <dataValidations count="5">
    <dataValidation type="list" showInputMessage="1" showErrorMessage="1" sqref="E5" xr:uid="{00000000-0002-0000-0300-000000000000}">
      <formula1>Liste_Clubs</formula1>
    </dataValidation>
    <dataValidation type="list" allowBlank="1" showInputMessage="1" showErrorMessage="1" sqref="D8:D18 D113" xr:uid="{00000000-0002-0000-0300-000001000000}">
      <formula1>"F,M"</formula1>
    </dataValidation>
    <dataValidation type="list" allowBlank="1" showErrorMessage="1" sqref="F18 F114:F124" xr:uid="{CF4E2EDF-BD03-4F82-AD9E-401EB1FA0DCE}">
      <formula1>"API,ASM,ASV,CAO,CC2,COS,COU,TTJ-BUC,USBY,USP,VAU"</formula1>
    </dataValidation>
    <dataValidation type="list" allowBlank="1" showErrorMessage="1" sqref="F8:F17 F112:F113" xr:uid="{7917ED42-0AD2-4D94-AD2F-406B1991F2B4}">
      <formula1>"API,ASM,ASV,CAO,CC2,COS,COU,JOUY,TTJ-BUC,USBY,USP,VAU"</formula1>
    </dataValidation>
    <dataValidation type="list" allowBlank="1" showInputMessage="1" showErrorMessage="1" sqref="D19:D55 D134:D135 D57:D112 D114:D129" xr:uid="{384C2B2F-925F-4E27-9471-48457C42D8B3}">
      <formula1>"F,M"</formula1>
      <formula2>0</formula2>
    </dataValidation>
  </dataValidations>
  <pageMargins left="0.72" right="0.39370078740157483" top="0.39" bottom="0.49" header="0.21" footer="0.25"/>
  <pageSetup paperSize="9" scale="64" fitToHeight="2" orientation="portrait" horizontalDpi="300" verticalDpi="300" r:id="rId1"/>
  <headerFooter alignWithMargins="0">
    <oddHeader>&amp;C&amp;"Arial,Gras italique"Page &amp;P</oddHeader>
    <oddFooter>&amp;C&amp;"Arial,Gras"le &amp;D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>
    <pageSetUpPr fitToPage="1"/>
  </sheetPr>
  <dimension ref="A1:Z320"/>
  <sheetViews>
    <sheetView topLeftCell="A3" zoomScale="80" zoomScaleNormal="80" workbookViewId="0">
      <selection activeCell="H3" sqref="H1:K1048576"/>
    </sheetView>
  </sheetViews>
  <sheetFormatPr baseColWidth="10" defaultRowHeight="12.5" x14ac:dyDescent="0.25"/>
  <cols>
    <col min="1" max="1" width="10.6328125" bestFit="1" customWidth="1"/>
    <col min="2" max="2" width="24.1796875" customWidth="1"/>
    <col min="3" max="3" width="12.453125" customWidth="1"/>
    <col min="4" max="4" width="6.453125" customWidth="1"/>
    <col min="5" max="5" width="14.81640625" bestFit="1" customWidth="1"/>
    <col min="6" max="6" width="10.453125" style="1" bestFit="1" customWidth="1"/>
    <col min="7" max="7" width="6.1796875" style="1" customWidth="1"/>
    <col min="8" max="8" width="3.453125" style="1" hidden="1" customWidth="1"/>
    <col min="9" max="9" width="6" style="1" hidden="1" customWidth="1"/>
    <col min="10" max="10" width="3.453125" style="1" hidden="1" customWidth="1"/>
    <col min="11" max="11" width="8.6328125" style="1" hidden="1" customWidth="1"/>
    <col min="12" max="12" width="3.453125" style="1" customWidth="1"/>
    <col min="13" max="13" width="7" style="1" customWidth="1"/>
    <col min="14" max="14" width="3.453125" style="1" customWidth="1"/>
    <col min="15" max="15" width="7" style="1" customWidth="1"/>
    <col min="16" max="16" width="7.81640625" style="1" customWidth="1"/>
  </cols>
  <sheetData>
    <row r="1" spans="1:24" ht="18" x14ac:dyDescent="0.4">
      <c r="B1" s="8" t="str">
        <f>Poussins!B1</f>
        <v>TOURNOI DE LA VALLEE DE CHEVREUSE 2025-2026</v>
      </c>
      <c r="C1" s="3"/>
      <c r="D1" s="3"/>
      <c r="E1" s="3"/>
      <c r="F1" s="6"/>
      <c r="G1" s="6"/>
      <c r="H1" s="105"/>
      <c r="J1" s="105"/>
      <c r="L1" s="105"/>
      <c r="N1" s="105"/>
      <c r="X1" s="72"/>
    </row>
    <row r="2" spans="1:24" ht="25.5" customHeight="1" x14ac:dyDescent="0.25">
      <c r="X2" s="72"/>
    </row>
    <row r="3" spans="1:24" ht="18.5" thickBot="1" x14ac:dyDescent="0.45">
      <c r="B3" s="636" t="s">
        <v>58</v>
      </c>
      <c r="C3" s="635"/>
      <c r="D3" s="635"/>
      <c r="E3" s="635"/>
      <c r="X3" s="72"/>
    </row>
    <row r="4" spans="1:24" ht="13.5" thickBot="1" x14ac:dyDescent="0.35">
      <c r="C4" s="1" t="s">
        <v>28</v>
      </c>
      <c r="D4" s="1"/>
      <c r="H4" s="629" t="s">
        <v>24</v>
      </c>
      <c r="I4" s="630"/>
      <c r="J4" s="629" t="s">
        <v>25</v>
      </c>
      <c r="K4" s="630"/>
      <c r="L4" s="629" t="s">
        <v>26</v>
      </c>
      <c r="M4" s="630"/>
      <c r="N4" s="629" t="s">
        <v>27</v>
      </c>
      <c r="O4" s="630"/>
      <c r="X4" s="72"/>
    </row>
    <row r="5" spans="1:24" ht="13.5" thickBot="1" x14ac:dyDescent="0.35">
      <c r="C5" s="35" t="s">
        <v>29</v>
      </c>
      <c r="D5" s="35"/>
      <c r="E5" s="36" t="s">
        <v>80</v>
      </c>
      <c r="H5" s="631">
        <f>Poussins!H5</f>
        <v>45991</v>
      </c>
      <c r="I5" s="632"/>
      <c r="J5" s="631">
        <f>Poussins!J5</f>
        <v>46040</v>
      </c>
      <c r="K5" s="632"/>
      <c r="L5" s="631">
        <f>Poussins!L5</f>
        <v>46103</v>
      </c>
      <c r="M5" s="632"/>
      <c r="N5" s="631">
        <f>Poussins!N5</f>
        <v>46180</v>
      </c>
      <c r="O5" s="632"/>
      <c r="X5" s="72"/>
    </row>
    <row r="6" spans="1:24" ht="13" thickBot="1" x14ac:dyDescent="0.3">
      <c r="H6" s="37"/>
      <c r="I6" s="17"/>
      <c r="J6" s="37"/>
      <c r="K6" s="17"/>
      <c r="L6" s="37"/>
      <c r="M6" s="17"/>
      <c r="N6" s="37"/>
      <c r="O6" s="17"/>
      <c r="X6" s="72"/>
    </row>
    <row r="7" spans="1:24" ht="15" thickBot="1" x14ac:dyDescent="0.4">
      <c r="A7" s="207" t="s">
        <v>387</v>
      </c>
      <c r="B7" s="207" t="s">
        <v>0</v>
      </c>
      <c r="C7" s="208" t="s">
        <v>1</v>
      </c>
      <c r="D7" s="208" t="s">
        <v>109</v>
      </c>
      <c r="E7" s="208" t="s">
        <v>8</v>
      </c>
      <c r="F7" s="209" t="s">
        <v>7</v>
      </c>
      <c r="G7" s="209" t="s">
        <v>41</v>
      </c>
      <c r="H7" s="210" t="s">
        <v>105</v>
      </c>
      <c r="I7" s="211" t="s">
        <v>32</v>
      </c>
      <c r="J7" s="210" t="s">
        <v>106</v>
      </c>
      <c r="K7" s="211" t="s">
        <v>33</v>
      </c>
      <c r="L7" s="212" t="s">
        <v>107</v>
      </c>
      <c r="M7" s="211" t="s">
        <v>34</v>
      </c>
      <c r="N7" s="212" t="s">
        <v>108</v>
      </c>
      <c r="O7" s="211" t="s">
        <v>35</v>
      </c>
      <c r="P7" s="213" t="s">
        <v>6</v>
      </c>
      <c r="X7" s="72"/>
    </row>
    <row r="8" spans="1:24" ht="16.25" customHeight="1" x14ac:dyDescent="0.35">
      <c r="A8" s="214">
        <v>4002</v>
      </c>
      <c r="B8" s="215" t="s">
        <v>279</v>
      </c>
      <c r="C8" s="216" t="s">
        <v>413</v>
      </c>
      <c r="D8" s="217" t="s">
        <v>110</v>
      </c>
      <c r="E8" s="218">
        <v>40917</v>
      </c>
      <c r="F8" s="180" t="s">
        <v>10</v>
      </c>
      <c r="G8" s="171">
        <v>500</v>
      </c>
      <c r="H8" s="219" t="s">
        <v>273</v>
      </c>
      <c r="I8" s="220">
        <v>9</v>
      </c>
      <c r="J8" s="221" t="s">
        <v>273</v>
      </c>
      <c r="K8" s="222">
        <v>9</v>
      </c>
      <c r="L8" s="223" t="s">
        <v>273</v>
      </c>
      <c r="M8" s="220"/>
      <c r="N8" s="224"/>
      <c r="O8" s="220"/>
      <c r="P8" s="225">
        <f t="shared" ref="P8:P39" si="0">SUM(I8:O8)</f>
        <v>18</v>
      </c>
      <c r="X8" s="72"/>
    </row>
    <row r="9" spans="1:24" ht="15" customHeight="1" x14ac:dyDescent="0.35">
      <c r="A9" s="226">
        <v>3119</v>
      </c>
      <c r="B9" s="190" t="s">
        <v>390</v>
      </c>
      <c r="C9" s="190" t="s">
        <v>414</v>
      </c>
      <c r="D9" s="169" t="s">
        <v>110</v>
      </c>
      <c r="E9" s="193">
        <v>41529</v>
      </c>
      <c r="F9" s="181" t="s">
        <v>9</v>
      </c>
      <c r="G9" s="227">
        <v>500</v>
      </c>
      <c r="H9" s="219" t="s">
        <v>273</v>
      </c>
      <c r="I9" s="183">
        <v>7</v>
      </c>
      <c r="J9" s="221" t="s">
        <v>273</v>
      </c>
      <c r="K9" s="228">
        <v>6</v>
      </c>
      <c r="L9" s="229" t="s">
        <v>273</v>
      </c>
      <c r="M9" s="183"/>
      <c r="N9" s="230"/>
      <c r="O9" s="183"/>
      <c r="P9" s="163">
        <f t="shared" si="0"/>
        <v>13</v>
      </c>
      <c r="X9" s="72"/>
    </row>
    <row r="10" spans="1:24" ht="15" customHeight="1" x14ac:dyDescent="0.35">
      <c r="A10" s="231">
        <v>4010</v>
      </c>
      <c r="B10" s="189" t="s">
        <v>846</v>
      </c>
      <c r="C10" s="189" t="s">
        <v>415</v>
      </c>
      <c r="D10" s="156" t="s">
        <v>110</v>
      </c>
      <c r="E10" s="188">
        <v>41272</v>
      </c>
      <c r="F10" s="180" t="s">
        <v>13</v>
      </c>
      <c r="G10" s="232">
        <v>500</v>
      </c>
      <c r="H10" s="219" t="s">
        <v>273</v>
      </c>
      <c r="I10" s="183">
        <v>6</v>
      </c>
      <c r="J10" s="221" t="s">
        <v>273</v>
      </c>
      <c r="K10" s="228">
        <v>5</v>
      </c>
      <c r="L10" s="229" t="s">
        <v>273</v>
      </c>
      <c r="M10" s="183"/>
      <c r="N10" s="230"/>
      <c r="O10" s="183"/>
      <c r="P10" s="163">
        <f t="shared" si="0"/>
        <v>11</v>
      </c>
    </row>
    <row r="11" spans="1:24" ht="13.5" customHeight="1" x14ac:dyDescent="0.35">
      <c r="A11" s="230">
        <v>3037</v>
      </c>
      <c r="B11" s="187" t="s">
        <v>392</v>
      </c>
      <c r="C11" s="187" t="s">
        <v>417</v>
      </c>
      <c r="D11" s="156" t="s">
        <v>110</v>
      </c>
      <c r="E11" s="188">
        <v>41718</v>
      </c>
      <c r="F11" s="180" t="s">
        <v>65</v>
      </c>
      <c r="G11" s="232">
        <v>500</v>
      </c>
      <c r="H11" s="219" t="s">
        <v>273</v>
      </c>
      <c r="I11" s="183">
        <v>5</v>
      </c>
      <c r="J11" s="221" t="s">
        <v>273</v>
      </c>
      <c r="K11" s="228">
        <v>3</v>
      </c>
      <c r="L11" s="229" t="s">
        <v>273</v>
      </c>
      <c r="M11" s="183"/>
      <c r="N11" s="230"/>
      <c r="O11" s="183"/>
      <c r="P11" s="163">
        <f t="shared" si="0"/>
        <v>8</v>
      </c>
    </row>
    <row r="12" spans="1:24" ht="13.5" customHeight="1" x14ac:dyDescent="0.35">
      <c r="A12" s="226">
        <v>3096</v>
      </c>
      <c r="B12" s="178" t="s">
        <v>279</v>
      </c>
      <c r="C12" s="178" t="s">
        <v>429</v>
      </c>
      <c r="D12" s="169" t="s">
        <v>110</v>
      </c>
      <c r="E12" s="179">
        <v>41620</v>
      </c>
      <c r="F12" s="180" t="s">
        <v>10</v>
      </c>
      <c r="G12" s="227">
        <v>575</v>
      </c>
      <c r="H12" s="219"/>
      <c r="I12" s="183"/>
      <c r="J12" s="221" t="s">
        <v>273</v>
      </c>
      <c r="K12" s="228">
        <v>7</v>
      </c>
      <c r="L12" s="229" t="s">
        <v>273</v>
      </c>
      <c r="M12" s="183"/>
      <c r="N12" s="230"/>
      <c r="O12" s="183"/>
      <c r="P12" s="163">
        <f t="shared" si="0"/>
        <v>7</v>
      </c>
    </row>
    <row r="13" spans="1:24" ht="13.5" customHeight="1" x14ac:dyDescent="0.35">
      <c r="A13" s="231">
        <v>4027</v>
      </c>
      <c r="B13" s="178" t="s">
        <v>754</v>
      </c>
      <c r="C13" s="178" t="s">
        <v>366</v>
      </c>
      <c r="D13" s="169" t="s">
        <v>110</v>
      </c>
      <c r="E13" s="179">
        <v>40738</v>
      </c>
      <c r="F13" s="180" t="s">
        <v>10</v>
      </c>
      <c r="G13" s="227">
        <v>500</v>
      </c>
      <c r="H13" s="219" t="s">
        <v>273</v>
      </c>
      <c r="I13" s="183">
        <v>5</v>
      </c>
      <c r="J13" s="221" t="s">
        <v>273</v>
      </c>
      <c r="K13" s="228">
        <v>2</v>
      </c>
      <c r="L13" s="229" t="s">
        <v>273</v>
      </c>
      <c r="M13" s="183"/>
      <c r="N13" s="230"/>
      <c r="O13" s="183"/>
      <c r="P13" s="163">
        <f t="shared" si="0"/>
        <v>7</v>
      </c>
    </row>
    <row r="14" spans="1:24" ht="13.5" customHeight="1" x14ac:dyDescent="0.35">
      <c r="A14" s="231">
        <v>4079</v>
      </c>
      <c r="B14" s="178" t="s">
        <v>391</v>
      </c>
      <c r="C14" s="178" t="s">
        <v>416</v>
      </c>
      <c r="D14" s="169" t="s">
        <v>110</v>
      </c>
      <c r="E14" s="179">
        <v>39279</v>
      </c>
      <c r="F14" s="180" t="s">
        <v>10</v>
      </c>
      <c r="G14" s="227">
        <v>500</v>
      </c>
      <c r="H14" s="219" t="s">
        <v>273</v>
      </c>
      <c r="I14" s="183">
        <v>6</v>
      </c>
      <c r="J14" s="221"/>
      <c r="K14" s="228"/>
      <c r="L14" s="229" t="s">
        <v>273</v>
      </c>
      <c r="M14" s="183"/>
      <c r="N14" s="230"/>
      <c r="O14" s="183"/>
      <c r="P14" s="163">
        <f t="shared" si="0"/>
        <v>6</v>
      </c>
    </row>
    <row r="15" spans="1:24" ht="13.5" customHeight="1" x14ac:dyDescent="0.35">
      <c r="A15" s="230">
        <v>2174</v>
      </c>
      <c r="B15" s="190" t="s">
        <v>221</v>
      </c>
      <c r="C15" s="190" t="s">
        <v>222</v>
      </c>
      <c r="D15" s="169" t="s">
        <v>110</v>
      </c>
      <c r="E15" s="193">
        <v>42288</v>
      </c>
      <c r="F15" s="181" t="s">
        <v>9</v>
      </c>
      <c r="G15" s="227">
        <v>500</v>
      </c>
      <c r="H15" s="219" t="s">
        <v>273</v>
      </c>
      <c r="I15" s="183">
        <v>5</v>
      </c>
      <c r="J15" s="221"/>
      <c r="K15" s="228"/>
      <c r="L15" s="229"/>
      <c r="M15" s="183"/>
      <c r="N15" s="230"/>
      <c r="O15" s="183"/>
      <c r="P15" s="163">
        <f t="shared" si="0"/>
        <v>5</v>
      </c>
    </row>
    <row r="16" spans="1:24" ht="13.5" customHeight="1" x14ac:dyDescent="0.35">
      <c r="A16" s="226">
        <v>3124</v>
      </c>
      <c r="B16" s="190" t="s">
        <v>373</v>
      </c>
      <c r="C16" s="190" t="s">
        <v>843</v>
      </c>
      <c r="D16" s="169" t="s">
        <v>110</v>
      </c>
      <c r="E16" s="193">
        <v>41809</v>
      </c>
      <c r="F16" s="181" t="s">
        <v>9</v>
      </c>
      <c r="G16" s="227">
        <v>500</v>
      </c>
      <c r="H16" s="219"/>
      <c r="I16" s="183"/>
      <c r="J16" s="221" t="s">
        <v>273</v>
      </c>
      <c r="K16" s="228">
        <v>5</v>
      </c>
      <c r="L16" s="229" t="s">
        <v>273</v>
      </c>
      <c r="M16" s="183"/>
      <c r="N16" s="230"/>
      <c r="O16" s="183"/>
      <c r="P16" s="163">
        <f t="shared" si="0"/>
        <v>5</v>
      </c>
    </row>
    <row r="17" spans="1:25" s="1" customFormat="1" ht="13.5" customHeight="1" x14ac:dyDescent="0.35">
      <c r="A17" s="231">
        <v>4011</v>
      </c>
      <c r="B17" s="187" t="s">
        <v>144</v>
      </c>
      <c r="C17" s="187" t="s">
        <v>123</v>
      </c>
      <c r="D17" s="156" t="s">
        <v>110</v>
      </c>
      <c r="E17" s="188">
        <v>40602</v>
      </c>
      <c r="F17" s="180" t="s">
        <v>37</v>
      </c>
      <c r="G17" s="232">
        <v>500</v>
      </c>
      <c r="H17" s="219" t="s">
        <v>273</v>
      </c>
      <c r="I17" s="183">
        <v>3</v>
      </c>
      <c r="J17" s="221"/>
      <c r="K17" s="228"/>
      <c r="L17" s="229"/>
      <c r="M17" s="183"/>
      <c r="N17" s="230"/>
      <c r="O17" s="183"/>
      <c r="P17" s="163">
        <f t="shared" si="0"/>
        <v>3</v>
      </c>
      <c r="Q17"/>
      <c r="R17"/>
      <c r="S17"/>
      <c r="T17"/>
      <c r="U17"/>
      <c r="V17"/>
      <c r="W17"/>
      <c r="X17"/>
      <c r="Y17"/>
    </row>
    <row r="18" spans="1:25" s="1" customFormat="1" ht="13.5" customHeight="1" x14ac:dyDescent="0.35">
      <c r="A18" s="230">
        <v>3041</v>
      </c>
      <c r="B18" s="186" t="s">
        <v>393</v>
      </c>
      <c r="C18" s="194" t="s">
        <v>141</v>
      </c>
      <c r="D18" s="156" t="s">
        <v>110</v>
      </c>
      <c r="E18" s="188">
        <v>41694</v>
      </c>
      <c r="F18" s="180" t="s">
        <v>79</v>
      </c>
      <c r="G18" s="233">
        <v>500</v>
      </c>
      <c r="H18" s="219" t="s">
        <v>273</v>
      </c>
      <c r="I18" s="183">
        <v>2</v>
      </c>
      <c r="J18" s="221"/>
      <c r="K18" s="228"/>
      <c r="L18" s="229"/>
      <c r="M18" s="183"/>
      <c r="N18" s="230"/>
      <c r="O18" s="183"/>
      <c r="P18" s="163">
        <f t="shared" si="0"/>
        <v>2</v>
      </c>
      <c r="Q18"/>
      <c r="R18"/>
      <c r="S18"/>
      <c r="T18"/>
      <c r="U18"/>
      <c r="V18"/>
      <c r="W18"/>
      <c r="X18"/>
      <c r="Y18"/>
    </row>
    <row r="19" spans="1:25" ht="13.5" customHeight="1" x14ac:dyDescent="0.35">
      <c r="A19" s="230">
        <v>1000</v>
      </c>
      <c r="B19" s="189" t="s">
        <v>288</v>
      </c>
      <c r="C19" s="189" t="s">
        <v>817</v>
      </c>
      <c r="D19" s="156" t="s">
        <v>110</v>
      </c>
      <c r="E19" s="188">
        <v>44506</v>
      </c>
      <c r="F19" s="180" t="s">
        <v>13</v>
      </c>
      <c r="G19" s="234" t="s">
        <v>126</v>
      </c>
      <c r="H19" s="219"/>
      <c r="I19" s="183"/>
      <c r="J19" s="221"/>
      <c r="K19" s="228"/>
      <c r="L19" s="229"/>
      <c r="M19" s="183"/>
      <c r="N19" s="230"/>
      <c r="O19" s="183"/>
      <c r="P19" s="163">
        <f t="shared" si="0"/>
        <v>0</v>
      </c>
    </row>
    <row r="20" spans="1:25" ht="13.5" customHeight="1" x14ac:dyDescent="0.35">
      <c r="A20" s="230">
        <v>1002</v>
      </c>
      <c r="B20" s="189" t="s">
        <v>384</v>
      </c>
      <c r="C20" s="189" t="s">
        <v>385</v>
      </c>
      <c r="D20" s="156" t="s">
        <v>110</v>
      </c>
      <c r="E20" s="188">
        <v>43983</v>
      </c>
      <c r="F20" s="180" t="s">
        <v>13</v>
      </c>
      <c r="G20" s="234" t="s">
        <v>126</v>
      </c>
      <c r="H20" s="235"/>
      <c r="I20" s="183"/>
      <c r="J20" s="221"/>
      <c r="K20" s="228"/>
      <c r="L20" s="229"/>
      <c r="M20" s="183"/>
      <c r="N20" s="230"/>
      <c r="O20" s="183"/>
      <c r="P20" s="163">
        <f t="shared" si="0"/>
        <v>0</v>
      </c>
    </row>
    <row r="21" spans="1:25" ht="13.5" customHeight="1" x14ac:dyDescent="0.35">
      <c r="A21" s="230">
        <v>1003</v>
      </c>
      <c r="B21" s="189" t="s">
        <v>332</v>
      </c>
      <c r="C21" s="189" t="s">
        <v>333</v>
      </c>
      <c r="D21" s="156" t="s">
        <v>110</v>
      </c>
      <c r="E21" s="188">
        <v>43962</v>
      </c>
      <c r="F21" s="180" t="s">
        <v>13</v>
      </c>
      <c r="G21" s="234" t="s">
        <v>126</v>
      </c>
      <c r="H21" s="235"/>
      <c r="I21" s="183"/>
      <c r="J21" s="221"/>
      <c r="K21" s="228"/>
      <c r="L21" s="229"/>
      <c r="M21" s="183"/>
      <c r="N21" s="230"/>
      <c r="O21" s="183"/>
      <c r="P21" s="163">
        <f t="shared" si="0"/>
        <v>0</v>
      </c>
    </row>
    <row r="22" spans="1:25" ht="13.5" customHeight="1" x14ac:dyDescent="0.35">
      <c r="A22" s="230">
        <v>1005</v>
      </c>
      <c r="B22" s="192" t="s">
        <v>818</v>
      </c>
      <c r="C22" s="192" t="s">
        <v>355</v>
      </c>
      <c r="D22" s="156" t="s">
        <v>110</v>
      </c>
      <c r="E22" s="188">
        <v>43818</v>
      </c>
      <c r="F22" s="180" t="s">
        <v>294</v>
      </c>
      <c r="G22" s="232" t="s">
        <v>126</v>
      </c>
      <c r="H22" s="235"/>
      <c r="I22" s="183"/>
      <c r="J22" s="221"/>
      <c r="K22" s="228"/>
      <c r="L22" s="229"/>
      <c r="M22" s="183"/>
      <c r="N22" s="230"/>
      <c r="O22" s="183"/>
      <c r="P22" s="163">
        <f t="shared" si="0"/>
        <v>0</v>
      </c>
    </row>
    <row r="23" spans="1:25" ht="13.5" customHeight="1" x14ac:dyDescent="0.35">
      <c r="A23" s="230">
        <v>1006</v>
      </c>
      <c r="B23" s="189" t="s">
        <v>325</v>
      </c>
      <c r="C23" s="189" t="s">
        <v>326</v>
      </c>
      <c r="D23" s="156" t="s">
        <v>110</v>
      </c>
      <c r="E23" s="188">
        <v>43694</v>
      </c>
      <c r="F23" s="180" t="s">
        <v>13</v>
      </c>
      <c r="G23" s="234" t="s">
        <v>126</v>
      </c>
      <c r="H23" s="235"/>
      <c r="I23" s="183"/>
      <c r="J23" s="221"/>
      <c r="K23" s="228"/>
      <c r="L23" s="229"/>
      <c r="M23" s="183"/>
      <c r="N23" s="230"/>
      <c r="O23" s="183"/>
      <c r="P23" s="163">
        <f t="shared" si="0"/>
        <v>0</v>
      </c>
    </row>
    <row r="24" spans="1:25" ht="13.5" customHeight="1" x14ac:dyDescent="0.35">
      <c r="A24" s="230">
        <v>1008</v>
      </c>
      <c r="B24" s="189" t="s">
        <v>363</v>
      </c>
      <c r="C24" s="189" t="s">
        <v>339</v>
      </c>
      <c r="D24" s="156" t="s">
        <v>110</v>
      </c>
      <c r="E24" s="188">
        <v>43645</v>
      </c>
      <c r="F24" s="180" t="s">
        <v>13</v>
      </c>
      <c r="G24" s="234" t="s">
        <v>126</v>
      </c>
      <c r="H24" s="219"/>
      <c r="I24" s="183"/>
      <c r="J24" s="221"/>
      <c r="K24" s="228"/>
      <c r="L24" s="229"/>
      <c r="M24" s="183"/>
      <c r="N24" s="230"/>
      <c r="O24" s="183"/>
      <c r="P24" s="163">
        <f t="shared" si="0"/>
        <v>0</v>
      </c>
    </row>
    <row r="25" spans="1:25" ht="13.5" customHeight="1" x14ac:dyDescent="0.35">
      <c r="A25" s="230">
        <v>1014</v>
      </c>
      <c r="B25" s="187" t="s">
        <v>353</v>
      </c>
      <c r="C25" s="187" t="s">
        <v>354</v>
      </c>
      <c r="D25" s="156" t="s">
        <v>110</v>
      </c>
      <c r="E25" s="153">
        <v>43409</v>
      </c>
      <c r="F25" s="180" t="s">
        <v>12</v>
      </c>
      <c r="G25" s="232">
        <v>500</v>
      </c>
      <c r="H25" s="219"/>
      <c r="I25" s="183"/>
      <c r="J25" s="221"/>
      <c r="K25" s="228"/>
      <c r="L25" s="229"/>
      <c r="M25" s="183"/>
      <c r="N25" s="230"/>
      <c r="O25" s="183"/>
      <c r="P25" s="163">
        <f t="shared" si="0"/>
        <v>0</v>
      </c>
    </row>
    <row r="26" spans="1:25" ht="13.5" customHeight="1" x14ac:dyDescent="0.35">
      <c r="A26" s="230">
        <v>1067</v>
      </c>
      <c r="B26" s="190" t="s">
        <v>364</v>
      </c>
      <c r="C26" s="190" t="s">
        <v>365</v>
      </c>
      <c r="D26" s="169" t="s">
        <v>110</v>
      </c>
      <c r="E26" s="200">
        <v>43332</v>
      </c>
      <c r="F26" s="180" t="s">
        <v>77</v>
      </c>
      <c r="G26" s="233">
        <v>500</v>
      </c>
      <c r="H26" s="219"/>
      <c r="I26" s="183"/>
      <c r="J26" s="221"/>
      <c r="K26" s="228"/>
      <c r="L26" s="229"/>
      <c r="M26" s="183"/>
      <c r="N26" s="230"/>
      <c r="O26" s="183"/>
      <c r="P26" s="163">
        <f t="shared" si="0"/>
        <v>0</v>
      </c>
    </row>
    <row r="27" spans="1:25" ht="15" customHeight="1" x14ac:dyDescent="0.35">
      <c r="A27" s="230">
        <v>1018</v>
      </c>
      <c r="B27" s="187" t="s">
        <v>306</v>
      </c>
      <c r="C27" s="187" t="s">
        <v>307</v>
      </c>
      <c r="D27" s="156" t="s">
        <v>110</v>
      </c>
      <c r="E27" s="188">
        <v>43293</v>
      </c>
      <c r="F27" s="180" t="s">
        <v>65</v>
      </c>
      <c r="G27" s="232" t="s">
        <v>126</v>
      </c>
      <c r="H27" s="235"/>
      <c r="I27" s="183"/>
      <c r="J27" s="221"/>
      <c r="K27" s="228"/>
      <c r="L27" s="229" t="s">
        <v>273</v>
      </c>
      <c r="M27" s="183"/>
      <c r="N27" s="230"/>
      <c r="O27" s="183"/>
      <c r="P27" s="163">
        <f t="shared" si="0"/>
        <v>0</v>
      </c>
      <c r="X27" s="72"/>
      <c r="Y27" s="72"/>
    </row>
    <row r="28" spans="1:25" ht="13.5" customHeight="1" x14ac:dyDescent="0.35">
      <c r="A28" s="230">
        <v>1025</v>
      </c>
      <c r="B28" s="189" t="s">
        <v>384</v>
      </c>
      <c r="C28" s="189" t="s">
        <v>386</v>
      </c>
      <c r="D28" s="156" t="s">
        <v>110</v>
      </c>
      <c r="E28" s="188">
        <v>43226</v>
      </c>
      <c r="F28" s="180" t="s">
        <v>13</v>
      </c>
      <c r="G28" s="234" t="s">
        <v>126</v>
      </c>
      <c r="H28" s="235"/>
      <c r="I28" s="183"/>
      <c r="J28" s="221"/>
      <c r="K28" s="228"/>
      <c r="L28" s="229"/>
      <c r="M28" s="183"/>
      <c r="N28" s="230"/>
      <c r="O28" s="183"/>
      <c r="P28" s="163">
        <f t="shared" si="0"/>
        <v>0</v>
      </c>
    </row>
    <row r="29" spans="1:25" ht="13.5" customHeight="1" x14ac:dyDescent="0.35">
      <c r="A29" s="230">
        <v>1070</v>
      </c>
      <c r="B29" s="190" t="s">
        <v>274</v>
      </c>
      <c r="C29" s="190" t="s">
        <v>275</v>
      </c>
      <c r="D29" s="169" t="s">
        <v>110</v>
      </c>
      <c r="E29" s="193">
        <v>43191</v>
      </c>
      <c r="F29" s="181" t="s">
        <v>9</v>
      </c>
      <c r="G29" s="227">
        <v>500</v>
      </c>
      <c r="H29" s="235"/>
      <c r="I29" s="183"/>
      <c r="J29" s="221"/>
      <c r="K29" s="228"/>
      <c r="L29" s="229"/>
      <c r="M29" s="183"/>
      <c r="N29" s="230"/>
      <c r="O29" s="183"/>
      <c r="P29" s="163">
        <f t="shared" si="0"/>
        <v>0</v>
      </c>
    </row>
    <row r="30" spans="1:25" ht="13.5" customHeight="1" x14ac:dyDescent="0.35">
      <c r="A30" s="230">
        <v>1029</v>
      </c>
      <c r="B30" s="192" t="s">
        <v>340</v>
      </c>
      <c r="C30" s="192" t="s">
        <v>341</v>
      </c>
      <c r="D30" s="156" t="s">
        <v>110</v>
      </c>
      <c r="E30" s="188">
        <v>43181</v>
      </c>
      <c r="F30" s="180" t="s">
        <v>294</v>
      </c>
      <c r="G30" s="232" t="s">
        <v>126</v>
      </c>
      <c r="H30" s="219"/>
      <c r="I30" s="183"/>
      <c r="J30" s="221"/>
      <c r="K30" s="228"/>
      <c r="L30" s="229"/>
      <c r="M30" s="183"/>
      <c r="N30" s="230"/>
      <c r="O30" s="183"/>
      <c r="P30" s="163">
        <f t="shared" si="0"/>
        <v>0</v>
      </c>
    </row>
    <row r="31" spans="1:25" ht="13.5" customHeight="1" x14ac:dyDescent="0.35">
      <c r="A31" s="230">
        <v>1032</v>
      </c>
      <c r="B31" s="192" t="s">
        <v>388</v>
      </c>
      <c r="C31" s="192" t="s">
        <v>330</v>
      </c>
      <c r="D31" s="156" t="s">
        <v>110</v>
      </c>
      <c r="E31" s="188">
        <v>43121</v>
      </c>
      <c r="F31" s="180" t="s">
        <v>294</v>
      </c>
      <c r="G31" s="232" t="s">
        <v>126</v>
      </c>
      <c r="H31" s="219"/>
      <c r="I31" s="183"/>
      <c r="J31" s="221"/>
      <c r="K31" s="228"/>
      <c r="L31" s="229"/>
      <c r="M31" s="183"/>
      <c r="N31" s="230"/>
      <c r="O31" s="183"/>
      <c r="P31" s="163">
        <f t="shared" si="0"/>
        <v>0</v>
      </c>
    </row>
    <row r="32" spans="1:25" ht="15" customHeight="1" x14ac:dyDescent="0.35">
      <c r="A32" s="230">
        <v>1033</v>
      </c>
      <c r="B32" s="187" t="s">
        <v>381</v>
      </c>
      <c r="C32" s="187" t="s">
        <v>382</v>
      </c>
      <c r="D32" s="156" t="s">
        <v>110</v>
      </c>
      <c r="E32" s="153">
        <v>43120</v>
      </c>
      <c r="F32" s="180" t="s">
        <v>12</v>
      </c>
      <c r="G32" s="232">
        <v>500</v>
      </c>
      <c r="H32" s="219"/>
      <c r="I32" s="183"/>
      <c r="J32" s="221"/>
      <c r="K32" s="228"/>
      <c r="L32" s="229"/>
      <c r="M32" s="183"/>
      <c r="N32" s="230"/>
      <c r="O32" s="183"/>
      <c r="P32" s="163">
        <f t="shared" si="0"/>
        <v>0</v>
      </c>
      <c r="X32" s="72"/>
    </row>
    <row r="33" spans="1:24" ht="15" customHeight="1" x14ac:dyDescent="0.35">
      <c r="A33" s="230">
        <v>1038</v>
      </c>
      <c r="B33" s="192" t="s">
        <v>334</v>
      </c>
      <c r="C33" s="192" t="s">
        <v>335</v>
      </c>
      <c r="D33" s="156" t="s">
        <v>110</v>
      </c>
      <c r="E33" s="188">
        <v>43086</v>
      </c>
      <c r="F33" s="180" t="s">
        <v>66</v>
      </c>
      <c r="G33" s="236">
        <v>500</v>
      </c>
      <c r="H33" s="219"/>
      <c r="I33" s="183"/>
      <c r="J33" s="221"/>
      <c r="K33" s="228"/>
      <c r="L33" s="229"/>
      <c r="M33" s="183"/>
      <c r="N33" s="230"/>
      <c r="O33" s="183"/>
      <c r="P33" s="163">
        <f t="shared" si="0"/>
        <v>0</v>
      </c>
      <c r="X33" s="72"/>
    </row>
    <row r="34" spans="1:24" ht="15" customHeight="1" x14ac:dyDescent="0.35">
      <c r="A34" s="230">
        <v>1081</v>
      </c>
      <c r="B34" s="190" t="s">
        <v>338</v>
      </c>
      <c r="C34" s="190" t="s">
        <v>339</v>
      </c>
      <c r="D34" s="169" t="s">
        <v>110</v>
      </c>
      <c r="E34" s="193">
        <v>43081</v>
      </c>
      <c r="F34" s="181" t="s">
        <v>9</v>
      </c>
      <c r="G34" s="227">
        <v>500</v>
      </c>
      <c r="H34" s="219"/>
      <c r="I34" s="183"/>
      <c r="J34" s="221"/>
      <c r="K34" s="228"/>
      <c r="L34" s="229"/>
      <c r="M34" s="183"/>
      <c r="N34" s="230"/>
      <c r="O34" s="183"/>
      <c r="P34" s="163">
        <f t="shared" si="0"/>
        <v>0</v>
      </c>
      <c r="X34" s="72"/>
    </row>
    <row r="35" spans="1:24" ht="15" customHeight="1" x14ac:dyDescent="0.35">
      <c r="A35" s="230">
        <v>1052</v>
      </c>
      <c r="B35" s="192" t="s">
        <v>827</v>
      </c>
      <c r="C35" s="192" t="s">
        <v>366</v>
      </c>
      <c r="D35" s="156" t="s">
        <v>110</v>
      </c>
      <c r="E35" s="188">
        <v>42878</v>
      </c>
      <c r="F35" s="180" t="s">
        <v>294</v>
      </c>
      <c r="G35" s="232" t="s">
        <v>126</v>
      </c>
      <c r="H35" s="219"/>
      <c r="I35" s="183"/>
      <c r="J35" s="221"/>
      <c r="K35" s="228"/>
      <c r="L35" s="229"/>
      <c r="M35" s="183"/>
      <c r="N35" s="230"/>
      <c r="O35" s="183"/>
      <c r="P35" s="163">
        <f t="shared" si="0"/>
        <v>0</v>
      </c>
      <c r="X35" s="72"/>
    </row>
    <row r="36" spans="1:24" ht="15" customHeight="1" x14ac:dyDescent="0.35">
      <c r="A36" s="230">
        <v>1075</v>
      </c>
      <c r="B36" s="190" t="s">
        <v>309</v>
      </c>
      <c r="C36" s="190" t="s">
        <v>310</v>
      </c>
      <c r="D36" s="169" t="s">
        <v>110</v>
      </c>
      <c r="E36" s="193">
        <v>42845</v>
      </c>
      <c r="F36" s="181" t="s">
        <v>9</v>
      </c>
      <c r="G36" s="227">
        <v>500</v>
      </c>
      <c r="H36" s="235"/>
      <c r="I36" s="183"/>
      <c r="J36" s="221"/>
      <c r="K36" s="228"/>
      <c r="L36" s="229"/>
      <c r="M36" s="183"/>
      <c r="N36" s="230"/>
      <c r="O36" s="183"/>
      <c r="P36" s="163">
        <f t="shared" si="0"/>
        <v>0</v>
      </c>
      <c r="X36" s="72"/>
    </row>
    <row r="37" spans="1:24" ht="15" customHeight="1" x14ac:dyDescent="0.35">
      <c r="A37" s="230">
        <v>1058</v>
      </c>
      <c r="B37" s="194" t="s">
        <v>336</v>
      </c>
      <c r="C37" s="186" t="s">
        <v>847</v>
      </c>
      <c r="D37" s="156" t="s">
        <v>110</v>
      </c>
      <c r="E37" s="188">
        <v>42820</v>
      </c>
      <c r="F37" s="180" t="s">
        <v>79</v>
      </c>
      <c r="G37" s="233">
        <v>500</v>
      </c>
      <c r="H37" s="235"/>
      <c r="I37" s="183"/>
      <c r="J37" s="221"/>
      <c r="K37" s="228"/>
      <c r="L37" s="229"/>
      <c r="M37" s="183"/>
      <c r="N37" s="230"/>
      <c r="O37" s="183"/>
      <c r="P37" s="163">
        <f t="shared" si="0"/>
        <v>0</v>
      </c>
      <c r="X37" s="72"/>
    </row>
    <row r="38" spans="1:24" ht="15" customHeight="1" x14ac:dyDescent="0.35">
      <c r="A38" s="230">
        <v>2000</v>
      </c>
      <c r="B38" s="192" t="s">
        <v>812</v>
      </c>
      <c r="C38" s="192" t="s">
        <v>832</v>
      </c>
      <c r="D38" s="156" t="s">
        <v>110</v>
      </c>
      <c r="E38" s="188">
        <v>42731</v>
      </c>
      <c r="F38" s="180" t="s">
        <v>294</v>
      </c>
      <c r="G38" s="232" t="s">
        <v>126</v>
      </c>
      <c r="H38" s="219"/>
      <c r="I38" s="183"/>
      <c r="J38" s="221"/>
      <c r="K38" s="228"/>
      <c r="L38" s="229"/>
      <c r="M38" s="183"/>
      <c r="N38" s="230"/>
      <c r="O38" s="183"/>
      <c r="P38" s="163">
        <f t="shared" si="0"/>
        <v>0</v>
      </c>
      <c r="X38" s="72"/>
    </row>
    <row r="39" spans="1:24" ht="15" customHeight="1" x14ac:dyDescent="0.35">
      <c r="A39" s="230">
        <v>2171</v>
      </c>
      <c r="B39" s="190" t="s">
        <v>394</v>
      </c>
      <c r="C39" s="190" t="s">
        <v>230</v>
      </c>
      <c r="D39" s="169" t="s">
        <v>110</v>
      </c>
      <c r="E39" s="193">
        <v>42697</v>
      </c>
      <c r="F39" s="181" t="s">
        <v>9</v>
      </c>
      <c r="G39" s="227">
        <v>500</v>
      </c>
      <c r="H39" s="219"/>
      <c r="I39" s="183"/>
      <c r="J39" s="221"/>
      <c r="K39" s="228"/>
      <c r="L39" s="229"/>
      <c r="M39" s="183"/>
      <c r="N39" s="230"/>
      <c r="O39" s="183"/>
      <c r="P39" s="163">
        <f t="shared" si="0"/>
        <v>0</v>
      </c>
      <c r="X39" s="72"/>
    </row>
    <row r="40" spans="1:24" ht="15.75" customHeight="1" x14ac:dyDescent="0.35">
      <c r="A40" s="230">
        <v>2012</v>
      </c>
      <c r="B40" s="192" t="s">
        <v>837</v>
      </c>
      <c r="C40" s="192" t="s">
        <v>339</v>
      </c>
      <c r="D40" s="156" t="s">
        <v>110</v>
      </c>
      <c r="E40" s="188">
        <v>42666</v>
      </c>
      <c r="F40" s="180" t="s">
        <v>294</v>
      </c>
      <c r="G40" s="232" t="s">
        <v>126</v>
      </c>
      <c r="H40" s="235"/>
      <c r="I40" s="183"/>
      <c r="J40" s="221"/>
      <c r="K40" s="228"/>
      <c r="L40" s="229"/>
      <c r="M40" s="183"/>
      <c r="N40" s="230"/>
      <c r="O40" s="183"/>
      <c r="P40" s="163">
        <f t="shared" ref="P40:P70" si="1">SUM(I40:O40)</f>
        <v>0</v>
      </c>
      <c r="X40" s="72"/>
    </row>
    <row r="41" spans="1:24" ht="15" customHeight="1" x14ac:dyDescent="0.35">
      <c r="A41" s="230">
        <v>2024</v>
      </c>
      <c r="B41" s="192" t="s">
        <v>811</v>
      </c>
      <c r="C41" s="192" t="s">
        <v>132</v>
      </c>
      <c r="D41" s="156" t="s">
        <v>110</v>
      </c>
      <c r="E41" s="188">
        <v>42568</v>
      </c>
      <c r="F41" s="180" t="s">
        <v>294</v>
      </c>
      <c r="G41" s="232" t="s">
        <v>126</v>
      </c>
      <c r="H41" s="219"/>
      <c r="I41" s="183"/>
      <c r="J41" s="221"/>
      <c r="K41" s="228"/>
      <c r="L41" s="229"/>
      <c r="M41" s="183"/>
      <c r="N41" s="230"/>
      <c r="O41" s="183"/>
      <c r="P41" s="163">
        <f t="shared" si="1"/>
        <v>0</v>
      </c>
      <c r="X41" s="72"/>
    </row>
    <row r="42" spans="1:24" ht="14.25" customHeight="1" x14ac:dyDescent="0.35">
      <c r="A42" s="230">
        <v>2042</v>
      </c>
      <c r="B42" s="192" t="s">
        <v>395</v>
      </c>
      <c r="C42" s="192" t="s">
        <v>418</v>
      </c>
      <c r="D42" s="156" t="s">
        <v>110</v>
      </c>
      <c r="E42" s="188">
        <v>42416</v>
      </c>
      <c r="F42" s="180" t="s">
        <v>294</v>
      </c>
      <c r="G42" s="232" t="s">
        <v>126</v>
      </c>
      <c r="H42" s="219"/>
      <c r="I42" s="183"/>
      <c r="J42" s="221"/>
      <c r="K42" s="228"/>
      <c r="L42" s="229"/>
      <c r="M42" s="183"/>
      <c r="N42" s="230"/>
      <c r="O42" s="183"/>
      <c r="P42" s="163">
        <f t="shared" si="1"/>
        <v>0</v>
      </c>
      <c r="X42" s="72"/>
    </row>
    <row r="43" spans="1:24" ht="15" customHeight="1" x14ac:dyDescent="0.35">
      <c r="A43" s="230">
        <v>2127</v>
      </c>
      <c r="B43" s="190" t="s">
        <v>396</v>
      </c>
      <c r="C43" s="190" t="s">
        <v>419</v>
      </c>
      <c r="D43" s="169" t="s">
        <v>110</v>
      </c>
      <c r="E43" s="237">
        <v>42411</v>
      </c>
      <c r="F43" s="180" t="s">
        <v>77</v>
      </c>
      <c r="G43" s="233">
        <v>500</v>
      </c>
      <c r="H43" s="219"/>
      <c r="I43" s="183"/>
      <c r="J43" s="221"/>
      <c r="K43" s="228"/>
      <c r="L43" s="229"/>
      <c r="M43" s="183"/>
      <c r="N43" s="230"/>
      <c r="O43" s="183"/>
      <c r="P43" s="163">
        <f t="shared" si="1"/>
        <v>0</v>
      </c>
      <c r="X43" s="72"/>
    </row>
    <row r="44" spans="1:24" ht="15" customHeight="1" x14ac:dyDescent="0.35">
      <c r="A44" s="230">
        <v>2177</v>
      </c>
      <c r="B44" s="190" t="s">
        <v>397</v>
      </c>
      <c r="C44" s="190" t="s">
        <v>420</v>
      </c>
      <c r="D44" s="169" t="s">
        <v>110</v>
      </c>
      <c r="E44" s="193">
        <v>42406</v>
      </c>
      <c r="F44" s="181" t="s">
        <v>9</v>
      </c>
      <c r="G44" s="227">
        <v>500</v>
      </c>
      <c r="H44" s="219"/>
      <c r="I44" s="183"/>
      <c r="J44" s="221"/>
      <c r="K44" s="228"/>
      <c r="L44" s="229"/>
      <c r="M44" s="183"/>
      <c r="N44" s="230"/>
      <c r="O44" s="183"/>
      <c r="P44" s="163">
        <f t="shared" si="1"/>
        <v>0</v>
      </c>
      <c r="X44" s="72"/>
    </row>
    <row r="45" spans="1:24" ht="15.75" customHeight="1" x14ac:dyDescent="0.35">
      <c r="A45" s="230">
        <v>2050</v>
      </c>
      <c r="B45" s="189" t="s">
        <v>398</v>
      </c>
      <c r="C45" s="189" t="s">
        <v>421</v>
      </c>
      <c r="D45" s="156" t="s">
        <v>110</v>
      </c>
      <c r="E45" s="188">
        <v>42384</v>
      </c>
      <c r="F45" s="180" t="s">
        <v>13</v>
      </c>
      <c r="G45" s="234" t="s">
        <v>126</v>
      </c>
      <c r="H45" s="235"/>
      <c r="I45" s="183"/>
      <c r="J45" s="221"/>
      <c r="K45" s="228"/>
      <c r="L45" s="229"/>
      <c r="M45" s="183"/>
      <c r="N45" s="230"/>
      <c r="O45" s="183"/>
      <c r="P45" s="163">
        <f t="shared" si="1"/>
        <v>0</v>
      </c>
      <c r="X45" s="72"/>
    </row>
    <row r="46" spans="1:24" ht="15" customHeight="1" x14ac:dyDescent="0.35">
      <c r="A46" s="230">
        <v>2126</v>
      </c>
      <c r="B46" s="190" t="s">
        <v>399</v>
      </c>
      <c r="C46" s="190" t="s">
        <v>422</v>
      </c>
      <c r="D46" s="169" t="s">
        <v>110</v>
      </c>
      <c r="E46" s="237">
        <v>42371</v>
      </c>
      <c r="F46" s="180" t="s">
        <v>77</v>
      </c>
      <c r="G46" s="233">
        <v>500</v>
      </c>
      <c r="H46" s="235"/>
      <c r="I46" s="183"/>
      <c r="J46" s="221"/>
      <c r="K46" s="228"/>
      <c r="L46" s="229"/>
      <c r="M46" s="183"/>
      <c r="N46" s="230"/>
      <c r="O46" s="183"/>
      <c r="P46" s="163">
        <f t="shared" si="1"/>
        <v>0</v>
      </c>
      <c r="X46" s="72"/>
    </row>
    <row r="47" spans="1:24" ht="14.25" customHeight="1" x14ac:dyDescent="0.35">
      <c r="A47" s="230">
        <v>2153</v>
      </c>
      <c r="B47" s="190" t="s">
        <v>400</v>
      </c>
      <c r="C47" s="190" t="s">
        <v>423</v>
      </c>
      <c r="D47" s="169" t="s">
        <v>110</v>
      </c>
      <c r="E47" s="193">
        <v>42185</v>
      </c>
      <c r="F47" s="181" t="s">
        <v>9</v>
      </c>
      <c r="G47" s="227">
        <v>500</v>
      </c>
      <c r="H47" s="219"/>
      <c r="I47" s="183"/>
      <c r="J47" s="221"/>
      <c r="K47" s="228"/>
      <c r="L47" s="229"/>
      <c r="M47" s="183"/>
      <c r="N47" s="230"/>
      <c r="O47" s="183"/>
      <c r="P47" s="163">
        <f t="shared" si="1"/>
        <v>0</v>
      </c>
      <c r="X47" s="72"/>
    </row>
    <row r="48" spans="1:24" ht="15" customHeight="1" x14ac:dyDescent="0.35">
      <c r="A48" s="230">
        <v>2145</v>
      </c>
      <c r="B48" s="190" t="s">
        <v>194</v>
      </c>
      <c r="C48" s="190" t="s">
        <v>424</v>
      </c>
      <c r="D48" s="169" t="s">
        <v>110</v>
      </c>
      <c r="E48" s="193">
        <v>42096</v>
      </c>
      <c r="F48" s="181" t="s">
        <v>9</v>
      </c>
      <c r="G48" s="227">
        <v>678</v>
      </c>
      <c r="H48" s="219"/>
      <c r="I48" s="183"/>
      <c r="J48" s="221"/>
      <c r="K48" s="228"/>
      <c r="L48" s="229"/>
      <c r="M48" s="183"/>
      <c r="N48" s="230"/>
      <c r="O48" s="183"/>
      <c r="P48" s="163">
        <f t="shared" si="1"/>
        <v>0</v>
      </c>
      <c r="X48" s="72"/>
    </row>
    <row r="49" spans="1:24" ht="15" customHeight="1" x14ac:dyDescent="0.35">
      <c r="A49" s="230">
        <v>2101</v>
      </c>
      <c r="B49" s="194" t="s">
        <v>401</v>
      </c>
      <c r="C49" s="186" t="s">
        <v>425</v>
      </c>
      <c r="D49" s="156" t="s">
        <v>110</v>
      </c>
      <c r="E49" s="188">
        <v>42069</v>
      </c>
      <c r="F49" s="180" t="s">
        <v>79</v>
      </c>
      <c r="G49" s="233">
        <v>500</v>
      </c>
      <c r="H49" s="219"/>
      <c r="I49" s="183"/>
      <c r="J49" s="221"/>
      <c r="K49" s="228"/>
      <c r="L49" s="229"/>
      <c r="M49" s="183"/>
      <c r="N49" s="230"/>
      <c r="O49" s="183"/>
      <c r="P49" s="163">
        <f t="shared" si="1"/>
        <v>0</v>
      </c>
      <c r="X49" s="72"/>
    </row>
    <row r="50" spans="1:24" ht="15" customHeight="1" x14ac:dyDescent="0.35">
      <c r="A50" s="230">
        <v>3003</v>
      </c>
      <c r="B50" s="194" t="s">
        <v>402</v>
      </c>
      <c r="C50" s="186" t="s">
        <v>426</v>
      </c>
      <c r="D50" s="156" t="s">
        <v>110</v>
      </c>
      <c r="E50" s="188">
        <v>41984</v>
      </c>
      <c r="F50" s="180" t="s">
        <v>79</v>
      </c>
      <c r="G50" s="233">
        <v>500</v>
      </c>
      <c r="H50" s="219"/>
      <c r="I50" s="183"/>
      <c r="J50" s="221"/>
      <c r="K50" s="228"/>
      <c r="L50" s="229"/>
      <c r="M50" s="183"/>
      <c r="N50" s="230"/>
      <c r="O50" s="183"/>
      <c r="P50" s="163">
        <f t="shared" si="1"/>
        <v>0</v>
      </c>
      <c r="X50" s="72"/>
    </row>
    <row r="51" spans="1:24" ht="14.25" customHeight="1" x14ac:dyDescent="0.35">
      <c r="A51" s="230">
        <v>3024</v>
      </c>
      <c r="B51" s="192" t="s">
        <v>403</v>
      </c>
      <c r="C51" s="192" t="s">
        <v>427</v>
      </c>
      <c r="D51" s="156" t="s">
        <v>110</v>
      </c>
      <c r="E51" s="188">
        <v>41828</v>
      </c>
      <c r="F51" s="180" t="s">
        <v>294</v>
      </c>
      <c r="G51" s="232" t="s">
        <v>126</v>
      </c>
      <c r="H51" s="219"/>
      <c r="I51" s="183"/>
      <c r="J51" s="221"/>
      <c r="K51" s="228"/>
      <c r="L51" s="229"/>
      <c r="M51" s="183"/>
      <c r="N51" s="230"/>
      <c r="O51" s="183"/>
      <c r="P51" s="163">
        <f t="shared" si="1"/>
        <v>0</v>
      </c>
      <c r="X51" s="72"/>
    </row>
    <row r="52" spans="1:24" ht="15" customHeight="1" x14ac:dyDescent="0.35">
      <c r="A52" s="226">
        <v>3106</v>
      </c>
      <c r="B52" s="190" t="s">
        <v>404</v>
      </c>
      <c r="C52" s="190" t="s">
        <v>366</v>
      </c>
      <c r="D52" s="169" t="s">
        <v>110</v>
      </c>
      <c r="E52" s="193">
        <v>41787</v>
      </c>
      <c r="F52" s="181" t="s">
        <v>9</v>
      </c>
      <c r="G52" s="227">
        <v>500</v>
      </c>
      <c r="H52" s="219"/>
      <c r="I52" s="183"/>
      <c r="J52" s="221"/>
      <c r="K52" s="228"/>
      <c r="L52" s="229"/>
      <c r="M52" s="183"/>
      <c r="N52" s="230"/>
      <c r="O52" s="183"/>
      <c r="P52" s="163">
        <f t="shared" si="1"/>
        <v>0</v>
      </c>
      <c r="X52" s="72"/>
    </row>
    <row r="53" spans="1:24" ht="15" customHeight="1" x14ac:dyDescent="0.35">
      <c r="A53" s="230">
        <v>3029</v>
      </c>
      <c r="B53" s="189" t="s">
        <v>119</v>
      </c>
      <c r="C53" s="189" t="s">
        <v>120</v>
      </c>
      <c r="D53" s="156" t="s">
        <v>110</v>
      </c>
      <c r="E53" s="188">
        <v>41772</v>
      </c>
      <c r="F53" s="180" t="s">
        <v>13</v>
      </c>
      <c r="G53" s="234" t="s">
        <v>126</v>
      </c>
      <c r="H53" s="219"/>
      <c r="I53" s="183"/>
      <c r="J53" s="221"/>
      <c r="K53" s="228"/>
      <c r="L53" s="229"/>
      <c r="M53" s="183"/>
      <c r="N53" s="230"/>
      <c r="O53" s="183"/>
      <c r="P53" s="163">
        <f t="shared" si="1"/>
        <v>0</v>
      </c>
      <c r="X53" s="72"/>
    </row>
    <row r="54" spans="1:24" ht="14.25" customHeight="1" x14ac:dyDescent="0.35">
      <c r="A54" s="230">
        <v>3045</v>
      </c>
      <c r="B54" s="192" t="s">
        <v>405</v>
      </c>
      <c r="C54" s="192" t="s">
        <v>428</v>
      </c>
      <c r="D54" s="156" t="s">
        <v>110</v>
      </c>
      <c r="E54" s="188">
        <v>41657</v>
      </c>
      <c r="F54" s="180" t="s">
        <v>294</v>
      </c>
      <c r="G54" s="232" t="s">
        <v>126</v>
      </c>
      <c r="H54" s="219"/>
      <c r="I54" s="183"/>
      <c r="J54" s="221"/>
      <c r="K54" s="228"/>
      <c r="L54" s="229"/>
      <c r="M54" s="183"/>
      <c r="N54" s="230"/>
      <c r="O54" s="183"/>
      <c r="P54" s="163">
        <f t="shared" si="1"/>
        <v>0</v>
      </c>
      <c r="X54" s="72"/>
    </row>
    <row r="55" spans="1:24" ht="15" customHeight="1" x14ac:dyDescent="0.35">
      <c r="A55" s="226">
        <v>3102</v>
      </c>
      <c r="B55" s="190" t="s">
        <v>227</v>
      </c>
      <c r="C55" s="190" t="s">
        <v>228</v>
      </c>
      <c r="D55" s="169" t="s">
        <v>110</v>
      </c>
      <c r="E55" s="193">
        <v>41563</v>
      </c>
      <c r="F55" s="181" t="s">
        <v>9</v>
      </c>
      <c r="G55" s="227">
        <v>737</v>
      </c>
      <c r="H55" s="219"/>
      <c r="I55" s="183"/>
      <c r="J55" s="221"/>
      <c r="K55" s="228"/>
      <c r="L55" s="229"/>
      <c r="M55" s="183"/>
      <c r="N55" s="230"/>
      <c r="O55" s="183"/>
      <c r="P55" s="163">
        <f t="shared" si="1"/>
        <v>0</v>
      </c>
      <c r="X55" s="72"/>
    </row>
    <row r="56" spans="1:24" ht="15" customHeight="1" x14ac:dyDescent="0.35">
      <c r="A56" s="226">
        <v>3103</v>
      </c>
      <c r="B56" s="190" t="s">
        <v>227</v>
      </c>
      <c r="C56" s="190" t="s">
        <v>430</v>
      </c>
      <c r="D56" s="169" t="s">
        <v>110</v>
      </c>
      <c r="E56" s="193">
        <v>41563</v>
      </c>
      <c r="F56" s="181" t="s">
        <v>9</v>
      </c>
      <c r="G56" s="227">
        <v>697</v>
      </c>
      <c r="H56" s="219"/>
      <c r="I56" s="183"/>
      <c r="J56" s="238"/>
      <c r="K56" s="239"/>
      <c r="L56" s="229"/>
      <c r="M56" s="183"/>
      <c r="N56" s="230"/>
      <c r="O56" s="183"/>
      <c r="P56" s="163">
        <f t="shared" si="1"/>
        <v>0</v>
      </c>
      <c r="X56" s="72"/>
    </row>
    <row r="57" spans="1:24" ht="15" customHeight="1" x14ac:dyDescent="0.35">
      <c r="A57" s="231">
        <v>4083</v>
      </c>
      <c r="B57" s="240" t="s">
        <v>406</v>
      </c>
      <c r="C57" s="240" t="s">
        <v>431</v>
      </c>
      <c r="D57" s="156" t="s">
        <v>110</v>
      </c>
      <c r="E57" s="153">
        <v>41269</v>
      </c>
      <c r="F57" s="180" t="s">
        <v>12</v>
      </c>
      <c r="G57" s="232">
        <v>500</v>
      </c>
      <c r="H57" s="219"/>
      <c r="I57" s="183"/>
      <c r="J57" s="221"/>
      <c r="K57" s="228"/>
      <c r="L57" s="229"/>
      <c r="M57" s="183"/>
      <c r="N57" s="230"/>
      <c r="O57" s="183"/>
      <c r="P57" s="163">
        <f t="shared" si="1"/>
        <v>0</v>
      </c>
      <c r="X57" s="72"/>
    </row>
    <row r="58" spans="1:24" ht="15" customHeight="1" x14ac:dyDescent="0.35">
      <c r="A58" s="231">
        <v>4045</v>
      </c>
      <c r="B58" s="189" t="s">
        <v>407</v>
      </c>
      <c r="C58" s="189" t="s">
        <v>432</v>
      </c>
      <c r="D58" s="156" t="s">
        <v>110</v>
      </c>
      <c r="E58" s="188">
        <v>41161</v>
      </c>
      <c r="F58" s="180" t="s">
        <v>13</v>
      </c>
      <c r="G58" s="234" t="s">
        <v>126</v>
      </c>
      <c r="H58" s="219"/>
      <c r="I58" s="183"/>
      <c r="J58" s="221"/>
      <c r="K58" s="228"/>
      <c r="L58" s="229"/>
      <c r="M58" s="183"/>
      <c r="N58" s="230"/>
      <c r="O58" s="183"/>
      <c r="P58" s="163">
        <f t="shared" si="1"/>
        <v>0</v>
      </c>
    </row>
    <row r="59" spans="1:24" ht="15" customHeight="1" x14ac:dyDescent="0.35">
      <c r="A59" s="231">
        <v>4064</v>
      </c>
      <c r="B59" s="190" t="s">
        <v>234</v>
      </c>
      <c r="C59" s="190" t="s">
        <v>235</v>
      </c>
      <c r="D59" s="169" t="s">
        <v>110</v>
      </c>
      <c r="E59" s="193">
        <v>41135</v>
      </c>
      <c r="F59" s="181" t="s">
        <v>9</v>
      </c>
      <c r="G59" s="227">
        <v>785</v>
      </c>
      <c r="H59" s="219"/>
      <c r="I59" s="183"/>
      <c r="J59" s="221"/>
      <c r="K59" s="228"/>
      <c r="L59" s="229"/>
      <c r="M59" s="183"/>
      <c r="N59" s="230"/>
      <c r="O59" s="183"/>
      <c r="P59" s="163">
        <f t="shared" si="1"/>
        <v>0</v>
      </c>
    </row>
    <row r="60" spans="1:24" ht="15" customHeight="1" x14ac:dyDescent="0.35">
      <c r="A60" s="231">
        <v>4006</v>
      </c>
      <c r="B60" s="190" t="s">
        <v>408</v>
      </c>
      <c r="C60" s="190" t="s">
        <v>433</v>
      </c>
      <c r="D60" s="169" t="s">
        <v>110</v>
      </c>
      <c r="E60" s="193">
        <v>41002</v>
      </c>
      <c r="F60" s="181" t="s">
        <v>9</v>
      </c>
      <c r="G60" s="227">
        <v>500</v>
      </c>
      <c r="H60" s="219"/>
      <c r="I60" s="183"/>
      <c r="J60" s="221"/>
      <c r="K60" s="228"/>
      <c r="L60" s="229"/>
      <c r="M60" s="183"/>
      <c r="N60" s="230"/>
      <c r="O60" s="183"/>
      <c r="P60" s="163">
        <f t="shared" si="1"/>
        <v>0</v>
      </c>
    </row>
    <row r="61" spans="1:24" ht="15" customHeight="1" x14ac:dyDescent="0.35">
      <c r="A61" s="231">
        <v>4023</v>
      </c>
      <c r="B61" s="190" t="s">
        <v>214</v>
      </c>
      <c r="C61" s="190" t="s">
        <v>230</v>
      </c>
      <c r="D61" s="169" t="s">
        <v>110</v>
      </c>
      <c r="E61" s="193">
        <v>40922</v>
      </c>
      <c r="F61" s="181" t="s">
        <v>9</v>
      </c>
      <c r="G61" s="227">
        <v>500</v>
      </c>
      <c r="H61" s="235"/>
      <c r="I61" s="183"/>
      <c r="J61" s="238"/>
      <c r="K61" s="239"/>
      <c r="L61" s="229"/>
      <c r="M61" s="183"/>
      <c r="N61" s="230"/>
      <c r="O61" s="183"/>
      <c r="P61" s="163">
        <f t="shared" si="1"/>
        <v>0</v>
      </c>
    </row>
    <row r="62" spans="1:24" ht="15" customHeight="1" x14ac:dyDescent="0.35">
      <c r="A62" s="231">
        <v>4016</v>
      </c>
      <c r="B62" s="194" t="s">
        <v>409</v>
      </c>
      <c r="C62" s="186" t="s">
        <v>123</v>
      </c>
      <c r="D62" s="156" t="s">
        <v>110</v>
      </c>
      <c r="E62" s="188">
        <v>40897</v>
      </c>
      <c r="F62" s="180" t="s">
        <v>79</v>
      </c>
      <c r="G62" s="233">
        <v>500</v>
      </c>
      <c r="H62" s="219"/>
      <c r="I62" s="183"/>
      <c r="J62" s="221"/>
      <c r="K62" s="228"/>
      <c r="L62" s="229"/>
      <c r="M62" s="183"/>
      <c r="N62" s="230"/>
      <c r="O62" s="183"/>
      <c r="P62" s="163">
        <f t="shared" si="1"/>
        <v>0</v>
      </c>
    </row>
    <row r="63" spans="1:24" ht="15" customHeight="1" x14ac:dyDescent="0.35">
      <c r="A63" s="231">
        <v>4103</v>
      </c>
      <c r="B63" s="241" t="s">
        <v>410</v>
      </c>
      <c r="C63" s="242" t="s">
        <v>851</v>
      </c>
      <c r="D63" s="156" t="s">
        <v>110</v>
      </c>
      <c r="E63" s="188">
        <v>40861</v>
      </c>
      <c r="F63" s="180" t="s">
        <v>79</v>
      </c>
      <c r="G63" s="233">
        <v>500</v>
      </c>
      <c r="H63" s="219"/>
      <c r="I63" s="183"/>
      <c r="J63" s="221"/>
      <c r="K63" s="228"/>
      <c r="L63" s="229"/>
      <c r="M63" s="183"/>
      <c r="N63" s="230"/>
      <c r="O63" s="183"/>
      <c r="P63" s="163">
        <f t="shared" si="1"/>
        <v>0</v>
      </c>
    </row>
    <row r="64" spans="1:24" ht="15" customHeight="1" x14ac:dyDescent="0.35">
      <c r="A64" s="231">
        <v>4015</v>
      </c>
      <c r="B64" s="194" t="s">
        <v>411</v>
      </c>
      <c r="C64" s="186" t="s">
        <v>855</v>
      </c>
      <c r="D64" s="156" t="s">
        <v>110</v>
      </c>
      <c r="E64" s="188">
        <v>40711</v>
      </c>
      <c r="F64" s="180" t="s">
        <v>79</v>
      </c>
      <c r="G64" s="233">
        <v>500</v>
      </c>
      <c r="H64" s="219"/>
      <c r="I64" s="183"/>
      <c r="J64" s="221"/>
      <c r="K64" s="228"/>
      <c r="L64" s="229"/>
      <c r="M64" s="183"/>
      <c r="N64" s="230"/>
      <c r="O64" s="183"/>
      <c r="P64" s="163">
        <f t="shared" si="1"/>
        <v>0</v>
      </c>
    </row>
    <row r="65" spans="1:26" ht="15" customHeight="1" x14ac:dyDescent="0.35">
      <c r="A65" s="231">
        <v>4092</v>
      </c>
      <c r="B65" s="178" t="s">
        <v>412</v>
      </c>
      <c r="C65" s="178" t="s">
        <v>414</v>
      </c>
      <c r="D65" s="169" t="s">
        <v>110</v>
      </c>
      <c r="E65" s="184">
        <v>40185</v>
      </c>
      <c r="F65" s="180" t="s">
        <v>77</v>
      </c>
      <c r="G65" s="227">
        <v>500</v>
      </c>
      <c r="H65" s="219"/>
      <c r="I65" s="183"/>
      <c r="J65" s="221"/>
      <c r="K65" s="228"/>
      <c r="L65" s="229"/>
      <c r="M65" s="183"/>
      <c r="N65" s="230"/>
      <c r="O65" s="183"/>
      <c r="P65" s="163">
        <f t="shared" si="1"/>
        <v>0</v>
      </c>
    </row>
    <row r="66" spans="1:26" ht="15" customHeight="1" x14ac:dyDescent="0.35">
      <c r="A66" s="231">
        <v>4056</v>
      </c>
      <c r="B66" s="190" t="s">
        <v>338</v>
      </c>
      <c r="C66" s="190" t="s">
        <v>418</v>
      </c>
      <c r="D66" s="169" t="s">
        <v>110</v>
      </c>
      <c r="E66" s="193">
        <v>39874</v>
      </c>
      <c r="F66" s="181" t="s">
        <v>9</v>
      </c>
      <c r="G66" s="227">
        <v>500</v>
      </c>
      <c r="H66" s="219"/>
      <c r="I66" s="183"/>
      <c r="J66" s="221"/>
      <c r="K66" s="228"/>
      <c r="L66" s="229"/>
      <c r="M66" s="183"/>
      <c r="N66" s="230"/>
      <c r="O66" s="183"/>
      <c r="P66" s="163">
        <f t="shared" si="1"/>
        <v>0</v>
      </c>
    </row>
    <row r="67" spans="1:26" ht="15" customHeight="1" x14ac:dyDescent="0.35">
      <c r="A67" s="625">
        <v>3142</v>
      </c>
      <c r="B67" s="177" t="s">
        <v>864</v>
      </c>
      <c r="C67" s="547" t="s">
        <v>865</v>
      </c>
      <c r="D67" s="156" t="s">
        <v>110</v>
      </c>
      <c r="E67" s="195">
        <v>41275</v>
      </c>
      <c r="F67" s="180" t="s">
        <v>13</v>
      </c>
      <c r="G67" s="628"/>
      <c r="H67" s="235"/>
      <c r="I67" s="183"/>
      <c r="J67" s="235"/>
      <c r="K67" s="183"/>
      <c r="L67" s="621" t="s">
        <v>273</v>
      </c>
      <c r="M67" s="183"/>
      <c r="N67" s="182"/>
      <c r="O67" s="220"/>
      <c r="P67" s="276">
        <v>0</v>
      </c>
      <c r="Z67" s="72"/>
    </row>
    <row r="68" spans="1:26" ht="15" customHeight="1" x14ac:dyDescent="0.35">
      <c r="A68" s="618"/>
      <c r="B68" s="190"/>
      <c r="C68" s="190"/>
      <c r="D68" s="243"/>
      <c r="E68" s="195"/>
      <c r="F68" s="246"/>
      <c r="G68" s="245"/>
      <c r="H68" s="247"/>
      <c r="I68" s="183"/>
      <c r="J68" s="230"/>
      <c r="K68" s="183"/>
      <c r="L68" s="229"/>
      <c r="M68" s="183"/>
      <c r="N68" s="230"/>
      <c r="O68" s="183"/>
      <c r="P68" s="163">
        <f t="shared" si="1"/>
        <v>0</v>
      </c>
    </row>
    <row r="69" spans="1:26" ht="15" customHeight="1" x14ac:dyDescent="0.35">
      <c r="A69" s="618"/>
      <c r="B69" s="190"/>
      <c r="C69" s="190"/>
      <c r="D69" s="243"/>
      <c r="E69" s="195"/>
      <c r="F69" s="246"/>
      <c r="G69" s="245"/>
      <c r="H69" s="247"/>
      <c r="I69" s="248"/>
      <c r="J69" s="249"/>
      <c r="K69" s="248"/>
      <c r="L69" s="250"/>
      <c r="M69" s="248"/>
      <c r="N69" s="249"/>
      <c r="O69" s="248"/>
      <c r="P69" s="163">
        <f t="shared" si="1"/>
        <v>0</v>
      </c>
    </row>
    <row r="70" spans="1:26" ht="15" customHeight="1" x14ac:dyDescent="0.35">
      <c r="A70" s="618"/>
      <c r="B70" s="190"/>
      <c r="C70" s="190"/>
      <c r="D70" s="243"/>
      <c r="E70" s="195"/>
      <c r="F70" s="246"/>
      <c r="G70" s="245"/>
      <c r="H70" s="247"/>
      <c r="I70" s="183"/>
      <c r="J70" s="230"/>
      <c r="K70" s="183"/>
      <c r="L70" s="229"/>
      <c r="M70" s="183"/>
      <c r="N70" s="230"/>
      <c r="O70" s="183"/>
      <c r="P70" s="163">
        <f t="shared" si="1"/>
        <v>0</v>
      </c>
    </row>
    <row r="71" spans="1:26" ht="15" customHeight="1" x14ac:dyDescent="0.35">
      <c r="A71" s="618"/>
      <c r="B71" s="190"/>
      <c r="C71" s="190"/>
      <c r="D71" s="243"/>
      <c r="E71" s="193"/>
      <c r="F71" s="246"/>
      <c r="G71" s="245"/>
      <c r="H71" s="247"/>
      <c r="I71" s="183"/>
      <c r="J71" s="230"/>
      <c r="K71" s="183"/>
      <c r="L71" s="229"/>
      <c r="M71" s="183"/>
      <c r="N71" s="230"/>
      <c r="O71" s="183"/>
      <c r="P71" s="163">
        <f t="shared" ref="P71:P73" si="2">SUM(I71:O71)</f>
        <v>0</v>
      </c>
    </row>
    <row r="72" spans="1:26" ht="15" customHeight="1" x14ac:dyDescent="0.35">
      <c r="A72" s="618"/>
      <c r="B72" s="190"/>
      <c r="C72" s="190"/>
      <c r="D72" s="243"/>
      <c r="E72" s="193"/>
      <c r="F72" s="246"/>
      <c r="G72" s="245"/>
      <c r="H72" s="247"/>
      <c r="I72" s="183"/>
      <c r="J72" s="230"/>
      <c r="K72" s="183"/>
      <c r="L72" s="229"/>
      <c r="M72" s="183"/>
      <c r="N72" s="230"/>
      <c r="O72" s="183"/>
      <c r="P72" s="163">
        <f t="shared" si="2"/>
        <v>0</v>
      </c>
    </row>
    <row r="73" spans="1:26" ht="15" customHeight="1" x14ac:dyDescent="0.35">
      <c r="A73" s="618"/>
      <c r="B73" s="190"/>
      <c r="C73" s="190"/>
      <c r="D73" s="243"/>
      <c r="E73" s="193"/>
      <c r="F73" s="246"/>
      <c r="G73" s="245"/>
      <c r="H73" s="247"/>
      <c r="I73" s="183"/>
      <c r="J73" s="230"/>
      <c r="K73" s="183"/>
      <c r="L73" s="229"/>
      <c r="M73" s="183"/>
      <c r="N73" s="230"/>
      <c r="O73" s="183"/>
      <c r="P73" s="163">
        <f t="shared" si="2"/>
        <v>0</v>
      </c>
    </row>
    <row r="74" spans="1:26" ht="15" customHeight="1" x14ac:dyDescent="0.35">
      <c r="A74" s="618"/>
      <c r="B74" s="190"/>
      <c r="C74" s="190"/>
      <c r="D74" s="180"/>
      <c r="E74" s="195"/>
      <c r="F74" s="169" t="s">
        <v>11</v>
      </c>
      <c r="G74" s="233"/>
      <c r="H74" s="219"/>
      <c r="I74" s="183"/>
      <c r="J74" s="182"/>
      <c r="K74" s="183"/>
      <c r="L74" s="229"/>
      <c r="M74" s="183"/>
      <c r="N74" s="230"/>
      <c r="O74" s="183"/>
      <c r="P74" s="163">
        <f t="shared" ref="P74:P84" si="3">SUM(I74:O74)</f>
        <v>0</v>
      </c>
    </row>
    <row r="75" spans="1:26" ht="15" customHeight="1" x14ac:dyDescent="0.35">
      <c r="A75" s="618"/>
      <c r="B75" s="190"/>
      <c r="C75" s="190"/>
      <c r="D75" s="243"/>
      <c r="E75" s="195"/>
      <c r="F75" s="244" t="s">
        <v>9</v>
      </c>
      <c r="G75" s="245"/>
      <c r="H75" s="219"/>
      <c r="I75" s="183"/>
      <c r="J75" s="182"/>
      <c r="K75" s="183"/>
      <c r="L75" s="229"/>
      <c r="M75" s="183"/>
      <c r="N75" s="230"/>
      <c r="O75" s="183"/>
      <c r="P75" s="163">
        <f t="shared" si="3"/>
        <v>0</v>
      </c>
    </row>
    <row r="76" spans="1:26" ht="15" customHeight="1" x14ac:dyDescent="0.35">
      <c r="A76" s="618"/>
      <c r="B76" s="190"/>
      <c r="C76" s="190"/>
      <c r="D76" s="243"/>
      <c r="E76" s="195"/>
      <c r="F76" s="244" t="s">
        <v>65</v>
      </c>
      <c r="G76" s="245"/>
      <c r="H76" s="219"/>
      <c r="I76" s="183"/>
      <c r="J76" s="182"/>
      <c r="K76" s="183"/>
      <c r="L76" s="229"/>
      <c r="M76" s="183"/>
      <c r="N76" s="230"/>
      <c r="O76" s="183"/>
      <c r="P76" s="163">
        <f t="shared" si="3"/>
        <v>0</v>
      </c>
      <c r="X76" s="72"/>
    </row>
    <row r="77" spans="1:26" ht="15" customHeight="1" x14ac:dyDescent="0.35">
      <c r="A77" s="618"/>
      <c r="B77" s="190"/>
      <c r="C77" s="190"/>
      <c r="D77" s="243"/>
      <c r="E77" s="195"/>
      <c r="F77" s="244" t="s">
        <v>79</v>
      </c>
      <c r="G77" s="245"/>
      <c r="H77" s="219"/>
      <c r="I77" s="183"/>
      <c r="J77" s="182"/>
      <c r="K77" s="183"/>
      <c r="L77" s="229"/>
      <c r="M77" s="183"/>
      <c r="N77" s="230"/>
      <c r="O77" s="183"/>
      <c r="P77" s="163">
        <f t="shared" si="3"/>
        <v>0</v>
      </c>
      <c r="X77" s="72"/>
    </row>
    <row r="78" spans="1:26" ht="15" customHeight="1" x14ac:dyDescent="0.35">
      <c r="A78" s="618"/>
      <c r="B78" s="190"/>
      <c r="C78" s="190"/>
      <c r="D78" s="243"/>
      <c r="E78" s="195"/>
      <c r="F78" s="244" t="s">
        <v>13</v>
      </c>
      <c r="G78" s="245"/>
      <c r="H78" s="219"/>
      <c r="I78" s="183"/>
      <c r="J78" s="182"/>
      <c r="K78" s="183"/>
      <c r="L78" s="229"/>
      <c r="M78" s="183"/>
      <c r="N78" s="230"/>
      <c r="O78" s="183"/>
      <c r="P78" s="163">
        <f t="shared" si="3"/>
        <v>0</v>
      </c>
    </row>
    <row r="79" spans="1:26" ht="15" customHeight="1" x14ac:dyDescent="0.35">
      <c r="A79" s="618"/>
      <c r="B79" s="190"/>
      <c r="C79" s="190"/>
      <c r="D79" s="243"/>
      <c r="E79" s="195"/>
      <c r="F79" s="244" t="s">
        <v>37</v>
      </c>
      <c r="G79" s="245"/>
      <c r="H79" s="219"/>
      <c r="I79" s="183"/>
      <c r="J79" s="182"/>
      <c r="K79" s="183"/>
      <c r="L79" s="229"/>
      <c r="M79" s="183"/>
      <c r="N79" s="230"/>
      <c r="O79" s="183"/>
      <c r="P79" s="163">
        <f t="shared" si="3"/>
        <v>0</v>
      </c>
      <c r="X79" s="72"/>
    </row>
    <row r="80" spans="1:26" ht="15" customHeight="1" x14ac:dyDescent="0.35">
      <c r="A80" s="618"/>
      <c r="B80" s="190"/>
      <c r="C80" s="190"/>
      <c r="D80" s="243"/>
      <c r="E80" s="195"/>
      <c r="F80" s="244" t="s">
        <v>12</v>
      </c>
      <c r="G80" s="245"/>
      <c r="H80" s="219"/>
      <c r="I80" s="183"/>
      <c r="J80" s="182"/>
      <c r="K80" s="183"/>
      <c r="L80" s="229"/>
      <c r="M80" s="183"/>
      <c r="N80" s="230"/>
      <c r="O80" s="183"/>
      <c r="P80" s="163">
        <f t="shared" si="3"/>
        <v>0</v>
      </c>
    </row>
    <row r="81" spans="1:24" ht="15" customHeight="1" x14ac:dyDescent="0.35">
      <c r="A81" s="618"/>
      <c r="B81" s="190"/>
      <c r="C81" s="190"/>
      <c r="D81" s="243"/>
      <c r="E81" s="195"/>
      <c r="F81" s="244" t="s">
        <v>294</v>
      </c>
      <c r="G81" s="245"/>
      <c r="H81" s="219"/>
      <c r="I81" s="183"/>
      <c r="J81" s="182"/>
      <c r="K81" s="183"/>
      <c r="L81" s="229"/>
      <c r="M81" s="183"/>
      <c r="N81" s="230"/>
      <c r="O81" s="183"/>
      <c r="P81" s="163">
        <f t="shared" si="3"/>
        <v>0</v>
      </c>
    </row>
    <row r="82" spans="1:24" ht="15" customHeight="1" x14ac:dyDescent="0.35">
      <c r="A82" s="618"/>
      <c r="B82" s="190"/>
      <c r="C82" s="190"/>
      <c r="D82" s="243"/>
      <c r="E82" s="195"/>
      <c r="F82" s="244" t="s">
        <v>66</v>
      </c>
      <c r="G82" s="245"/>
      <c r="H82" s="219"/>
      <c r="I82" s="183"/>
      <c r="J82" s="182"/>
      <c r="K82" s="183"/>
      <c r="L82" s="229"/>
      <c r="M82" s="183"/>
      <c r="N82" s="230"/>
      <c r="O82" s="183"/>
      <c r="P82" s="163">
        <f t="shared" si="3"/>
        <v>0</v>
      </c>
    </row>
    <row r="83" spans="1:24" ht="15" customHeight="1" x14ac:dyDescent="0.35">
      <c r="A83" s="618"/>
      <c r="B83" s="190"/>
      <c r="C83" s="190"/>
      <c r="D83" s="243"/>
      <c r="E83" s="195"/>
      <c r="F83" s="244" t="s">
        <v>10</v>
      </c>
      <c r="G83" s="245"/>
      <c r="H83" s="219"/>
      <c r="I83" s="183"/>
      <c r="J83" s="182"/>
      <c r="K83" s="183"/>
      <c r="L83" s="229"/>
      <c r="M83" s="183"/>
      <c r="N83" s="230"/>
      <c r="O83" s="183"/>
      <c r="P83" s="163">
        <f t="shared" si="3"/>
        <v>0</v>
      </c>
      <c r="X83" s="72"/>
    </row>
    <row r="84" spans="1:24" ht="15" customHeight="1" x14ac:dyDescent="0.35">
      <c r="A84" s="618"/>
      <c r="B84" s="190"/>
      <c r="C84" s="190"/>
      <c r="D84" s="243"/>
      <c r="E84" s="195"/>
      <c r="F84" s="244" t="s">
        <v>77</v>
      </c>
      <c r="G84" s="245"/>
      <c r="H84" s="219"/>
      <c r="I84" s="183"/>
      <c r="J84" s="182"/>
      <c r="K84" s="183"/>
      <c r="L84" s="229"/>
      <c r="M84" s="183"/>
      <c r="N84" s="230"/>
      <c r="O84" s="183"/>
      <c r="P84" s="163">
        <f t="shared" si="3"/>
        <v>0</v>
      </c>
    </row>
    <row r="85" spans="1:24" ht="15" customHeight="1" thickBot="1" x14ac:dyDescent="0.4">
      <c r="A85" s="251"/>
      <c r="B85" s="252"/>
      <c r="C85" s="252"/>
      <c r="D85" s="253"/>
      <c r="E85" s="254"/>
      <c r="F85" s="255"/>
      <c r="G85" s="256"/>
      <c r="H85" s="257"/>
      <c r="I85" s="258"/>
      <c r="J85" s="259"/>
      <c r="K85" s="258"/>
      <c r="L85" s="260"/>
      <c r="M85" s="258"/>
      <c r="N85" s="259"/>
      <c r="O85" s="258"/>
      <c r="P85" s="261">
        <f>SUM(I57:O57)</f>
        <v>0</v>
      </c>
    </row>
    <row r="86" spans="1:24" ht="15" customHeight="1" x14ac:dyDescent="0.35">
      <c r="A86" s="262"/>
      <c r="B86" s="262"/>
      <c r="C86" s="262"/>
      <c r="D86" s="262"/>
      <c r="E86" s="262"/>
      <c r="F86" s="263"/>
      <c r="G86" s="264" t="s">
        <v>30</v>
      </c>
      <c r="H86" s="265">
        <f>COUNTA(H8:H85)</f>
        <v>9</v>
      </c>
      <c r="I86" s="266"/>
      <c r="J86" s="247">
        <f>COUNTA(J8:J85)</f>
        <v>7</v>
      </c>
      <c r="K86" s="266"/>
      <c r="L86" s="265">
        <f>COUNTA(L8:L85)</f>
        <v>10</v>
      </c>
      <c r="M86" s="266"/>
      <c r="N86" s="247">
        <f>COUNTA(N8:N85)</f>
        <v>0</v>
      </c>
      <c r="O86" s="266"/>
      <c r="P86" s="247">
        <f>COUNTIF(P8:P85,"&gt;0")</f>
        <v>11</v>
      </c>
    </row>
    <row r="87" spans="1:24" ht="15" customHeight="1" x14ac:dyDescent="0.35">
      <c r="L87" s="76"/>
      <c r="M87" s="42"/>
      <c r="N87" s="76"/>
      <c r="O87" s="42"/>
    </row>
    <row r="88" spans="1:24" ht="15" customHeight="1" x14ac:dyDescent="0.35">
      <c r="O88" s="42"/>
      <c r="P88"/>
    </row>
    <row r="89" spans="1:24" ht="15" customHeight="1" x14ac:dyDescent="0.35">
      <c r="O89" s="42"/>
      <c r="P89"/>
    </row>
    <row r="90" spans="1:24" ht="15" customHeight="1" x14ac:dyDescent="0.35">
      <c r="O90" s="42"/>
      <c r="P90"/>
    </row>
    <row r="91" spans="1:24" ht="15" customHeight="1" x14ac:dyDescent="0.35">
      <c r="O91" s="42"/>
      <c r="P91"/>
    </row>
    <row r="92" spans="1:24" ht="15" customHeight="1" x14ac:dyDescent="0.35">
      <c r="O92" s="42"/>
      <c r="P92"/>
    </row>
    <row r="93" spans="1:24" ht="15" customHeight="1" x14ac:dyDescent="0.35">
      <c r="O93" s="42"/>
      <c r="P93"/>
    </row>
    <row r="94" spans="1:24" ht="15" customHeight="1" x14ac:dyDescent="0.35">
      <c r="O94" s="42"/>
      <c r="P94"/>
    </row>
    <row r="95" spans="1:24" ht="15" customHeight="1" x14ac:dyDescent="0.35">
      <c r="O95" s="42"/>
      <c r="P95"/>
    </row>
    <row r="96" spans="1:24" ht="15" customHeight="1" x14ac:dyDescent="0.35">
      <c r="O96" s="42"/>
      <c r="P96"/>
    </row>
    <row r="97" spans="15:16" ht="15" customHeight="1" x14ac:dyDescent="0.35">
      <c r="O97" s="42"/>
      <c r="P97"/>
    </row>
    <row r="98" spans="15:16" ht="15" customHeight="1" x14ac:dyDescent="0.35">
      <c r="O98" s="42"/>
      <c r="P98"/>
    </row>
    <row r="99" spans="15:16" ht="15" customHeight="1" x14ac:dyDescent="0.35">
      <c r="O99" s="42"/>
      <c r="P99"/>
    </row>
    <row r="100" spans="15:16" ht="15" customHeight="1" x14ac:dyDescent="0.35">
      <c r="O100" s="42"/>
      <c r="P100"/>
    </row>
    <row r="101" spans="15:16" ht="15" customHeight="1" x14ac:dyDescent="0.35">
      <c r="O101" s="42"/>
      <c r="P101"/>
    </row>
    <row r="102" spans="15:16" ht="15" customHeight="1" x14ac:dyDescent="0.35">
      <c r="O102" s="42"/>
      <c r="P102"/>
    </row>
    <row r="103" spans="15:16" ht="15" customHeight="1" x14ac:dyDescent="0.35">
      <c r="O103" s="42"/>
      <c r="P103"/>
    </row>
    <row r="104" spans="15:16" ht="15" customHeight="1" x14ac:dyDescent="0.35">
      <c r="O104" s="42"/>
      <c r="P104"/>
    </row>
    <row r="105" spans="15:16" ht="15" customHeight="1" x14ac:dyDescent="0.35">
      <c r="O105" s="42"/>
      <c r="P105"/>
    </row>
    <row r="106" spans="15:16" ht="15" customHeight="1" x14ac:dyDescent="0.25">
      <c r="O106"/>
      <c r="P106"/>
    </row>
    <row r="107" spans="15:16" ht="15" customHeight="1" x14ac:dyDescent="0.25"/>
    <row r="108" spans="15:16" ht="15" customHeight="1" x14ac:dyDescent="0.25"/>
    <row r="109" spans="15:16" ht="15" customHeight="1" x14ac:dyDescent="0.25"/>
    <row r="110" spans="15:16" ht="15" customHeight="1" x14ac:dyDescent="0.25"/>
    <row r="111" spans="15:16" ht="15" customHeight="1" x14ac:dyDescent="0.25"/>
    <row r="112" spans="15:16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</sheetData>
  <autoFilter ref="A7:P86" xr:uid="{00000000-0009-0000-0000-000004000000}">
    <sortState xmlns:xlrd2="http://schemas.microsoft.com/office/spreadsheetml/2017/richdata2" ref="A8:P59">
      <sortCondition ref="F7:F59"/>
    </sortState>
  </autoFilter>
  <sortState xmlns:xlrd2="http://schemas.microsoft.com/office/spreadsheetml/2017/richdata2" ref="A8:P84">
    <sortCondition descending="1" ref="P8:P84"/>
    <sortCondition descending="1" ref="E8:E84"/>
  </sortState>
  <mergeCells count="9">
    <mergeCell ref="B3:E3"/>
    <mergeCell ref="H5:I5"/>
    <mergeCell ref="J5:K5"/>
    <mergeCell ref="L5:M5"/>
    <mergeCell ref="N5:O5"/>
    <mergeCell ref="H4:I4"/>
    <mergeCell ref="J4:K4"/>
    <mergeCell ref="L4:M4"/>
    <mergeCell ref="N4:O4"/>
  </mergeCells>
  <phoneticPr fontId="0" type="noConversion"/>
  <conditionalFormatting sqref="A9:A17">
    <cfRule type="duplicateValues" dxfId="152" priority="71"/>
  </conditionalFormatting>
  <conditionalFormatting sqref="A9:A33">
    <cfRule type="duplicateValues" dxfId="151" priority="72"/>
  </conditionalFormatting>
  <conditionalFormatting sqref="A18:A52">
    <cfRule type="duplicateValues" dxfId="150" priority="70"/>
  </conditionalFormatting>
  <conditionalFormatting sqref="A34:A43">
    <cfRule type="duplicateValues" dxfId="149" priority="69"/>
  </conditionalFormatting>
  <conditionalFormatting sqref="A53:A64 A66 A68:A85">
    <cfRule type="duplicateValues" dxfId="148" priority="68"/>
  </conditionalFormatting>
  <conditionalFormatting sqref="A65">
    <cfRule type="duplicateValues" dxfId="147" priority="16"/>
    <cfRule type="duplicateValues" dxfId="146" priority="17"/>
  </conditionalFormatting>
  <conditionalFormatting sqref="B9:B43">
    <cfRule type="duplicateValues" dxfId="145" priority="65"/>
  </conditionalFormatting>
  <conditionalFormatting sqref="B10:B12">
    <cfRule type="expression" dxfId="144" priority="66">
      <formula>#REF!=$E$5</formula>
    </cfRule>
  </conditionalFormatting>
  <conditionalFormatting sqref="B68:B70 C68:D73 B75:D84">
    <cfRule type="expression" dxfId="143" priority="31" stopIfTrue="1">
      <formula>#REF!=$E$5</formula>
    </cfRule>
  </conditionalFormatting>
  <conditionalFormatting sqref="B10:C12 D9:D66 D74 D85 F8:F52 G9:G12 H9:K66 H74:K74">
    <cfRule type="expression" dxfId="142" priority="67">
      <formula>$F8=$E$5</formula>
    </cfRule>
  </conditionalFormatting>
  <conditionalFormatting sqref="C10:C12">
    <cfRule type="expression" dxfId="141" priority="63">
      <formula>#REF!=$E$5</formula>
    </cfRule>
  </conditionalFormatting>
  <conditionalFormatting sqref="C68:D73 B68:B70 B75:D84 F68:G73 F75:G84 G85">
    <cfRule type="expression" dxfId="140" priority="76" stopIfTrue="1">
      <formula>$F68=$E$5</formula>
    </cfRule>
  </conditionalFormatting>
  <conditionalFormatting sqref="D9">
    <cfRule type="cellIs" dxfId="139" priority="47" operator="equal">
      <formula>"F"</formula>
    </cfRule>
    <cfRule type="expression" dxfId="138" priority="48">
      <formula>#REF!=$E$5</formula>
    </cfRule>
    <cfRule type="expression" dxfId="137" priority="49">
      <formula>$F9=$E$5</formula>
    </cfRule>
  </conditionalFormatting>
  <conditionalFormatting sqref="D9:D26">
    <cfRule type="expression" dxfId="136" priority="60">
      <formula>#REF!=$E$5</formula>
    </cfRule>
  </conditionalFormatting>
  <conditionalFormatting sqref="D9:D29">
    <cfRule type="cellIs" dxfId="135" priority="57" operator="equal">
      <formula>"F"</formula>
    </cfRule>
  </conditionalFormatting>
  <conditionalFormatting sqref="D18:D52">
    <cfRule type="expression" dxfId="134" priority="51">
      <formula>#REF!=$E$5</formula>
    </cfRule>
    <cfRule type="cellIs" dxfId="133" priority="50" operator="equal">
      <formula>"F"</formula>
    </cfRule>
  </conditionalFormatting>
  <conditionalFormatting sqref="D27 F27">
    <cfRule type="expression" dxfId="132" priority="61">
      <formula>$F33=$E$4</formula>
    </cfRule>
  </conditionalFormatting>
  <conditionalFormatting sqref="D27:D28">
    <cfRule type="expression" dxfId="131" priority="56">
      <formula>#REF!=$E$4</formula>
    </cfRule>
    <cfRule type="expression" dxfId="130" priority="55">
      <formula>$F27=$E$5</formula>
    </cfRule>
    <cfRule type="expression" dxfId="129" priority="54">
      <formula>#REF!=$E$5</formula>
    </cfRule>
    <cfRule type="cellIs" dxfId="128" priority="53" operator="equal">
      <formula>"F"</formula>
    </cfRule>
  </conditionalFormatting>
  <conditionalFormatting sqref="D28 F28">
    <cfRule type="expression" dxfId="127" priority="62">
      <formula>$F33=$E$4</formula>
    </cfRule>
  </conditionalFormatting>
  <conditionalFormatting sqref="D29">
    <cfRule type="expression" dxfId="126" priority="58">
      <formula>#REF!=$E$5</formula>
    </cfRule>
  </conditionalFormatting>
  <conditionalFormatting sqref="D30:D66 D85 D68:D74">
    <cfRule type="expression" dxfId="125" priority="45">
      <formula>#REF!=$E$5</formula>
    </cfRule>
  </conditionalFormatting>
  <conditionalFormatting sqref="D45:D66 D85 D68:D74">
    <cfRule type="cellIs" dxfId="124" priority="44" operator="equal">
      <formula>"F"</formula>
    </cfRule>
  </conditionalFormatting>
  <conditionalFormatting sqref="G18">
    <cfRule type="cellIs" dxfId="123" priority="36" operator="equal">
      <formula>"LV"</formula>
    </cfRule>
  </conditionalFormatting>
  <conditionalFormatting sqref="G18:G29 G44:G52">
    <cfRule type="cellIs" dxfId="122" priority="39" operator="equal">
      <formula>"NL"</formula>
    </cfRule>
  </conditionalFormatting>
  <conditionalFormatting sqref="G19:G29 G45:G52">
    <cfRule type="cellIs" dxfId="121" priority="37" operator="equal">
      <formula>"LL"</formula>
    </cfRule>
  </conditionalFormatting>
  <conditionalFormatting sqref="G44">
    <cfRule type="cellIs" dxfId="120" priority="38" operator="equal">
      <formula>"LV"</formula>
    </cfRule>
  </conditionalFormatting>
  <conditionalFormatting sqref="I68:O68">
    <cfRule type="expression" dxfId="119" priority="1164" stopIfTrue="1">
      <formula>$F57=$E$5</formula>
    </cfRule>
  </conditionalFormatting>
  <conditionalFormatting sqref="I69:O69">
    <cfRule type="expression" dxfId="118" priority="1162" stopIfTrue="1">
      <formula>$F57=$E$5</formula>
    </cfRule>
  </conditionalFormatting>
  <conditionalFormatting sqref="I70:O70">
    <cfRule type="expression" dxfId="117" priority="1160" stopIfTrue="1">
      <formula>$F57=$E$5</formula>
    </cfRule>
  </conditionalFormatting>
  <conditionalFormatting sqref="I71:O71">
    <cfRule type="expression" dxfId="116" priority="1158" stopIfTrue="1">
      <formula>$F57=$E$5</formula>
    </cfRule>
  </conditionalFormatting>
  <conditionalFormatting sqref="I72:O72">
    <cfRule type="expression" dxfId="115" priority="1156" stopIfTrue="1">
      <formula>$F57=$E$5</formula>
    </cfRule>
  </conditionalFormatting>
  <conditionalFormatting sqref="I73:O73">
    <cfRule type="expression" dxfId="114" priority="1154" stopIfTrue="1">
      <formula>$F57=$E$5</formula>
    </cfRule>
  </conditionalFormatting>
  <conditionalFormatting sqref="I85:P85 H86:P86">
    <cfRule type="expression" dxfId="113" priority="1150" stopIfTrue="1">
      <formula>$F57=$E$5</formula>
    </cfRule>
  </conditionalFormatting>
  <conditionalFormatting sqref="L58:O58">
    <cfRule type="expression" dxfId="112" priority="1184" stopIfTrue="1">
      <formula>$F57=$E$5</formula>
    </cfRule>
  </conditionalFormatting>
  <conditionalFormatting sqref="L59:O59">
    <cfRule type="expression" dxfId="111" priority="1182" stopIfTrue="1">
      <formula>$F57=$E$5</formula>
    </cfRule>
  </conditionalFormatting>
  <conditionalFormatting sqref="L60:O60">
    <cfRule type="expression" dxfId="110" priority="1180" stopIfTrue="1">
      <formula>$F57=$E$5</formula>
    </cfRule>
  </conditionalFormatting>
  <conditionalFormatting sqref="L61:O61">
    <cfRule type="expression" dxfId="109" priority="1178" stopIfTrue="1">
      <formula>$F57=$E$5</formula>
    </cfRule>
  </conditionalFormatting>
  <conditionalFormatting sqref="L62:O62">
    <cfRule type="expression" dxfId="108" priority="1176" stopIfTrue="1">
      <formula>$F57=$E$5</formula>
    </cfRule>
  </conditionalFormatting>
  <conditionalFormatting sqref="L63:O63">
    <cfRule type="expression" dxfId="107" priority="1174" stopIfTrue="1">
      <formula>$F57=$E$5</formula>
    </cfRule>
  </conditionalFormatting>
  <conditionalFormatting sqref="L64:O64">
    <cfRule type="expression" dxfId="106" priority="1172" stopIfTrue="1">
      <formula>$F57=$E$5</formula>
    </cfRule>
  </conditionalFormatting>
  <conditionalFormatting sqref="L65:O65">
    <cfRule type="expression" dxfId="105" priority="1170" stopIfTrue="1">
      <formula>$F57=$E$5</formula>
    </cfRule>
  </conditionalFormatting>
  <conditionalFormatting sqref="L66:O66 L68:O73">
    <cfRule type="expression" dxfId="104" priority="1168" stopIfTrue="1">
      <formula>$F57=$E$5</formula>
    </cfRule>
  </conditionalFormatting>
  <conditionalFormatting sqref="L74:O74">
    <cfRule type="expression" dxfId="103" priority="1166" stopIfTrue="1">
      <formula>$F57=$E$5</formula>
    </cfRule>
  </conditionalFormatting>
  <conditionalFormatting sqref="L9:P56 L57:O57 P57:P66 H68:H73 P68:P74 H75:P84 H85">
    <cfRule type="expression" dxfId="102" priority="77" stopIfTrue="1">
      <formula>$F9=$E$5</formula>
    </cfRule>
  </conditionalFormatting>
  <conditionalFormatting sqref="A67">
    <cfRule type="duplicateValues" dxfId="8" priority="3"/>
  </conditionalFormatting>
  <conditionalFormatting sqref="B67">
    <cfRule type="duplicateValues" dxfId="7" priority="2"/>
    <cfRule type="duplicateValues" dxfId="6" priority="6"/>
  </conditionalFormatting>
  <conditionalFormatting sqref="D67 H67:K67 F67">
    <cfRule type="expression" dxfId="5" priority="5">
      <formula>$F67=$E$5</formula>
    </cfRule>
  </conditionalFormatting>
  <conditionalFormatting sqref="D67">
    <cfRule type="expression" dxfId="4" priority="4">
      <formula>#REF!=$E$5</formula>
    </cfRule>
  </conditionalFormatting>
  <conditionalFormatting sqref="D67">
    <cfRule type="cellIs" dxfId="3" priority="1" operator="equal">
      <formula>"F"</formula>
    </cfRule>
  </conditionalFormatting>
  <conditionalFormatting sqref="L67:P67">
    <cfRule type="expression" dxfId="2" priority="7" stopIfTrue="1">
      <formula>$F67=$E$5</formula>
    </cfRule>
  </conditionalFormatting>
  <dataValidations count="6">
    <dataValidation type="list" showInputMessage="1" showErrorMessage="1" sqref="E5" xr:uid="{00000000-0002-0000-0400-000000000000}">
      <formula1>Liste_Clubs</formula1>
    </dataValidation>
    <dataValidation type="list" allowBlank="1" showErrorMessage="1" sqref="F68:F73" xr:uid="{226678CA-FFF5-4877-837F-E81145AE815E}">
      <formula1>"API,ASM,ASV,CAO,CC2,COS,COU,TTJ-BUC,USBY,USP,VAU"</formula1>
    </dataValidation>
    <dataValidation type="list" allowBlank="1" showErrorMessage="1" sqref="F75:F84" xr:uid="{F2BC8254-E46E-4F6D-BA57-7F653A76F90B}">
      <formula1>"API,ASM,ASV,CAO,CC2,COS,COU,JOUY,TTJ-BUC,USBY,USP,VAU"</formula1>
    </dataValidation>
    <dataValidation type="list" allowBlank="1" showInputMessage="1" showErrorMessage="1" sqref="D85 D18:D74" xr:uid="{C5A02521-8D38-4FCA-B8F6-7DDFFFC207A9}">
      <formula1>"F,M"</formula1>
      <formula2>0</formula2>
    </dataValidation>
    <dataValidation type="list" allowBlank="1" showErrorMessage="1" sqref="D9" xr:uid="{AFFC3708-A691-489F-BFF1-1C2027253623}">
      <formula1>"F,M"</formula1>
      <formula2>0</formula2>
    </dataValidation>
    <dataValidation type="list" allowBlank="1" showInputMessage="1" showErrorMessage="1" sqref="D75:D84 D68:D73" xr:uid="{00000000-0002-0000-0400-000001000000}">
      <formula1>"F,M"</formula1>
    </dataValidation>
  </dataValidations>
  <pageMargins left="0.7" right="0.39370078740157483" top="0.66" bottom="0.78740157480314965" header="0.51181102362204722" footer="0.51181102362204722"/>
  <pageSetup paperSize="9" scale="66" orientation="portrait" horizontalDpi="300" verticalDpi="300" r:id="rId1"/>
  <headerFooter alignWithMargins="0">
    <oddHeader>&amp;C&amp;"Arial,Gras italique"Page &amp;P</oddHeader>
    <oddFooter>&amp;C&amp;"Arial,Gras"le &amp;D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7">
    <pageSetUpPr fitToPage="1"/>
  </sheetPr>
  <dimension ref="A1:U75"/>
  <sheetViews>
    <sheetView topLeftCell="A62" zoomScaleNormal="100" workbookViewId="0">
      <selection activeCell="U58" sqref="U58"/>
    </sheetView>
  </sheetViews>
  <sheetFormatPr baseColWidth="10" defaultRowHeight="12.5" x14ac:dyDescent="0.25"/>
  <cols>
    <col min="1" max="1" width="12.36328125" bestFit="1" customWidth="1"/>
    <col min="2" max="5" width="7.36328125" bestFit="1" customWidth="1"/>
    <col min="6" max="8" width="12.36328125" bestFit="1" customWidth="1"/>
    <col min="9" max="12" width="7.36328125" bestFit="1" customWidth="1"/>
    <col min="13" max="15" width="12.36328125" bestFit="1" customWidth="1"/>
    <col min="16" max="16" width="7.36328125" style="1" bestFit="1" customWidth="1"/>
    <col min="17" max="19" width="7.36328125" bestFit="1" customWidth="1"/>
    <col min="20" max="20" width="12.36328125" style="1" bestFit="1" customWidth="1"/>
    <col min="21" max="21" width="12.36328125" bestFit="1" customWidth="1"/>
    <col min="22" max="22" width="8.81640625" customWidth="1"/>
    <col min="23" max="23" width="17.6328125" customWidth="1"/>
    <col min="24" max="24" width="14" customWidth="1"/>
    <col min="25" max="25" width="23" bestFit="1" customWidth="1"/>
  </cols>
  <sheetData>
    <row r="1" spans="1:21" ht="18" x14ac:dyDescent="0.4">
      <c r="A1" s="637" t="str">
        <f>Poussins!B1</f>
        <v>TOURNOI DE LA VALLEE DE CHEVREUSE 2025-2026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</row>
    <row r="2" spans="1:21" s="18" customFormat="1" ht="57" customHeight="1" x14ac:dyDescent="0.25">
      <c r="A2" s="67" t="s">
        <v>38</v>
      </c>
      <c r="B2" s="66"/>
      <c r="O2"/>
      <c r="P2" s="1"/>
      <c r="Q2"/>
      <c r="R2"/>
      <c r="S2"/>
      <c r="T2" s="1"/>
      <c r="U2"/>
    </row>
    <row r="3" spans="1:21" ht="13" x14ac:dyDescent="0.3">
      <c r="C3" s="38" t="s">
        <v>20</v>
      </c>
      <c r="J3" s="38" t="s">
        <v>21</v>
      </c>
      <c r="P3" s="43" t="s">
        <v>100</v>
      </c>
    </row>
    <row r="4" spans="1:21" ht="13" thickBot="1" x14ac:dyDescent="0.3"/>
    <row r="5" spans="1:21" ht="13.5" thickBot="1" x14ac:dyDescent="0.35">
      <c r="A5" s="38" t="s">
        <v>31</v>
      </c>
      <c r="B5" s="38" t="s">
        <v>40</v>
      </c>
      <c r="C5" s="38"/>
      <c r="D5" s="38"/>
      <c r="E5" s="38"/>
      <c r="F5" s="38"/>
      <c r="H5" s="38" t="s">
        <v>31</v>
      </c>
      <c r="I5" s="38" t="s">
        <v>40</v>
      </c>
      <c r="J5" s="38"/>
      <c r="K5" s="38"/>
      <c r="L5" s="38"/>
      <c r="M5" s="38"/>
      <c r="O5" s="96" t="s">
        <v>100</v>
      </c>
      <c r="P5" s="103" t="s">
        <v>104</v>
      </c>
      <c r="Q5" s="98"/>
      <c r="R5" s="98"/>
      <c r="S5" s="98"/>
      <c r="T5" s="104"/>
    </row>
    <row r="6" spans="1:21" ht="13.5" thickBot="1" x14ac:dyDescent="0.35">
      <c r="A6" s="151" t="s">
        <v>7</v>
      </c>
      <c r="B6" s="135" t="s">
        <v>32</v>
      </c>
      <c r="C6" s="135" t="s">
        <v>33</v>
      </c>
      <c r="D6" s="135" t="s">
        <v>34</v>
      </c>
      <c r="E6" s="135" t="s">
        <v>35</v>
      </c>
      <c r="F6" s="109" t="s">
        <v>71</v>
      </c>
      <c r="H6" s="151" t="s">
        <v>7</v>
      </c>
      <c r="I6" s="135" t="s">
        <v>32</v>
      </c>
      <c r="J6" s="135" t="s">
        <v>33</v>
      </c>
      <c r="K6" s="135" t="s">
        <v>34</v>
      </c>
      <c r="L6" s="135" t="s">
        <v>35</v>
      </c>
      <c r="M6" s="41" t="s">
        <v>71</v>
      </c>
      <c r="O6" s="92" t="s">
        <v>7</v>
      </c>
      <c r="P6" s="15" t="s">
        <v>32</v>
      </c>
      <c r="Q6" s="12" t="s">
        <v>33</v>
      </c>
      <c r="R6" s="12" t="s">
        <v>34</v>
      </c>
      <c r="S6" s="12" t="s">
        <v>35</v>
      </c>
      <c r="T6" s="89" t="s">
        <v>71</v>
      </c>
    </row>
    <row r="7" spans="1:21" x14ac:dyDescent="0.25">
      <c r="A7" s="87" t="s">
        <v>9</v>
      </c>
      <c r="B7" s="124">
        <v>160</v>
      </c>
      <c r="C7" s="73">
        <v>113</v>
      </c>
      <c r="D7" s="73"/>
      <c r="E7" s="73"/>
      <c r="F7" s="128">
        <v>273</v>
      </c>
      <c r="H7" s="87" t="s">
        <v>9</v>
      </c>
      <c r="I7" s="124">
        <v>49</v>
      </c>
      <c r="J7" s="73">
        <v>57</v>
      </c>
      <c r="K7" s="73"/>
      <c r="L7" s="73"/>
      <c r="M7" s="128">
        <v>106</v>
      </c>
      <c r="O7" s="99" t="s">
        <v>9</v>
      </c>
      <c r="P7" s="1">
        <v>40</v>
      </c>
      <c r="Q7">
        <v>17</v>
      </c>
      <c r="T7" s="129">
        <v>57</v>
      </c>
    </row>
    <row r="8" spans="1:21" x14ac:dyDescent="0.25">
      <c r="A8" s="88" t="s">
        <v>11</v>
      </c>
      <c r="B8" s="37"/>
      <c r="C8" s="1"/>
      <c r="D8" s="1"/>
      <c r="E8" s="1"/>
      <c r="F8" s="129"/>
      <c r="H8" s="88" t="s">
        <v>11</v>
      </c>
      <c r="I8" s="37"/>
      <c r="J8" s="1">
        <v>2</v>
      </c>
      <c r="K8" s="1"/>
      <c r="L8" s="1"/>
      <c r="M8" s="129">
        <v>2</v>
      </c>
      <c r="O8" s="94" t="s">
        <v>11</v>
      </c>
      <c r="T8" s="129"/>
    </row>
    <row r="9" spans="1:21" x14ac:dyDescent="0.25">
      <c r="A9" s="88" t="s">
        <v>65</v>
      </c>
      <c r="B9" s="37">
        <v>29</v>
      </c>
      <c r="C9" s="1">
        <v>7</v>
      </c>
      <c r="D9" s="1"/>
      <c r="E9" s="1"/>
      <c r="F9" s="129">
        <v>36</v>
      </c>
      <c r="H9" s="88" t="s">
        <v>65</v>
      </c>
      <c r="I9" s="37">
        <v>14</v>
      </c>
      <c r="J9" s="1">
        <v>6</v>
      </c>
      <c r="K9" s="1"/>
      <c r="L9" s="1"/>
      <c r="M9" s="129">
        <v>20</v>
      </c>
      <c r="O9" s="94" t="s">
        <v>65</v>
      </c>
      <c r="P9" s="1">
        <v>16</v>
      </c>
      <c r="Q9">
        <v>8</v>
      </c>
      <c r="T9" s="129">
        <v>24</v>
      </c>
    </row>
    <row r="10" spans="1:21" x14ac:dyDescent="0.25">
      <c r="A10" s="88" t="s">
        <v>79</v>
      </c>
      <c r="B10" s="37">
        <v>24</v>
      </c>
      <c r="C10" s="1">
        <v>35</v>
      </c>
      <c r="D10" s="1"/>
      <c r="E10" s="1"/>
      <c r="F10" s="129">
        <v>59</v>
      </c>
      <c r="H10" s="88" t="s">
        <v>79</v>
      </c>
      <c r="I10" s="37">
        <v>43</v>
      </c>
      <c r="J10" s="1">
        <v>15</v>
      </c>
      <c r="K10" s="1"/>
      <c r="L10" s="1"/>
      <c r="M10" s="129">
        <v>58</v>
      </c>
      <c r="O10" s="94" t="s">
        <v>79</v>
      </c>
      <c r="P10" s="1">
        <v>9</v>
      </c>
      <c r="Q10">
        <v>9</v>
      </c>
      <c r="T10" s="129">
        <v>18</v>
      </c>
    </row>
    <row r="11" spans="1:21" x14ac:dyDescent="0.25">
      <c r="A11" s="88" t="s">
        <v>13</v>
      </c>
      <c r="B11" s="37">
        <v>68</v>
      </c>
      <c r="C11" s="1">
        <v>70</v>
      </c>
      <c r="D11" s="1"/>
      <c r="E11" s="1"/>
      <c r="F11" s="129">
        <v>138</v>
      </c>
      <c r="H11" s="88" t="s">
        <v>13</v>
      </c>
      <c r="I11" s="37">
        <v>72</v>
      </c>
      <c r="J11" s="1">
        <v>34</v>
      </c>
      <c r="K11" s="1"/>
      <c r="L11" s="1"/>
      <c r="M11" s="129">
        <v>106</v>
      </c>
      <c r="O11" s="94" t="s">
        <v>13</v>
      </c>
      <c r="P11" s="1">
        <v>3</v>
      </c>
      <c r="T11" s="129">
        <v>3</v>
      </c>
    </row>
    <row r="12" spans="1:21" x14ac:dyDescent="0.25">
      <c r="A12" s="88" t="s">
        <v>37</v>
      </c>
      <c r="B12" s="37">
        <v>8</v>
      </c>
      <c r="C12" s="1"/>
      <c r="D12" s="1"/>
      <c r="E12" s="1"/>
      <c r="F12" s="129">
        <v>8</v>
      </c>
      <c r="H12" s="88" t="s">
        <v>37</v>
      </c>
      <c r="I12" s="37">
        <v>1</v>
      </c>
      <c r="J12" s="1"/>
      <c r="K12" s="1"/>
      <c r="L12" s="1"/>
      <c r="M12" s="129">
        <v>1</v>
      </c>
      <c r="O12" s="94" t="s">
        <v>37</v>
      </c>
      <c r="P12" s="1">
        <v>1</v>
      </c>
      <c r="T12" s="129">
        <v>1</v>
      </c>
    </row>
    <row r="13" spans="1:21" x14ac:dyDescent="0.25">
      <c r="A13" s="88" t="s">
        <v>12</v>
      </c>
      <c r="B13" s="37">
        <v>35</v>
      </c>
      <c r="C13" s="1">
        <v>37</v>
      </c>
      <c r="D13" s="1"/>
      <c r="E13" s="1"/>
      <c r="F13" s="129">
        <v>72</v>
      </c>
      <c r="H13" s="88" t="s">
        <v>12</v>
      </c>
      <c r="I13" s="37">
        <v>1</v>
      </c>
      <c r="J13" s="1">
        <v>1</v>
      </c>
      <c r="K13" s="1"/>
      <c r="L13" s="1"/>
      <c r="M13" s="129">
        <v>2</v>
      </c>
      <c r="O13" s="94" t="s">
        <v>12</v>
      </c>
      <c r="P13" s="1">
        <v>17</v>
      </c>
      <c r="Q13">
        <v>5</v>
      </c>
      <c r="T13" s="129">
        <v>22</v>
      </c>
    </row>
    <row r="14" spans="1:21" x14ac:dyDescent="0.25">
      <c r="A14" s="88" t="s">
        <v>294</v>
      </c>
      <c r="B14" s="37">
        <v>26</v>
      </c>
      <c r="C14" s="1">
        <v>17</v>
      </c>
      <c r="D14" s="1"/>
      <c r="E14" s="1"/>
      <c r="F14" s="129">
        <v>43</v>
      </c>
      <c r="H14" s="88" t="s">
        <v>294</v>
      </c>
      <c r="I14" s="37">
        <v>31</v>
      </c>
      <c r="J14" s="1">
        <v>13</v>
      </c>
      <c r="K14" s="1"/>
      <c r="L14" s="1"/>
      <c r="M14" s="129">
        <v>44</v>
      </c>
      <c r="O14" s="94" t="s">
        <v>294</v>
      </c>
      <c r="P14" s="1">
        <v>25</v>
      </c>
      <c r="Q14">
        <v>7</v>
      </c>
      <c r="T14" s="129">
        <v>32</v>
      </c>
    </row>
    <row r="15" spans="1:21" x14ac:dyDescent="0.25">
      <c r="A15" s="88" t="s">
        <v>66</v>
      </c>
      <c r="B15" s="37">
        <v>73</v>
      </c>
      <c r="C15" s="1">
        <v>22</v>
      </c>
      <c r="D15" s="1"/>
      <c r="E15" s="1"/>
      <c r="F15" s="129">
        <v>95</v>
      </c>
      <c r="H15" s="88" t="s">
        <v>66</v>
      </c>
      <c r="I15" s="37">
        <v>28</v>
      </c>
      <c r="J15" s="1">
        <v>26</v>
      </c>
      <c r="K15" s="1"/>
      <c r="L15" s="1"/>
      <c r="M15" s="129">
        <v>54</v>
      </c>
      <c r="O15" s="94" t="s">
        <v>66</v>
      </c>
      <c r="P15" s="1">
        <v>5</v>
      </c>
      <c r="Q15">
        <v>1</v>
      </c>
      <c r="T15" s="129">
        <v>6</v>
      </c>
    </row>
    <row r="16" spans="1:21" x14ac:dyDescent="0.25">
      <c r="A16" s="88" t="s">
        <v>10</v>
      </c>
      <c r="B16" s="37">
        <v>77</v>
      </c>
      <c r="C16" s="1">
        <v>54</v>
      </c>
      <c r="D16" s="1"/>
      <c r="E16" s="1"/>
      <c r="F16" s="129">
        <v>131</v>
      </c>
      <c r="H16" s="88" t="s">
        <v>10</v>
      </c>
      <c r="I16" s="37">
        <v>35</v>
      </c>
      <c r="J16" s="1">
        <v>43</v>
      </c>
      <c r="K16" s="1"/>
      <c r="L16" s="1"/>
      <c r="M16" s="129">
        <v>78</v>
      </c>
      <c r="O16" s="94" t="s">
        <v>10</v>
      </c>
      <c r="P16" s="1">
        <v>20</v>
      </c>
      <c r="Q16">
        <v>17</v>
      </c>
      <c r="T16" s="129">
        <v>37</v>
      </c>
    </row>
    <row r="17" spans="1:20" ht="13" thickBot="1" x14ac:dyDescent="0.3">
      <c r="A17" s="89" t="s">
        <v>77</v>
      </c>
      <c r="B17" s="131">
        <v>22</v>
      </c>
      <c r="C17" s="15">
        <v>11</v>
      </c>
      <c r="D17" s="15"/>
      <c r="E17" s="15"/>
      <c r="F17" s="130">
        <v>33</v>
      </c>
      <c r="H17" s="89" t="s">
        <v>77</v>
      </c>
      <c r="I17" s="131">
        <v>27</v>
      </c>
      <c r="J17" s="15">
        <v>10</v>
      </c>
      <c r="K17" s="15"/>
      <c r="L17" s="15"/>
      <c r="M17" s="130">
        <v>37</v>
      </c>
      <c r="O17" s="95" t="s">
        <v>77</v>
      </c>
      <c r="P17" s="15"/>
      <c r="Q17" s="12"/>
      <c r="R17" s="12"/>
      <c r="S17" s="12"/>
      <c r="T17" s="130"/>
    </row>
    <row r="18" spans="1:20" ht="13.5" thickBot="1" x14ac:dyDescent="0.35">
      <c r="A18" s="101" t="s">
        <v>71</v>
      </c>
      <c r="B18" s="136">
        <v>522</v>
      </c>
      <c r="C18" s="137">
        <v>366</v>
      </c>
      <c r="D18" s="137"/>
      <c r="E18" s="137"/>
      <c r="F18" s="123">
        <v>888</v>
      </c>
      <c r="H18" s="101" t="s">
        <v>71</v>
      </c>
      <c r="I18" s="136">
        <v>301</v>
      </c>
      <c r="J18" s="137">
        <v>207</v>
      </c>
      <c r="K18" s="137"/>
      <c r="L18" s="137"/>
      <c r="M18" s="123">
        <v>508</v>
      </c>
      <c r="O18" s="91" t="s">
        <v>71</v>
      </c>
      <c r="P18" s="15">
        <v>136</v>
      </c>
      <c r="Q18" s="12">
        <v>64</v>
      </c>
      <c r="R18" s="12"/>
      <c r="S18" s="12"/>
      <c r="T18" s="130">
        <v>200</v>
      </c>
    </row>
    <row r="19" spans="1:20" x14ac:dyDescent="0.25">
      <c r="P19"/>
      <c r="T19"/>
    </row>
    <row r="20" spans="1:20" ht="13" x14ac:dyDescent="0.3">
      <c r="A20" s="78"/>
      <c r="B20" s="79"/>
      <c r="C20" s="79"/>
      <c r="D20" s="79"/>
      <c r="E20" s="79"/>
      <c r="F20" s="79"/>
      <c r="H20" s="78"/>
      <c r="I20" s="79"/>
      <c r="J20" s="79"/>
      <c r="K20" s="79"/>
      <c r="L20" s="79"/>
      <c r="M20" s="79"/>
      <c r="O20" s="59"/>
    </row>
    <row r="21" spans="1:20" ht="13" x14ac:dyDescent="0.3">
      <c r="C21" s="38" t="s">
        <v>57</v>
      </c>
      <c r="J21" s="38" t="s">
        <v>69</v>
      </c>
      <c r="P21"/>
      <c r="Q21" s="38"/>
      <c r="T21"/>
    </row>
    <row r="22" spans="1:20" x14ac:dyDescent="0.25">
      <c r="P22"/>
      <c r="T22"/>
    </row>
    <row r="23" spans="1:20" ht="13.5" thickBot="1" x14ac:dyDescent="0.35">
      <c r="A23" s="38" t="s">
        <v>31</v>
      </c>
      <c r="B23" s="38" t="s">
        <v>40</v>
      </c>
      <c r="C23" s="38"/>
      <c r="D23" s="38"/>
      <c r="E23" s="38"/>
      <c r="F23" s="38"/>
      <c r="H23" s="38" t="s">
        <v>31</v>
      </c>
      <c r="I23" s="38" t="s">
        <v>40</v>
      </c>
      <c r="J23" s="38"/>
      <c r="K23" s="38"/>
      <c r="L23" s="38"/>
      <c r="M23" s="38"/>
      <c r="P23"/>
      <c r="T23"/>
    </row>
    <row r="24" spans="1:20" ht="13.5" thickBot="1" x14ac:dyDescent="0.35">
      <c r="A24" s="107" t="s">
        <v>7</v>
      </c>
      <c r="B24" s="135" t="s">
        <v>32</v>
      </c>
      <c r="C24" s="135" t="s">
        <v>33</v>
      </c>
      <c r="D24" s="135" t="s">
        <v>34</v>
      </c>
      <c r="E24" s="135" t="s">
        <v>35</v>
      </c>
      <c r="F24" s="109" t="s">
        <v>71</v>
      </c>
      <c r="H24" s="107" t="s">
        <v>7</v>
      </c>
      <c r="I24" s="108" t="s">
        <v>32</v>
      </c>
      <c r="J24" s="108" t="s">
        <v>33</v>
      </c>
      <c r="K24" s="108" t="s">
        <v>34</v>
      </c>
      <c r="L24" s="108" t="s">
        <v>35</v>
      </c>
      <c r="M24" s="109" t="s">
        <v>71</v>
      </c>
      <c r="P24"/>
      <c r="T24"/>
    </row>
    <row r="25" spans="1:20" x14ac:dyDescent="0.25">
      <c r="A25" s="87" t="s">
        <v>9</v>
      </c>
      <c r="B25" s="124">
        <v>12</v>
      </c>
      <c r="C25" s="73">
        <v>11</v>
      </c>
      <c r="D25" s="73"/>
      <c r="E25" s="73"/>
      <c r="F25" s="128">
        <v>23</v>
      </c>
      <c r="H25" s="87" t="s">
        <v>9</v>
      </c>
      <c r="I25" s="1">
        <v>28</v>
      </c>
      <c r="J25" s="1">
        <v>6</v>
      </c>
      <c r="K25" s="1"/>
      <c r="L25" s="1"/>
      <c r="M25" s="128">
        <v>34</v>
      </c>
      <c r="P25"/>
      <c r="T25"/>
    </row>
    <row r="26" spans="1:20" ht="13" thickBot="1" x14ac:dyDescent="0.3">
      <c r="A26" s="88" t="s">
        <v>11</v>
      </c>
      <c r="B26" s="37"/>
      <c r="C26" s="1"/>
      <c r="D26" s="1"/>
      <c r="E26" s="1"/>
      <c r="F26" s="129"/>
      <c r="H26" s="88" t="s">
        <v>11</v>
      </c>
      <c r="I26" s="1">
        <v>18</v>
      </c>
      <c r="J26" s="1">
        <v>12</v>
      </c>
      <c r="K26" s="1"/>
      <c r="L26" s="1"/>
      <c r="M26" s="129">
        <v>30</v>
      </c>
      <c r="P26"/>
      <c r="T26"/>
    </row>
    <row r="27" spans="1:20" ht="13" thickBot="1" x14ac:dyDescent="0.3">
      <c r="A27" s="88" t="s">
        <v>65</v>
      </c>
      <c r="B27" s="37">
        <v>5</v>
      </c>
      <c r="C27" s="1">
        <v>3</v>
      </c>
      <c r="D27" s="1"/>
      <c r="E27" s="1"/>
      <c r="F27" s="129">
        <v>8</v>
      </c>
      <c r="H27" s="74" t="s">
        <v>65</v>
      </c>
      <c r="I27" s="133">
        <v>4</v>
      </c>
      <c r="J27" s="133"/>
      <c r="K27" s="133"/>
      <c r="L27" s="133"/>
      <c r="M27" s="143">
        <v>4</v>
      </c>
      <c r="P27"/>
      <c r="T27"/>
    </row>
    <row r="28" spans="1:20" x14ac:dyDescent="0.25">
      <c r="A28" s="88" t="s">
        <v>79</v>
      </c>
      <c r="B28" s="37">
        <v>2</v>
      </c>
      <c r="C28" s="1"/>
      <c r="D28" s="1"/>
      <c r="E28" s="1"/>
      <c r="F28" s="129">
        <v>2</v>
      </c>
      <c r="H28" s="88" t="s">
        <v>79</v>
      </c>
      <c r="I28" s="1">
        <v>23</v>
      </c>
      <c r="J28" s="1">
        <v>21</v>
      </c>
      <c r="K28" s="1"/>
      <c r="L28" s="1"/>
      <c r="M28" s="129">
        <v>44</v>
      </c>
      <c r="P28"/>
      <c r="T28"/>
    </row>
    <row r="29" spans="1:20" ht="12" customHeight="1" x14ac:dyDescent="0.25">
      <c r="A29" s="88" t="s">
        <v>13</v>
      </c>
      <c r="B29" s="37">
        <v>6</v>
      </c>
      <c r="C29" s="1">
        <v>5</v>
      </c>
      <c r="D29" s="1"/>
      <c r="E29" s="1"/>
      <c r="F29" s="129">
        <v>11</v>
      </c>
      <c r="H29" s="88" t="s">
        <v>13</v>
      </c>
      <c r="I29" s="1">
        <v>41</v>
      </c>
      <c r="J29" s="1">
        <v>48</v>
      </c>
      <c r="K29" s="1"/>
      <c r="L29" s="1"/>
      <c r="M29" s="129">
        <v>89</v>
      </c>
      <c r="P29"/>
      <c r="T29"/>
    </row>
    <row r="30" spans="1:20" x14ac:dyDescent="0.25">
      <c r="A30" s="88" t="s">
        <v>37</v>
      </c>
      <c r="B30" s="37">
        <v>3</v>
      </c>
      <c r="C30" s="1"/>
      <c r="D30" s="1"/>
      <c r="E30" s="1"/>
      <c r="F30" s="129">
        <v>3</v>
      </c>
      <c r="H30" s="88" t="s">
        <v>37</v>
      </c>
      <c r="I30" s="1"/>
      <c r="J30" s="1"/>
      <c r="K30" s="1"/>
      <c r="L30" s="1"/>
      <c r="M30" s="129"/>
      <c r="P30"/>
      <c r="T30"/>
    </row>
    <row r="31" spans="1:20" x14ac:dyDescent="0.25">
      <c r="A31" s="88" t="s">
        <v>12</v>
      </c>
      <c r="B31" s="37"/>
      <c r="C31" s="1"/>
      <c r="D31" s="1"/>
      <c r="E31" s="1"/>
      <c r="F31" s="129"/>
      <c r="H31" s="88" t="s">
        <v>12</v>
      </c>
      <c r="I31" s="1"/>
      <c r="J31" s="1">
        <v>6</v>
      </c>
      <c r="K31" s="1"/>
      <c r="L31" s="1"/>
      <c r="M31" s="129">
        <v>6</v>
      </c>
      <c r="P31"/>
      <c r="T31"/>
    </row>
    <row r="32" spans="1:20" x14ac:dyDescent="0.25">
      <c r="A32" s="88" t="s">
        <v>294</v>
      </c>
      <c r="B32" s="37"/>
      <c r="C32" s="1"/>
      <c r="D32" s="1"/>
      <c r="E32" s="1"/>
      <c r="F32" s="129"/>
      <c r="H32" s="88" t="s">
        <v>294</v>
      </c>
      <c r="I32" s="1">
        <v>11</v>
      </c>
      <c r="J32" s="1"/>
      <c r="K32" s="1"/>
      <c r="L32" s="1"/>
      <c r="M32" s="129">
        <v>11</v>
      </c>
      <c r="P32"/>
      <c r="T32"/>
    </row>
    <row r="33" spans="1:20" x14ac:dyDescent="0.25">
      <c r="A33" s="88" t="s">
        <v>66</v>
      </c>
      <c r="B33" s="37"/>
      <c r="C33" s="1"/>
      <c r="D33" s="1"/>
      <c r="E33" s="1"/>
      <c r="F33" s="129"/>
      <c r="H33" s="88" t="s">
        <v>66</v>
      </c>
      <c r="I33" s="1">
        <v>31</v>
      </c>
      <c r="J33" s="1">
        <v>19</v>
      </c>
      <c r="K33" s="1"/>
      <c r="L33" s="1"/>
      <c r="M33" s="129">
        <v>50</v>
      </c>
      <c r="P33"/>
      <c r="T33"/>
    </row>
    <row r="34" spans="1:20" ht="13" thickBot="1" x14ac:dyDescent="0.3">
      <c r="A34" s="88" t="s">
        <v>10</v>
      </c>
      <c r="B34" s="37">
        <v>20</v>
      </c>
      <c r="C34" s="1">
        <v>18</v>
      </c>
      <c r="D34" s="1"/>
      <c r="E34" s="1"/>
      <c r="F34" s="129">
        <v>38</v>
      </c>
      <c r="H34" s="88" t="s">
        <v>10</v>
      </c>
      <c r="I34" s="1">
        <v>37</v>
      </c>
      <c r="J34" s="1">
        <v>35</v>
      </c>
      <c r="K34" s="1"/>
      <c r="L34" s="1"/>
      <c r="M34" s="129">
        <v>72</v>
      </c>
      <c r="P34"/>
      <c r="T34"/>
    </row>
    <row r="35" spans="1:20" ht="13" thickBot="1" x14ac:dyDescent="0.3">
      <c r="A35" s="89" t="s">
        <v>77</v>
      </c>
      <c r="B35" s="131"/>
      <c r="C35" s="15"/>
      <c r="D35" s="15"/>
      <c r="E35" s="15"/>
      <c r="F35" s="130"/>
      <c r="H35" s="74" t="s">
        <v>77</v>
      </c>
      <c r="I35" s="73">
        <v>22</v>
      </c>
      <c r="J35" s="73">
        <v>18</v>
      </c>
      <c r="K35" s="73"/>
      <c r="L35" s="73"/>
      <c r="M35" s="143">
        <v>40</v>
      </c>
      <c r="P35"/>
      <c r="T35"/>
    </row>
    <row r="36" spans="1:20" ht="13.5" thickBot="1" x14ac:dyDescent="0.35">
      <c r="A36" s="106" t="s">
        <v>71</v>
      </c>
      <c r="B36" s="136">
        <v>48</v>
      </c>
      <c r="C36" s="137">
        <v>37</v>
      </c>
      <c r="D36" s="137"/>
      <c r="E36" s="137"/>
      <c r="F36" s="123">
        <v>85</v>
      </c>
      <c r="H36" s="106" t="s">
        <v>71</v>
      </c>
      <c r="I36" s="141">
        <v>215</v>
      </c>
      <c r="J36" s="137">
        <v>165</v>
      </c>
      <c r="K36" s="137"/>
      <c r="L36" s="137"/>
      <c r="M36" s="142">
        <v>380</v>
      </c>
      <c r="P36"/>
      <c r="T36"/>
    </row>
    <row r="37" spans="1:20" ht="13" x14ac:dyDescent="0.3">
      <c r="Q37" s="86"/>
      <c r="R37" s="86"/>
      <c r="S37" s="86"/>
      <c r="T37" s="102"/>
    </row>
    <row r="39" spans="1:20" ht="13" x14ac:dyDescent="0.3">
      <c r="Q39" s="86"/>
      <c r="R39" s="86"/>
      <c r="S39" s="86"/>
      <c r="T39" s="102"/>
    </row>
    <row r="40" spans="1:20" ht="36.75" customHeight="1" x14ac:dyDescent="0.25">
      <c r="A40" s="67" t="s">
        <v>39</v>
      </c>
    </row>
    <row r="41" spans="1:20" ht="13" x14ac:dyDescent="0.3">
      <c r="C41" s="38" t="s">
        <v>20</v>
      </c>
      <c r="J41" s="38" t="s">
        <v>21</v>
      </c>
      <c r="P41" s="43" t="s">
        <v>100</v>
      </c>
    </row>
    <row r="42" spans="1:20" ht="13" thickBot="1" x14ac:dyDescent="0.3"/>
    <row r="43" spans="1:20" ht="13.5" thickBot="1" x14ac:dyDescent="0.35">
      <c r="A43" s="38" t="s">
        <v>31</v>
      </c>
      <c r="B43" s="38" t="s">
        <v>40</v>
      </c>
      <c r="C43" s="38"/>
      <c r="D43" s="38"/>
      <c r="E43" s="38"/>
      <c r="F43" s="38"/>
      <c r="H43" s="38" t="s">
        <v>31</v>
      </c>
      <c r="I43" s="38" t="s">
        <v>40</v>
      </c>
      <c r="J43" s="38"/>
      <c r="K43" s="38"/>
      <c r="L43" s="38"/>
      <c r="M43" s="38"/>
      <c r="O43" s="96" t="s">
        <v>102</v>
      </c>
      <c r="P43" s="103" t="s">
        <v>40</v>
      </c>
      <c r="Q43" s="98"/>
      <c r="R43" s="98"/>
      <c r="S43" s="98"/>
      <c r="T43" s="104"/>
    </row>
    <row r="44" spans="1:20" ht="13.5" thickBot="1" x14ac:dyDescent="0.35">
      <c r="A44" s="151" t="s">
        <v>7</v>
      </c>
      <c r="B44" s="135" t="s">
        <v>24</v>
      </c>
      <c r="C44" s="135" t="s">
        <v>25</v>
      </c>
      <c r="D44" s="135" t="s">
        <v>26</v>
      </c>
      <c r="E44" s="135" t="s">
        <v>27</v>
      </c>
      <c r="F44" s="41" t="s">
        <v>71</v>
      </c>
      <c r="H44" s="151" t="s">
        <v>7</v>
      </c>
      <c r="I44" s="135" t="s">
        <v>24</v>
      </c>
      <c r="J44" s="135" t="s">
        <v>25</v>
      </c>
      <c r="K44" s="135" t="s">
        <v>26</v>
      </c>
      <c r="L44" s="135" t="s">
        <v>27</v>
      </c>
      <c r="M44" s="41" t="s">
        <v>71</v>
      </c>
      <c r="O44" s="92" t="s">
        <v>7</v>
      </c>
      <c r="P44" s="15" t="s">
        <v>105</v>
      </c>
      <c r="Q44" s="12" t="s">
        <v>106</v>
      </c>
      <c r="R44" s="12" t="s">
        <v>107</v>
      </c>
      <c r="S44" s="12" t="s">
        <v>108</v>
      </c>
      <c r="T44" s="89" t="s">
        <v>71</v>
      </c>
    </row>
    <row r="45" spans="1:20" x14ac:dyDescent="0.25">
      <c r="A45" s="87" t="s">
        <v>9</v>
      </c>
      <c r="B45" s="124">
        <v>23</v>
      </c>
      <c r="C45" s="73">
        <v>18</v>
      </c>
      <c r="D45" s="73"/>
      <c r="E45" s="110"/>
      <c r="F45" s="128">
        <v>41</v>
      </c>
      <c r="H45" s="87" t="s">
        <v>9</v>
      </c>
      <c r="I45" s="124">
        <v>8</v>
      </c>
      <c r="J45" s="73">
        <v>7</v>
      </c>
      <c r="K45" s="73"/>
      <c r="L45" s="73"/>
      <c r="M45" s="128">
        <v>15</v>
      </c>
      <c r="O45" s="90" t="s">
        <v>9</v>
      </c>
      <c r="P45" s="124">
        <v>9</v>
      </c>
      <c r="Q45" s="132">
        <v>5</v>
      </c>
      <c r="R45" s="132"/>
      <c r="S45" s="132"/>
      <c r="T45" s="87">
        <v>14</v>
      </c>
    </row>
    <row r="46" spans="1:20" x14ac:dyDescent="0.25">
      <c r="A46" s="88" t="s">
        <v>11</v>
      </c>
      <c r="B46" s="37"/>
      <c r="C46" s="1"/>
      <c r="D46" s="1"/>
      <c r="E46" s="17"/>
      <c r="F46" s="129"/>
      <c r="H46" s="88" t="s">
        <v>11</v>
      </c>
      <c r="I46" s="37"/>
      <c r="J46" s="1">
        <v>1</v>
      </c>
      <c r="K46" s="1"/>
      <c r="L46" s="1"/>
      <c r="M46" s="129">
        <v>1</v>
      </c>
      <c r="O46" s="90" t="s">
        <v>11</v>
      </c>
      <c r="P46" s="37"/>
      <c r="T46" s="88"/>
    </row>
    <row r="47" spans="1:20" x14ac:dyDescent="0.25">
      <c r="A47" s="88" t="s">
        <v>65</v>
      </c>
      <c r="B47" s="37">
        <v>5</v>
      </c>
      <c r="C47" s="1">
        <v>1</v>
      </c>
      <c r="D47" s="1"/>
      <c r="E47" s="17"/>
      <c r="F47" s="129">
        <v>6</v>
      </c>
      <c r="H47" s="88" t="s">
        <v>65</v>
      </c>
      <c r="I47" s="37">
        <v>2</v>
      </c>
      <c r="J47" s="1">
        <v>1</v>
      </c>
      <c r="K47" s="1"/>
      <c r="L47" s="1"/>
      <c r="M47" s="129">
        <v>3</v>
      </c>
      <c r="O47" s="90" t="s">
        <v>65</v>
      </c>
      <c r="P47" s="37">
        <v>4</v>
      </c>
      <c r="Q47">
        <v>2</v>
      </c>
      <c r="T47" s="88">
        <v>6</v>
      </c>
    </row>
    <row r="48" spans="1:20" x14ac:dyDescent="0.25">
      <c r="A48" s="88" t="s">
        <v>79</v>
      </c>
      <c r="B48" s="37">
        <v>5</v>
      </c>
      <c r="C48" s="1">
        <v>5</v>
      </c>
      <c r="D48" s="1"/>
      <c r="E48" s="17"/>
      <c r="F48" s="129">
        <v>10</v>
      </c>
      <c r="H48" s="88" t="s">
        <v>79</v>
      </c>
      <c r="I48" s="37">
        <v>8</v>
      </c>
      <c r="J48" s="1">
        <v>4</v>
      </c>
      <c r="K48" s="1"/>
      <c r="L48" s="1"/>
      <c r="M48" s="129">
        <v>12</v>
      </c>
      <c r="O48" s="90" t="s">
        <v>79</v>
      </c>
      <c r="P48" s="37">
        <v>1</v>
      </c>
      <c r="Q48">
        <v>1</v>
      </c>
      <c r="T48" s="88">
        <v>2</v>
      </c>
    </row>
    <row r="49" spans="1:20" x14ac:dyDescent="0.25">
      <c r="A49" s="88" t="s">
        <v>13</v>
      </c>
      <c r="B49" s="37">
        <v>15</v>
      </c>
      <c r="C49" s="1">
        <v>10</v>
      </c>
      <c r="D49" s="1"/>
      <c r="E49" s="17"/>
      <c r="F49" s="129">
        <v>25</v>
      </c>
      <c r="H49" s="88" t="s">
        <v>13</v>
      </c>
      <c r="I49" s="37">
        <v>14</v>
      </c>
      <c r="J49" s="1">
        <v>7</v>
      </c>
      <c r="K49" s="1"/>
      <c r="L49" s="1"/>
      <c r="M49" s="129">
        <v>21</v>
      </c>
      <c r="O49" s="90" t="s">
        <v>13</v>
      </c>
      <c r="P49" s="37">
        <v>2</v>
      </c>
      <c r="T49" s="88">
        <v>2</v>
      </c>
    </row>
    <row r="50" spans="1:20" x14ac:dyDescent="0.25">
      <c r="A50" s="88" t="s">
        <v>37</v>
      </c>
      <c r="B50" s="37">
        <v>1</v>
      </c>
      <c r="C50" s="1"/>
      <c r="D50" s="1"/>
      <c r="E50" s="17"/>
      <c r="F50" s="129">
        <v>1</v>
      </c>
      <c r="H50" s="88" t="s">
        <v>37</v>
      </c>
      <c r="I50" s="37">
        <v>1</v>
      </c>
      <c r="J50" s="1"/>
      <c r="K50" s="1"/>
      <c r="L50" s="1"/>
      <c r="M50" s="129">
        <v>1</v>
      </c>
      <c r="O50" s="90" t="s">
        <v>37</v>
      </c>
      <c r="P50" s="37">
        <v>1</v>
      </c>
      <c r="T50" s="88">
        <v>1</v>
      </c>
    </row>
    <row r="51" spans="1:20" x14ac:dyDescent="0.25">
      <c r="A51" s="88" t="s">
        <v>12</v>
      </c>
      <c r="B51" s="37">
        <v>10</v>
      </c>
      <c r="C51" s="1">
        <v>10</v>
      </c>
      <c r="D51" s="1"/>
      <c r="E51" s="17"/>
      <c r="F51" s="129">
        <v>20</v>
      </c>
      <c r="H51" s="88" t="s">
        <v>12</v>
      </c>
      <c r="I51" s="37">
        <v>1</v>
      </c>
      <c r="J51" s="1">
        <v>1</v>
      </c>
      <c r="K51" s="1"/>
      <c r="L51" s="1"/>
      <c r="M51" s="129">
        <v>2</v>
      </c>
      <c r="O51" s="90" t="s">
        <v>12</v>
      </c>
      <c r="P51" s="37">
        <v>5</v>
      </c>
      <c r="Q51">
        <v>3</v>
      </c>
      <c r="T51" s="88">
        <v>8</v>
      </c>
    </row>
    <row r="52" spans="1:20" x14ac:dyDescent="0.25">
      <c r="A52" s="88" t="s">
        <v>294</v>
      </c>
      <c r="B52" s="37">
        <v>5</v>
      </c>
      <c r="C52" s="1">
        <v>3</v>
      </c>
      <c r="D52" s="1"/>
      <c r="E52" s="17"/>
      <c r="F52" s="129">
        <v>8</v>
      </c>
      <c r="H52" s="88" t="s">
        <v>294</v>
      </c>
      <c r="I52" s="37">
        <v>8</v>
      </c>
      <c r="J52" s="1">
        <v>5</v>
      </c>
      <c r="K52" s="1"/>
      <c r="L52" s="1"/>
      <c r="M52" s="129">
        <v>13</v>
      </c>
      <c r="O52" s="90" t="s">
        <v>294</v>
      </c>
      <c r="P52" s="37">
        <v>3</v>
      </c>
      <c r="Q52">
        <v>1</v>
      </c>
      <c r="T52" s="88">
        <v>4</v>
      </c>
    </row>
    <row r="53" spans="1:20" x14ac:dyDescent="0.25">
      <c r="A53" s="88" t="s">
        <v>66</v>
      </c>
      <c r="B53" s="37">
        <v>9</v>
      </c>
      <c r="C53" s="1">
        <v>4</v>
      </c>
      <c r="D53" s="1"/>
      <c r="E53" s="17"/>
      <c r="F53" s="129">
        <v>13</v>
      </c>
      <c r="H53" s="88" t="s">
        <v>66</v>
      </c>
      <c r="I53" s="37">
        <v>6</v>
      </c>
      <c r="J53" s="1">
        <v>5</v>
      </c>
      <c r="K53" s="1"/>
      <c r="L53" s="1"/>
      <c r="M53" s="129">
        <v>11</v>
      </c>
      <c r="O53" s="90" t="s">
        <v>66</v>
      </c>
      <c r="P53" s="37">
        <v>2</v>
      </c>
      <c r="Q53">
        <v>1</v>
      </c>
      <c r="T53" s="88">
        <v>3</v>
      </c>
    </row>
    <row r="54" spans="1:20" x14ac:dyDescent="0.25">
      <c r="A54" s="88" t="s">
        <v>10</v>
      </c>
      <c r="B54" s="37">
        <v>9</v>
      </c>
      <c r="C54" s="1">
        <v>8</v>
      </c>
      <c r="D54" s="1"/>
      <c r="E54" s="17"/>
      <c r="F54" s="129">
        <v>17</v>
      </c>
      <c r="H54" s="88" t="s">
        <v>10</v>
      </c>
      <c r="I54" s="37">
        <v>4</v>
      </c>
      <c r="J54" s="1">
        <v>6</v>
      </c>
      <c r="K54" s="1"/>
      <c r="L54" s="1"/>
      <c r="M54" s="129">
        <v>10</v>
      </c>
      <c r="O54" s="90" t="s">
        <v>10</v>
      </c>
      <c r="P54" s="37">
        <v>3</v>
      </c>
      <c r="Q54">
        <v>3</v>
      </c>
      <c r="T54" s="88">
        <v>6</v>
      </c>
    </row>
    <row r="55" spans="1:20" ht="13" thickBot="1" x14ac:dyDescent="0.3">
      <c r="A55" s="89" t="s">
        <v>77</v>
      </c>
      <c r="B55" s="131">
        <v>4</v>
      </c>
      <c r="C55" s="15">
        <v>3</v>
      </c>
      <c r="D55" s="15"/>
      <c r="E55" s="134"/>
      <c r="F55" s="130">
        <v>7</v>
      </c>
      <c r="H55" s="89" t="s">
        <v>77</v>
      </c>
      <c r="I55" s="131">
        <v>6</v>
      </c>
      <c r="J55" s="15">
        <v>2</v>
      </c>
      <c r="K55" s="15"/>
      <c r="L55" s="15"/>
      <c r="M55" s="130">
        <v>8</v>
      </c>
      <c r="O55" s="91" t="s">
        <v>77</v>
      </c>
      <c r="P55" s="131"/>
      <c r="Q55" s="12"/>
      <c r="R55" s="12"/>
      <c r="S55" s="12"/>
      <c r="T55" s="89"/>
    </row>
    <row r="56" spans="1:20" ht="13.5" thickBot="1" x14ac:dyDescent="0.35">
      <c r="A56" s="101" t="s">
        <v>71</v>
      </c>
      <c r="B56" s="136">
        <v>86</v>
      </c>
      <c r="C56" s="137">
        <v>62</v>
      </c>
      <c r="D56" s="137"/>
      <c r="E56" s="137"/>
      <c r="F56" s="123">
        <v>148</v>
      </c>
      <c r="H56" s="101" t="s">
        <v>71</v>
      </c>
      <c r="I56" s="136">
        <v>58</v>
      </c>
      <c r="J56" s="137">
        <v>39</v>
      </c>
      <c r="K56" s="137"/>
      <c r="L56" s="137"/>
      <c r="M56" s="138">
        <v>97</v>
      </c>
      <c r="O56" s="91" t="s">
        <v>71</v>
      </c>
      <c r="P56" s="15">
        <v>30</v>
      </c>
      <c r="Q56" s="12">
        <v>16</v>
      </c>
      <c r="R56" s="12"/>
      <c r="S56" s="12"/>
      <c r="T56" s="89">
        <v>46</v>
      </c>
    </row>
    <row r="57" spans="1:20" x14ac:dyDescent="0.25">
      <c r="P57"/>
      <c r="T57"/>
    </row>
    <row r="58" spans="1:20" ht="13" x14ac:dyDescent="0.3">
      <c r="C58" s="38"/>
      <c r="J58" s="38"/>
    </row>
    <row r="59" spans="1:20" ht="13" x14ac:dyDescent="0.3">
      <c r="C59" s="38"/>
      <c r="J59" s="38"/>
    </row>
    <row r="60" spans="1:20" ht="13" x14ac:dyDescent="0.3">
      <c r="C60" s="38" t="s">
        <v>57</v>
      </c>
      <c r="J60" s="38" t="s">
        <v>69</v>
      </c>
      <c r="P60"/>
      <c r="Q60" s="38" t="s">
        <v>100</v>
      </c>
      <c r="T60"/>
    </row>
    <row r="61" spans="1:20" x14ac:dyDescent="0.25">
      <c r="P61"/>
      <c r="T61"/>
    </row>
    <row r="62" spans="1:20" ht="13.5" thickBot="1" x14ac:dyDescent="0.35">
      <c r="A62" s="38" t="s">
        <v>31</v>
      </c>
      <c r="B62" s="38" t="s">
        <v>40</v>
      </c>
      <c r="C62" s="38"/>
      <c r="D62" s="38"/>
      <c r="E62" s="38"/>
      <c r="F62" s="38"/>
      <c r="H62" s="38" t="s">
        <v>31</v>
      </c>
      <c r="I62" s="38" t="s">
        <v>40</v>
      </c>
      <c r="J62" s="38"/>
      <c r="K62" s="38"/>
      <c r="L62" s="38"/>
      <c r="M62" s="38"/>
      <c r="O62" s="38" t="s">
        <v>31</v>
      </c>
      <c r="P62" s="38" t="s">
        <v>40</v>
      </c>
      <c r="Q62" s="38"/>
      <c r="R62" s="38"/>
      <c r="S62" s="38"/>
      <c r="T62" s="38"/>
    </row>
    <row r="63" spans="1:20" ht="13.5" thickBot="1" x14ac:dyDescent="0.35">
      <c r="A63" s="151" t="s">
        <v>7</v>
      </c>
      <c r="B63" s="135" t="s">
        <v>24</v>
      </c>
      <c r="C63" s="135" t="s">
        <v>25</v>
      </c>
      <c r="D63" s="135" t="s">
        <v>26</v>
      </c>
      <c r="E63" s="135" t="s">
        <v>27</v>
      </c>
      <c r="F63" s="41" t="s">
        <v>71</v>
      </c>
      <c r="H63" s="151" t="s">
        <v>7</v>
      </c>
      <c r="I63" s="135" t="s">
        <v>24</v>
      </c>
      <c r="J63" s="135" t="s">
        <v>25</v>
      </c>
      <c r="K63" s="135" t="s">
        <v>26</v>
      </c>
      <c r="L63" s="135" t="s">
        <v>27</v>
      </c>
      <c r="M63" s="41" t="s">
        <v>71</v>
      </c>
      <c r="O63" s="151" t="s">
        <v>7</v>
      </c>
      <c r="P63" s="135" t="s">
        <v>24</v>
      </c>
      <c r="Q63" s="135" t="s">
        <v>25</v>
      </c>
      <c r="R63" s="135" t="s">
        <v>26</v>
      </c>
      <c r="S63" s="135" t="s">
        <v>27</v>
      </c>
      <c r="T63" s="41" t="s">
        <v>71</v>
      </c>
    </row>
    <row r="64" spans="1:20" x14ac:dyDescent="0.25">
      <c r="A64" s="87" t="s">
        <v>9</v>
      </c>
      <c r="B64" s="124">
        <v>2</v>
      </c>
      <c r="C64" s="73">
        <v>2</v>
      </c>
      <c r="D64" s="73"/>
      <c r="E64" s="110"/>
      <c r="F64" s="125">
        <v>4</v>
      </c>
      <c r="H64" s="87" t="s">
        <v>9</v>
      </c>
      <c r="I64" s="124">
        <v>3</v>
      </c>
      <c r="J64" s="73">
        <v>1</v>
      </c>
      <c r="K64" s="73"/>
      <c r="L64" s="110"/>
      <c r="M64" s="125">
        <v>4</v>
      </c>
      <c r="O64" s="87" t="s">
        <v>9</v>
      </c>
      <c r="P64" s="124">
        <v>8</v>
      </c>
      <c r="Q64" s="73">
        <v>7</v>
      </c>
      <c r="R64" s="73"/>
      <c r="S64" s="73"/>
      <c r="T64" s="128">
        <v>15</v>
      </c>
    </row>
    <row r="65" spans="1:20" x14ac:dyDescent="0.25">
      <c r="A65" s="88" t="s">
        <v>11</v>
      </c>
      <c r="B65" s="37"/>
      <c r="C65" s="1"/>
      <c r="D65" s="1"/>
      <c r="E65" s="17"/>
      <c r="F65" s="126"/>
      <c r="H65" s="88" t="s">
        <v>11</v>
      </c>
      <c r="I65" s="37">
        <v>5</v>
      </c>
      <c r="J65" s="1">
        <v>5</v>
      </c>
      <c r="K65" s="1"/>
      <c r="L65" s="17"/>
      <c r="M65" s="126">
        <v>10</v>
      </c>
      <c r="O65" s="88" t="s">
        <v>11</v>
      </c>
      <c r="P65" s="37"/>
      <c r="Q65" s="1">
        <v>1</v>
      </c>
      <c r="R65" s="1"/>
      <c r="S65" s="1"/>
      <c r="T65" s="129">
        <v>1</v>
      </c>
    </row>
    <row r="66" spans="1:20" x14ac:dyDescent="0.25">
      <c r="A66" s="88" t="s">
        <v>65</v>
      </c>
      <c r="B66" s="37">
        <v>1</v>
      </c>
      <c r="C66" s="1">
        <v>1</v>
      </c>
      <c r="D66" s="1"/>
      <c r="E66" s="17"/>
      <c r="F66" s="126">
        <v>2</v>
      </c>
      <c r="H66" s="88" t="s">
        <v>65</v>
      </c>
      <c r="I66" s="37">
        <v>2</v>
      </c>
      <c r="J66" s="1"/>
      <c r="K66" s="1"/>
      <c r="L66" s="17"/>
      <c r="M66" s="126">
        <v>2</v>
      </c>
      <c r="O66" s="88" t="s">
        <v>65</v>
      </c>
      <c r="P66" s="37">
        <v>2</v>
      </c>
      <c r="Q66" s="1">
        <v>1</v>
      </c>
      <c r="R66" s="1"/>
      <c r="S66" s="1"/>
      <c r="T66" s="129">
        <v>3</v>
      </c>
    </row>
    <row r="67" spans="1:20" x14ac:dyDescent="0.25">
      <c r="A67" s="88" t="s">
        <v>79</v>
      </c>
      <c r="B67" s="37">
        <v>1</v>
      </c>
      <c r="C67" s="1"/>
      <c r="D67" s="1"/>
      <c r="E67" s="17"/>
      <c r="F67" s="126">
        <v>1</v>
      </c>
      <c r="H67" s="88" t="s">
        <v>79</v>
      </c>
      <c r="I67" s="37">
        <v>3</v>
      </c>
      <c r="J67" s="1">
        <v>3</v>
      </c>
      <c r="K67" s="1"/>
      <c r="L67" s="17"/>
      <c r="M67" s="126">
        <v>6</v>
      </c>
      <c r="O67" s="88" t="s">
        <v>79</v>
      </c>
      <c r="P67" s="37">
        <v>8</v>
      </c>
      <c r="Q67" s="1">
        <v>4</v>
      </c>
      <c r="R67" s="1"/>
      <c r="S67" s="1"/>
      <c r="T67" s="129">
        <v>12</v>
      </c>
    </row>
    <row r="68" spans="1:20" x14ac:dyDescent="0.25">
      <c r="A68" s="88" t="s">
        <v>13</v>
      </c>
      <c r="B68" s="37">
        <v>1</v>
      </c>
      <c r="C68" s="1">
        <v>1</v>
      </c>
      <c r="D68" s="1"/>
      <c r="E68" s="17"/>
      <c r="F68" s="126">
        <v>2</v>
      </c>
      <c r="H68" s="88" t="s">
        <v>13</v>
      </c>
      <c r="I68" s="37">
        <v>7</v>
      </c>
      <c r="J68" s="1">
        <v>8</v>
      </c>
      <c r="K68" s="1"/>
      <c r="L68" s="17"/>
      <c r="M68" s="126">
        <v>15</v>
      </c>
      <c r="O68" s="88" t="s">
        <v>13</v>
      </c>
      <c r="P68" s="37">
        <v>14</v>
      </c>
      <c r="Q68" s="1">
        <v>7</v>
      </c>
      <c r="R68" s="1"/>
      <c r="S68" s="1"/>
      <c r="T68" s="129">
        <v>21</v>
      </c>
    </row>
    <row r="69" spans="1:20" x14ac:dyDescent="0.25">
      <c r="A69" s="88" t="s">
        <v>37</v>
      </c>
      <c r="B69" s="37">
        <v>1</v>
      </c>
      <c r="C69" s="1"/>
      <c r="D69" s="1"/>
      <c r="E69" s="17"/>
      <c r="F69" s="126">
        <v>1</v>
      </c>
      <c r="H69" s="88" t="s">
        <v>37</v>
      </c>
      <c r="I69" s="37"/>
      <c r="J69" s="1"/>
      <c r="K69" s="1"/>
      <c r="L69" s="17"/>
      <c r="M69" s="126"/>
      <c r="O69" s="88" t="s">
        <v>37</v>
      </c>
      <c r="P69" s="37">
        <v>1</v>
      </c>
      <c r="Q69" s="1"/>
      <c r="R69" s="1"/>
      <c r="S69" s="1"/>
      <c r="T69" s="129">
        <v>1</v>
      </c>
    </row>
    <row r="70" spans="1:20" x14ac:dyDescent="0.25">
      <c r="A70" s="88" t="s">
        <v>12</v>
      </c>
      <c r="B70" s="37"/>
      <c r="C70" s="1"/>
      <c r="D70" s="1"/>
      <c r="E70" s="17"/>
      <c r="F70" s="126"/>
      <c r="H70" s="88" t="s">
        <v>12</v>
      </c>
      <c r="I70" s="37"/>
      <c r="J70" s="1">
        <v>1</v>
      </c>
      <c r="K70" s="1"/>
      <c r="L70" s="17"/>
      <c r="M70" s="126">
        <v>1</v>
      </c>
      <c r="O70" s="88" t="s">
        <v>12</v>
      </c>
      <c r="P70" s="37">
        <v>1</v>
      </c>
      <c r="Q70" s="1">
        <v>1</v>
      </c>
      <c r="R70" s="1"/>
      <c r="S70" s="1"/>
      <c r="T70" s="129">
        <v>2</v>
      </c>
    </row>
    <row r="71" spans="1:20" x14ac:dyDescent="0.25">
      <c r="A71" s="88" t="s">
        <v>294</v>
      </c>
      <c r="B71" s="37"/>
      <c r="C71" s="1"/>
      <c r="D71" s="1"/>
      <c r="E71" s="17"/>
      <c r="F71" s="126"/>
      <c r="H71" s="88" t="s">
        <v>294</v>
      </c>
      <c r="I71" s="37">
        <v>2</v>
      </c>
      <c r="J71" s="1"/>
      <c r="K71" s="1"/>
      <c r="L71" s="17"/>
      <c r="M71" s="126">
        <v>2</v>
      </c>
      <c r="O71" s="88" t="s">
        <v>294</v>
      </c>
      <c r="P71" s="37">
        <v>8</v>
      </c>
      <c r="Q71" s="1">
        <v>5</v>
      </c>
      <c r="R71" s="1"/>
      <c r="S71" s="1"/>
      <c r="T71" s="129">
        <v>13</v>
      </c>
    </row>
    <row r="72" spans="1:20" x14ac:dyDescent="0.25">
      <c r="A72" s="88" t="s">
        <v>66</v>
      </c>
      <c r="B72" s="37"/>
      <c r="C72" s="1"/>
      <c r="D72" s="1"/>
      <c r="E72" s="17"/>
      <c r="F72" s="126"/>
      <c r="H72" s="88" t="s">
        <v>66</v>
      </c>
      <c r="I72" s="37">
        <v>5</v>
      </c>
      <c r="J72" s="1">
        <v>2</v>
      </c>
      <c r="K72" s="1"/>
      <c r="L72" s="17"/>
      <c r="M72" s="126">
        <v>7</v>
      </c>
      <c r="O72" s="88" t="s">
        <v>66</v>
      </c>
      <c r="P72" s="37">
        <v>6</v>
      </c>
      <c r="Q72" s="1">
        <v>5</v>
      </c>
      <c r="R72" s="1"/>
      <c r="S72" s="1"/>
      <c r="T72" s="129">
        <v>11</v>
      </c>
    </row>
    <row r="73" spans="1:20" x14ac:dyDescent="0.25">
      <c r="A73" s="88" t="s">
        <v>10</v>
      </c>
      <c r="B73" s="37">
        <v>3</v>
      </c>
      <c r="C73" s="1">
        <v>3</v>
      </c>
      <c r="D73" s="1"/>
      <c r="E73" s="17"/>
      <c r="F73" s="126">
        <v>6</v>
      </c>
      <c r="H73" s="88" t="s">
        <v>10</v>
      </c>
      <c r="I73" s="37">
        <v>6</v>
      </c>
      <c r="J73" s="1">
        <v>5</v>
      </c>
      <c r="K73" s="1"/>
      <c r="L73" s="17"/>
      <c r="M73" s="126">
        <v>11</v>
      </c>
      <c r="O73" s="88" t="s">
        <v>10</v>
      </c>
      <c r="P73" s="37">
        <v>4</v>
      </c>
      <c r="Q73" s="1">
        <v>6</v>
      </c>
      <c r="R73" s="1"/>
      <c r="S73" s="1"/>
      <c r="T73" s="129">
        <v>10</v>
      </c>
    </row>
    <row r="74" spans="1:20" ht="13" thickBot="1" x14ac:dyDescent="0.3">
      <c r="A74" s="89" t="s">
        <v>77</v>
      </c>
      <c r="B74" s="131"/>
      <c r="C74" s="15"/>
      <c r="D74" s="15"/>
      <c r="E74" s="134"/>
      <c r="F74" s="127"/>
      <c r="H74" s="89" t="s">
        <v>77</v>
      </c>
      <c r="I74" s="131">
        <v>4</v>
      </c>
      <c r="J74" s="15">
        <v>6</v>
      </c>
      <c r="K74" s="15"/>
      <c r="L74" s="134"/>
      <c r="M74" s="127">
        <v>10</v>
      </c>
      <c r="O74" s="89" t="s">
        <v>77</v>
      </c>
      <c r="P74" s="131">
        <v>6</v>
      </c>
      <c r="Q74" s="15">
        <v>2</v>
      </c>
      <c r="R74" s="15"/>
      <c r="S74" s="15"/>
      <c r="T74" s="130">
        <v>8</v>
      </c>
    </row>
    <row r="75" spans="1:20" ht="13.5" thickBot="1" x14ac:dyDescent="0.35">
      <c r="A75" s="101" t="s">
        <v>71</v>
      </c>
      <c r="B75" s="136">
        <v>9</v>
      </c>
      <c r="C75" s="137">
        <v>7</v>
      </c>
      <c r="D75" s="137"/>
      <c r="E75" s="137"/>
      <c r="F75" s="123">
        <v>16</v>
      </c>
      <c r="H75" s="101" t="s">
        <v>71</v>
      </c>
      <c r="I75" s="136">
        <v>37</v>
      </c>
      <c r="J75" s="137">
        <v>31</v>
      </c>
      <c r="K75" s="137"/>
      <c r="L75" s="137"/>
      <c r="M75" s="123">
        <v>68</v>
      </c>
      <c r="O75" s="101" t="s">
        <v>71</v>
      </c>
      <c r="P75" s="136">
        <v>58</v>
      </c>
      <c r="Q75" s="137">
        <v>39</v>
      </c>
      <c r="R75" s="137"/>
      <c r="S75" s="137"/>
      <c r="T75" s="138">
        <v>97</v>
      </c>
    </row>
  </sheetData>
  <dataConsolidate function="average"/>
  <mergeCells count="1">
    <mergeCell ref="A1:L1"/>
  </mergeCells>
  <phoneticPr fontId="0" type="noConversion"/>
  <pageMargins left="0.78740157480314965" right="0.47244094488188981" top="0.47244094488188981" bottom="0.47244094488188981" header="0.51181102362204722" footer="0.51181102362204722"/>
  <pageSetup paperSize="9" scale="67" orientation="landscape" horizontalDpi="300" verticalDpi="300" r:id="rId12"/>
  <headerFooter alignWithMargins="0"/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6">
    <pageSetUpPr fitToPage="1"/>
  </sheetPr>
  <dimension ref="B1:AC39"/>
  <sheetViews>
    <sheetView topLeftCell="B11" zoomScale="75" workbookViewId="0">
      <selection activeCell="E31" sqref="E31"/>
    </sheetView>
  </sheetViews>
  <sheetFormatPr baseColWidth="10" defaultRowHeight="12.5" x14ac:dyDescent="0.25"/>
  <cols>
    <col min="1" max="1" width="2.36328125" customWidth="1"/>
    <col min="2" max="2" width="14.81640625" customWidth="1"/>
    <col min="3" max="6" width="6.81640625" customWidth="1"/>
    <col min="7" max="7" width="7.453125" customWidth="1"/>
    <col min="8" max="11" width="6.81640625" customWidth="1"/>
    <col min="12" max="13" width="7.453125" customWidth="1"/>
    <col min="14" max="14" width="14.453125" customWidth="1"/>
    <col min="15" max="15" width="21.453125" bestFit="1" customWidth="1"/>
    <col min="16" max="19" width="6" bestFit="1" customWidth="1"/>
    <col min="20" max="20" width="12.1796875" bestFit="1" customWidth="1"/>
    <col min="21" max="21" width="6.81640625" bestFit="1" customWidth="1"/>
    <col min="22" max="22" width="6.453125" bestFit="1" customWidth="1"/>
    <col min="23" max="23" width="10.81640625" bestFit="1" customWidth="1"/>
    <col min="24" max="26" width="11.1796875" customWidth="1"/>
    <col min="27" max="27" width="14.453125" customWidth="1"/>
    <col min="28" max="28" width="11.1796875" customWidth="1"/>
    <col min="29" max="29" width="4" customWidth="1"/>
    <col min="30" max="30" width="5.1796875" customWidth="1"/>
    <col min="31" max="31" width="8.453125" customWidth="1"/>
    <col min="32" max="32" width="4" customWidth="1"/>
    <col min="33" max="33" width="14.453125" bestFit="1" customWidth="1"/>
  </cols>
  <sheetData>
    <row r="1" spans="2:29" ht="18" x14ac:dyDescent="0.4">
      <c r="B1" s="8" t="str">
        <f>Poussins!B1</f>
        <v>TOURNOI DE LA VALLEE DE CHEVREUSE 2025-2026</v>
      </c>
      <c r="C1" s="3"/>
      <c r="D1" s="3"/>
      <c r="E1" s="3"/>
      <c r="F1" s="3"/>
      <c r="G1" s="2"/>
      <c r="H1" s="2"/>
      <c r="I1" s="2"/>
      <c r="J1" s="2"/>
      <c r="K1" s="2"/>
    </row>
    <row r="2" spans="2:29" ht="25.5" customHeight="1" x14ac:dyDescent="0.25">
      <c r="AC2" s="77" t="s">
        <v>80</v>
      </c>
    </row>
    <row r="3" spans="2:29" ht="18" x14ac:dyDescent="0.4">
      <c r="B3" s="4" t="s">
        <v>14</v>
      </c>
      <c r="C3" s="5"/>
      <c r="D3" s="20"/>
      <c r="E3" s="7"/>
      <c r="AC3" s="77" t="s">
        <v>9</v>
      </c>
    </row>
    <row r="4" spans="2:29" ht="18.5" thickBot="1" x14ac:dyDescent="0.45">
      <c r="B4" s="19"/>
      <c r="D4" s="7"/>
      <c r="E4" s="7"/>
      <c r="AC4" s="77" t="s">
        <v>11</v>
      </c>
    </row>
    <row r="5" spans="2:29" ht="17.5" x14ac:dyDescent="0.3">
      <c r="B5" s="10"/>
      <c r="C5" s="629" t="s">
        <v>2</v>
      </c>
      <c r="D5" s="638"/>
      <c r="E5" s="638"/>
      <c r="F5" s="638"/>
      <c r="G5" s="638"/>
      <c r="H5" s="639"/>
      <c r="I5" s="629" t="s">
        <v>3</v>
      </c>
      <c r="J5" s="638"/>
      <c r="K5" s="638"/>
      <c r="L5" s="638"/>
      <c r="M5" s="638"/>
      <c r="N5" s="639"/>
      <c r="O5" s="629" t="s">
        <v>4</v>
      </c>
      <c r="P5" s="638"/>
      <c r="Q5" s="638"/>
      <c r="R5" s="638"/>
      <c r="S5" s="638"/>
      <c r="T5" s="639"/>
      <c r="U5" s="629" t="s">
        <v>5</v>
      </c>
      <c r="V5" s="638"/>
      <c r="W5" s="638"/>
      <c r="X5" s="638"/>
      <c r="Y5" s="638"/>
      <c r="Z5" s="639"/>
      <c r="AC5" s="77" t="s">
        <v>65</v>
      </c>
    </row>
    <row r="6" spans="2:29" ht="18" thickBot="1" x14ac:dyDescent="0.3">
      <c r="B6" s="10"/>
      <c r="C6" s="640">
        <f>Benjamins!H5</f>
        <v>45991</v>
      </c>
      <c r="D6" s="641"/>
      <c r="E6" s="641"/>
      <c r="F6" s="641"/>
      <c r="G6" s="641"/>
      <c r="H6" s="642"/>
      <c r="I6" s="640">
        <v>46040</v>
      </c>
      <c r="J6" s="641"/>
      <c r="K6" s="641"/>
      <c r="L6" s="641"/>
      <c r="M6" s="641"/>
      <c r="N6" s="642"/>
      <c r="O6" s="640">
        <f>Benjamins!L5</f>
        <v>46103</v>
      </c>
      <c r="P6" s="641"/>
      <c r="Q6" s="641"/>
      <c r="R6" s="641"/>
      <c r="S6" s="641"/>
      <c r="T6" s="642"/>
      <c r="U6" s="640">
        <f>Benjamins!N5</f>
        <v>46180</v>
      </c>
      <c r="V6" s="641"/>
      <c r="W6" s="641"/>
      <c r="X6" s="641"/>
      <c r="Y6" s="641"/>
      <c r="Z6" s="642"/>
      <c r="AC6" s="77" t="s">
        <v>79</v>
      </c>
    </row>
    <row r="7" spans="2:29" ht="38" thickBot="1" x14ac:dyDescent="0.3">
      <c r="B7" s="10"/>
      <c r="C7" s="80" t="s">
        <v>101</v>
      </c>
      <c r="D7" s="46" t="s">
        <v>15</v>
      </c>
      <c r="E7" s="47" t="s">
        <v>16</v>
      </c>
      <c r="F7" s="48" t="s">
        <v>17</v>
      </c>
      <c r="G7" s="18" t="s">
        <v>18</v>
      </c>
      <c r="H7" s="49" t="s">
        <v>6</v>
      </c>
      <c r="I7" s="80" t="s">
        <v>101</v>
      </c>
      <c r="J7" s="50" t="s">
        <v>15</v>
      </c>
      <c r="K7" s="47" t="s">
        <v>16</v>
      </c>
      <c r="L7" s="48" t="s">
        <v>17</v>
      </c>
      <c r="M7" s="18" t="s">
        <v>18</v>
      </c>
      <c r="N7" s="49" t="s">
        <v>6</v>
      </c>
      <c r="O7" s="80" t="s">
        <v>101</v>
      </c>
      <c r="P7" s="50" t="s">
        <v>15</v>
      </c>
      <c r="Q7" s="47" t="s">
        <v>16</v>
      </c>
      <c r="R7" s="48" t="s">
        <v>17</v>
      </c>
      <c r="S7" s="18" t="s">
        <v>18</v>
      </c>
      <c r="T7" s="49" t="s">
        <v>6</v>
      </c>
      <c r="U7" s="80" t="s">
        <v>101</v>
      </c>
      <c r="V7" s="50" t="s">
        <v>15</v>
      </c>
      <c r="W7" s="47" t="s">
        <v>16</v>
      </c>
      <c r="X7" s="48" t="s">
        <v>17</v>
      </c>
      <c r="Y7" s="18" t="s">
        <v>18</v>
      </c>
      <c r="Z7" s="51" t="s">
        <v>6</v>
      </c>
      <c r="AA7" s="52" t="s">
        <v>19</v>
      </c>
      <c r="AC7" s="77" t="s">
        <v>13</v>
      </c>
    </row>
    <row r="8" spans="2:29" ht="22.5" customHeight="1" thickBot="1" x14ac:dyDescent="0.4">
      <c r="B8" s="55" t="s">
        <v>9</v>
      </c>
      <c r="C8" s="45">
        <f>'Tableaux Croisés'!P7</f>
        <v>40</v>
      </c>
      <c r="D8" s="45">
        <f>'Tableaux Croisés'!B7</f>
        <v>160</v>
      </c>
      <c r="E8" s="45">
        <f>'Tableaux Croisés'!I7</f>
        <v>49</v>
      </c>
      <c r="F8" s="45">
        <f>'Tableaux Croisés'!I25</f>
        <v>28</v>
      </c>
      <c r="G8" s="45">
        <f>'Tableaux Croisés'!B25</f>
        <v>12</v>
      </c>
      <c r="H8" s="53">
        <f t="shared" ref="H8:H18" si="0">SUM(C8:G8)</f>
        <v>289</v>
      </c>
      <c r="I8" s="45">
        <f>'Tableaux Croisés'!Q7</f>
        <v>17</v>
      </c>
      <c r="J8" s="45">
        <f>'Tableaux Croisés'!C7</f>
        <v>113</v>
      </c>
      <c r="K8" s="45">
        <f>'Tableaux Croisés'!J7</f>
        <v>57</v>
      </c>
      <c r="L8" s="45">
        <f>'Tableaux Croisés'!J25</f>
        <v>6</v>
      </c>
      <c r="M8" s="45">
        <f>'Tableaux Croisés'!C25</f>
        <v>11</v>
      </c>
      <c r="N8" s="53">
        <f t="shared" ref="N8:N18" si="1">SUM(I8:M8)</f>
        <v>204</v>
      </c>
      <c r="O8" s="45">
        <f>'Tableaux Croisés'!R7</f>
        <v>0</v>
      </c>
      <c r="P8" s="45">
        <f>'Tableaux Croisés'!D7</f>
        <v>0</v>
      </c>
      <c r="Q8" s="45">
        <f>'Tableaux Croisés'!K7</f>
        <v>0</v>
      </c>
      <c r="R8" s="45">
        <f>'Tableaux Croisés'!K25</f>
        <v>0</v>
      </c>
      <c r="S8" s="45">
        <f>'Tableaux Croisés'!D25</f>
        <v>0</v>
      </c>
      <c r="T8" s="53">
        <f t="shared" ref="T8:T18" si="2">SUM(O8:S8)</f>
        <v>0</v>
      </c>
      <c r="U8" s="45">
        <f>'Tableaux Croisés'!S7</f>
        <v>0</v>
      </c>
      <c r="V8" s="45">
        <f>'Tableaux Croisés'!E7</f>
        <v>0</v>
      </c>
      <c r="W8" s="45">
        <f>'Tableaux Croisés'!L7</f>
        <v>0</v>
      </c>
      <c r="X8" s="45">
        <f>'Tableaux Croisés'!L25</f>
        <v>0</v>
      </c>
      <c r="Y8" s="45">
        <f>'Tableaux Croisés'!E25</f>
        <v>0</v>
      </c>
      <c r="Z8" s="53">
        <f t="shared" ref="Z8:Z18" si="3">SUM(U8:Y8)</f>
        <v>0</v>
      </c>
      <c r="AA8" s="54">
        <f t="shared" ref="AA8:AA18" si="4">SUM(H8,N8,T8,Z8)</f>
        <v>493</v>
      </c>
      <c r="AC8" s="77" t="s">
        <v>37</v>
      </c>
    </row>
    <row r="9" spans="2:29" ht="22.5" customHeight="1" thickBot="1" x14ac:dyDescent="0.4">
      <c r="B9" s="55" t="s">
        <v>10</v>
      </c>
      <c r="C9" s="45">
        <f>'Tableaux Croisés'!P16</f>
        <v>20</v>
      </c>
      <c r="D9" s="45">
        <f>'Tableaux Croisés'!B16</f>
        <v>77</v>
      </c>
      <c r="E9" s="45">
        <f>'Tableaux Croisés'!I16</f>
        <v>35</v>
      </c>
      <c r="F9" s="45">
        <f>'Tableaux Croisés'!I34</f>
        <v>37</v>
      </c>
      <c r="G9" s="45">
        <f>'Tableaux Croisés'!B34</f>
        <v>20</v>
      </c>
      <c r="H9" s="53">
        <f t="shared" si="0"/>
        <v>189</v>
      </c>
      <c r="I9" s="45">
        <f>'Tableaux Croisés'!Q16</f>
        <v>17</v>
      </c>
      <c r="J9" s="45">
        <f>'Tableaux Croisés'!C16</f>
        <v>54</v>
      </c>
      <c r="K9" s="45">
        <f>'Tableaux Croisés'!J16</f>
        <v>43</v>
      </c>
      <c r="L9" s="45">
        <f>'Tableaux Croisés'!J34</f>
        <v>35</v>
      </c>
      <c r="M9" s="45">
        <f>'Tableaux Croisés'!C34</f>
        <v>18</v>
      </c>
      <c r="N9" s="53">
        <f t="shared" si="1"/>
        <v>167</v>
      </c>
      <c r="O9" s="45">
        <f>'Tableaux Croisés'!R16</f>
        <v>0</v>
      </c>
      <c r="P9" s="45">
        <f>'Tableaux Croisés'!D16</f>
        <v>0</v>
      </c>
      <c r="Q9" s="45">
        <f>'Tableaux Croisés'!K16</f>
        <v>0</v>
      </c>
      <c r="R9" s="45">
        <f>'Tableaux Croisés'!K34</f>
        <v>0</v>
      </c>
      <c r="S9" s="45">
        <f>'Tableaux Croisés'!D34</f>
        <v>0</v>
      </c>
      <c r="T9" s="53">
        <f t="shared" si="2"/>
        <v>0</v>
      </c>
      <c r="U9" s="45">
        <f>'Tableaux Croisés'!S16</f>
        <v>0</v>
      </c>
      <c r="V9" s="45">
        <f>'Tableaux Croisés'!E16</f>
        <v>0</v>
      </c>
      <c r="W9" s="45">
        <f>'Tableaux Croisés'!L16</f>
        <v>0</v>
      </c>
      <c r="X9" s="45">
        <f>'Tableaux Croisés'!L34</f>
        <v>0</v>
      </c>
      <c r="Y9" s="45">
        <f>'Tableaux Croisés'!E34</f>
        <v>0</v>
      </c>
      <c r="Z9" s="53">
        <f t="shared" si="3"/>
        <v>0</v>
      </c>
      <c r="AA9" s="54">
        <f t="shared" si="4"/>
        <v>356</v>
      </c>
      <c r="AC9" s="77" t="s">
        <v>12</v>
      </c>
    </row>
    <row r="10" spans="2:29" ht="22.5" customHeight="1" thickBot="1" x14ac:dyDescent="0.4">
      <c r="B10" s="55" t="s">
        <v>13</v>
      </c>
      <c r="C10" s="45">
        <f>'Tableaux Croisés'!P11</f>
        <v>3</v>
      </c>
      <c r="D10" s="45">
        <f>'Tableaux Croisés'!B11</f>
        <v>68</v>
      </c>
      <c r="E10" s="45">
        <f>'Tableaux Croisés'!I11</f>
        <v>72</v>
      </c>
      <c r="F10" s="45">
        <f>'Tableaux Croisés'!I29</f>
        <v>41</v>
      </c>
      <c r="G10" s="45">
        <f>'Tableaux Croisés'!B29</f>
        <v>6</v>
      </c>
      <c r="H10" s="53">
        <f t="shared" si="0"/>
        <v>190</v>
      </c>
      <c r="I10" s="45">
        <f>'Tableaux Croisés'!Q11</f>
        <v>0</v>
      </c>
      <c r="J10" s="45">
        <f>'Tableaux Croisés'!C11</f>
        <v>70</v>
      </c>
      <c r="K10" s="45">
        <f>'Tableaux Croisés'!J11</f>
        <v>34</v>
      </c>
      <c r="L10" s="45">
        <f>'Tableaux Croisés'!J29</f>
        <v>48</v>
      </c>
      <c r="M10" s="45">
        <f>'Tableaux Croisés'!C29</f>
        <v>5</v>
      </c>
      <c r="N10" s="53">
        <f t="shared" si="1"/>
        <v>157</v>
      </c>
      <c r="O10" s="45">
        <f>'Tableaux Croisés'!R11</f>
        <v>0</v>
      </c>
      <c r="P10" s="45">
        <f>'Tableaux Croisés'!D11</f>
        <v>0</v>
      </c>
      <c r="Q10" s="45">
        <f>'Tableaux Croisés'!K11</f>
        <v>0</v>
      </c>
      <c r="R10" s="45">
        <f>'Tableaux Croisés'!K29</f>
        <v>0</v>
      </c>
      <c r="S10" s="45">
        <f>'Tableaux Croisés'!D29</f>
        <v>0</v>
      </c>
      <c r="T10" s="53">
        <f t="shared" si="2"/>
        <v>0</v>
      </c>
      <c r="U10" s="45">
        <f>'Tableaux Croisés'!S11</f>
        <v>0</v>
      </c>
      <c r="V10" s="45">
        <f>'Tableaux Croisés'!E11</f>
        <v>0</v>
      </c>
      <c r="W10" s="45">
        <f>'Tableaux Croisés'!L11</f>
        <v>0</v>
      </c>
      <c r="X10" s="45">
        <f>'Tableaux Croisés'!L29</f>
        <v>0</v>
      </c>
      <c r="Y10" s="45">
        <f>'Tableaux Croisés'!E29</f>
        <v>0</v>
      </c>
      <c r="Z10" s="53">
        <f t="shared" si="3"/>
        <v>0</v>
      </c>
      <c r="AA10" s="56">
        <f t="shared" si="4"/>
        <v>347</v>
      </c>
      <c r="AC10" s="77" t="s">
        <v>294</v>
      </c>
    </row>
    <row r="11" spans="2:29" ht="22.5" customHeight="1" thickBot="1" x14ac:dyDescent="0.4">
      <c r="B11" s="55" t="s">
        <v>66</v>
      </c>
      <c r="C11" s="45">
        <f>'Tableaux Croisés'!P15</f>
        <v>5</v>
      </c>
      <c r="D11" s="45">
        <f>'Tableaux Croisés'!B15</f>
        <v>73</v>
      </c>
      <c r="E11" s="45">
        <f>'Tableaux Croisés'!I15</f>
        <v>28</v>
      </c>
      <c r="F11" s="45">
        <f>'Tableaux Croisés'!I33</f>
        <v>31</v>
      </c>
      <c r="G11" s="45">
        <f>'Tableaux Croisés'!B35</f>
        <v>0</v>
      </c>
      <c r="H11" s="53">
        <f t="shared" si="0"/>
        <v>137</v>
      </c>
      <c r="I11" s="45">
        <f>'Tableaux Croisés'!Q15</f>
        <v>1</v>
      </c>
      <c r="J11" s="45">
        <f>'Tableaux Croisés'!C15</f>
        <v>22</v>
      </c>
      <c r="K11" s="45">
        <f>'Tableaux Croisés'!J15</f>
        <v>26</v>
      </c>
      <c r="L11" s="45">
        <f>'Tableaux Croisés'!J33</f>
        <v>19</v>
      </c>
      <c r="M11" s="45">
        <f>'Tableaux Croisés'!C33</f>
        <v>0</v>
      </c>
      <c r="N11" s="53">
        <f t="shared" si="1"/>
        <v>68</v>
      </c>
      <c r="O11" s="45">
        <f>'Tableaux Croisés'!R15</f>
        <v>0</v>
      </c>
      <c r="P11" s="45">
        <f>'Tableaux Croisés'!D15</f>
        <v>0</v>
      </c>
      <c r="Q11" s="45">
        <f>'Tableaux Croisés'!K15</f>
        <v>0</v>
      </c>
      <c r="R11" s="45">
        <f>'Tableaux Croisés'!K33</f>
        <v>0</v>
      </c>
      <c r="S11" s="45">
        <f>'Tableaux Croisés'!D33</f>
        <v>0</v>
      </c>
      <c r="T11" s="53">
        <f t="shared" si="2"/>
        <v>0</v>
      </c>
      <c r="U11" s="45">
        <f>'Tableaux Croisés'!S15</f>
        <v>0</v>
      </c>
      <c r="V11" s="45">
        <f>'Tableaux Croisés'!E15</f>
        <v>0</v>
      </c>
      <c r="W11" s="45">
        <f>'Tableaux Croisés'!L15</f>
        <v>0</v>
      </c>
      <c r="X11" s="45">
        <f>'Tableaux Croisés'!L33</f>
        <v>0</v>
      </c>
      <c r="Y11" s="45">
        <f>'Tableaux Croisés'!E33</f>
        <v>0</v>
      </c>
      <c r="Z11" s="53">
        <f t="shared" si="3"/>
        <v>0</v>
      </c>
      <c r="AA11" s="56">
        <f t="shared" si="4"/>
        <v>205</v>
      </c>
      <c r="AC11" s="77" t="s">
        <v>66</v>
      </c>
    </row>
    <row r="12" spans="2:29" ht="22.5" customHeight="1" thickBot="1" x14ac:dyDescent="0.4">
      <c r="B12" s="55" t="s">
        <v>79</v>
      </c>
      <c r="C12" s="45">
        <f>'Tableaux Croisés'!P10</f>
        <v>9</v>
      </c>
      <c r="D12" s="45">
        <f>'Tableaux Croisés'!B10</f>
        <v>24</v>
      </c>
      <c r="E12" s="45">
        <f>'Tableaux Croisés'!I10</f>
        <v>43</v>
      </c>
      <c r="F12" s="45">
        <f>'Tableaux Croisés'!I28</f>
        <v>23</v>
      </c>
      <c r="G12" s="45">
        <f>'Tableaux Croisés'!B28</f>
        <v>2</v>
      </c>
      <c r="H12" s="53">
        <f t="shared" si="0"/>
        <v>101</v>
      </c>
      <c r="I12" s="45">
        <f>'Tableaux Croisés'!Q10</f>
        <v>9</v>
      </c>
      <c r="J12" s="45">
        <f>'Tableaux Croisés'!C10</f>
        <v>35</v>
      </c>
      <c r="K12" s="45">
        <f>'Tableaux Croisés'!J10</f>
        <v>15</v>
      </c>
      <c r="L12" s="45">
        <f>'Tableaux Croisés'!J28</f>
        <v>21</v>
      </c>
      <c r="M12" s="45">
        <f>'Tableaux Croisés'!C28</f>
        <v>0</v>
      </c>
      <c r="N12" s="53">
        <f t="shared" si="1"/>
        <v>80</v>
      </c>
      <c r="O12" s="45">
        <f>'Tableaux Croisés'!R10</f>
        <v>0</v>
      </c>
      <c r="P12" s="45">
        <f>'Tableaux Croisés'!D10</f>
        <v>0</v>
      </c>
      <c r="Q12" s="45">
        <f>'Tableaux Croisés'!K10</f>
        <v>0</v>
      </c>
      <c r="R12" s="45">
        <f>'Tableaux Croisés'!K28</f>
        <v>0</v>
      </c>
      <c r="S12" s="45">
        <f>'Tableaux Croisés'!D28</f>
        <v>0</v>
      </c>
      <c r="T12" s="53">
        <f t="shared" si="2"/>
        <v>0</v>
      </c>
      <c r="U12" s="45">
        <f>'Tableaux Croisés'!S10</f>
        <v>0</v>
      </c>
      <c r="V12" s="45">
        <f>'Tableaux Croisés'!E10</f>
        <v>0</v>
      </c>
      <c r="W12" s="45">
        <f>'Tableaux Croisés'!L10</f>
        <v>0</v>
      </c>
      <c r="X12" s="45">
        <f>'Tableaux Croisés'!L28</f>
        <v>0</v>
      </c>
      <c r="Y12" s="45">
        <f>'Tableaux Croisés'!E28</f>
        <v>0</v>
      </c>
      <c r="Z12" s="53">
        <f t="shared" si="3"/>
        <v>0</v>
      </c>
      <c r="AA12" s="56">
        <f t="shared" si="4"/>
        <v>181</v>
      </c>
      <c r="AC12" s="77" t="s">
        <v>10</v>
      </c>
    </row>
    <row r="13" spans="2:29" ht="22.5" customHeight="1" thickBot="1" x14ac:dyDescent="0.4">
      <c r="B13" s="55" t="s">
        <v>294</v>
      </c>
      <c r="C13" s="45">
        <f>'Tableaux Croisés'!P14</f>
        <v>25</v>
      </c>
      <c r="D13" s="45">
        <f>'Tableaux Croisés'!B14</f>
        <v>26</v>
      </c>
      <c r="E13" s="45">
        <f>'Tableaux Croisés'!I14</f>
        <v>31</v>
      </c>
      <c r="F13" s="45">
        <f>'Tableaux Croisés'!I32</f>
        <v>11</v>
      </c>
      <c r="G13" s="45">
        <f>'Tableaux Croisés'!B32</f>
        <v>0</v>
      </c>
      <c r="H13" s="53">
        <f t="shared" si="0"/>
        <v>93</v>
      </c>
      <c r="I13" s="45">
        <f>'Tableaux Croisés'!Q14</f>
        <v>7</v>
      </c>
      <c r="J13" s="45">
        <f>'Tableaux Croisés'!C14</f>
        <v>17</v>
      </c>
      <c r="K13" s="45">
        <f>'Tableaux Croisés'!J14</f>
        <v>13</v>
      </c>
      <c r="L13" s="45">
        <f>'Tableaux Croisés'!J32</f>
        <v>0</v>
      </c>
      <c r="M13" s="45">
        <f>'Tableaux Croisés'!C32</f>
        <v>0</v>
      </c>
      <c r="N13" s="53">
        <f t="shared" si="1"/>
        <v>37</v>
      </c>
      <c r="O13" s="45">
        <f>'Tableaux Croisés'!R14</f>
        <v>0</v>
      </c>
      <c r="P13" s="45">
        <f>'Tableaux Croisés'!D14</f>
        <v>0</v>
      </c>
      <c r="Q13" s="45">
        <f>'Tableaux Croisés'!K14</f>
        <v>0</v>
      </c>
      <c r="R13" s="45">
        <f>'Tableaux Croisés'!K32</f>
        <v>0</v>
      </c>
      <c r="S13" s="45">
        <f>'Tableaux Croisés'!D32</f>
        <v>0</v>
      </c>
      <c r="T13" s="53">
        <f t="shared" si="2"/>
        <v>0</v>
      </c>
      <c r="U13" s="45">
        <f>'Tableaux Croisés'!S14</f>
        <v>0</v>
      </c>
      <c r="V13" s="45">
        <f>'Tableaux Croisés'!E14</f>
        <v>0</v>
      </c>
      <c r="W13" s="45">
        <f>'Tableaux Croisés'!L14</f>
        <v>0</v>
      </c>
      <c r="X13" s="45">
        <f>'Tableaux Croisés'!L32</f>
        <v>0</v>
      </c>
      <c r="Y13" s="45">
        <f>'Tableaux Croisés'!E32</f>
        <v>0</v>
      </c>
      <c r="Z13" s="53">
        <f t="shared" si="3"/>
        <v>0</v>
      </c>
      <c r="AA13" s="56">
        <f t="shared" si="4"/>
        <v>130</v>
      </c>
      <c r="AC13" s="77" t="s">
        <v>77</v>
      </c>
    </row>
    <row r="14" spans="2:29" ht="22.5" customHeight="1" thickBot="1" x14ac:dyDescent="0.4">
      <c r="B14" s="57" t="s">
        <v>12</v>
      </c>
      <c r="C14" s="45">
        <f>'Tableaux Croisés'!P13</f>
        <v>17</v>
      </c>
      <c r="D14" s="45">
        <f>'Tableaux Croisés'!B13</f>
        <v>35</v>
      </c>
      <c r="E14" s="45">
        <f>'Tableaux Croisés'!I13</f>
        <v>1</v>
      </c>
      <c r="F14" s="45">
        <f>'Tableaux Croisés'!I31</f>
        <v>0</v>
      </c>
      <c r="G14" s="45">
        <f>'Tableaux Croisés'!B31</f>
        <v>0</v>
      </c>
      <c r="H14" s="53">
        <f t="shared" si="0"/>
        <v>53</v>
      </c>
      <c r="I14" s="45">
        <f>'Tableaux Croisés'!Q13</f>
        <v>5</v>
      </c>
      <c r="J14" s="45">
        <f>'Tableaux Croisés'!C13</f>
        <v>37</v>
      </c>
      <c r="K14" s="45">
        <f>'Tableaux Croisés'!J13</f>
        <v>1</v>
      </c>
      <c r="L14" s="45">
        <f>'Tableaux Croisés'!J31</f>
        <v>6</v>
      </c>
      <c r="M14" s="45">
        <f>'Tableaux Croisés'!C31</f>
        <v>0</v>
      </c>
      <c r="N14" s="53">
        <f t="shared" si="1"/>
        <v>49</v>
      </c>
      <c r="O14" s="45">
        <f>'Tableaux Croisés'!R13</f>
        <v>0</v>
      </c>
      <c r="P14" s="45">
        <f>'Tableaux Croisés'!D13</f>
        <v>0</v>
      </c>
      <c r="Q14" s="45">
        <f>'Tableaux Croisés'!K13</f>
        <v>0</v>
      </c>
      <c r="R14" s="45">
        <f>'Tableaux Croisés'!K31</f>
        <v>0</v>
      </c>
      <c r="S14" s="45">
        <f>'Tableaux Croisés'!D31</f>
        <v>0</v>
      </c>
      <c r="T14" s="53">
        <f t="shared" si="2"/>
        <v>0</v>
      </c>
      <c r="U14" s="45">
        <f>'Tableaux Croisés'!S13</f>
        <v>0</v>
      </c>
      <c r="V14" s="45">
        <f>'Tableaux Croisés'!E13</f>
        <v>0</v>
      </c>
      <c r="W14" s="45">
        <f>'Tableaux Croisés'!L13</f>
        <v>0</v>
      </c>
      <c r="X14" s="45">
        <f>'Tableaux Croisés'!L31</f>
        <v>0</v>
      </c>
      <c r="Y14" s="45">
        <f>'Tableaux Croisés'!E31</f>
        <v>0</v>
      </c>
      <c r="Z14" s="53">
        <f t="shared" si="3"/>
        <v>0</v>
      </c>
      <c r="AA14" s="56">
        <f t="shared" si="4"/>
        <v>102</v>
      </c>
    </row>
    <row r="15" spans="2:29" ht="22.5" customHeight="1" thickBot="1" x14ac:dyDescent="0.4">
      <c r="B15" s="57" t="s">
        <v>77</v>
      </c>
      <c r="C15" s="45">
        <f>'Tableaux Croisés'!P17</f>
        <v>0</v>
      </c>
      <c r="D15" s="45">
        <f>'Tableaux Croisés'!B17</f>
        <v>22</v>
      </c>
      <c r="E15" s="45">
        <f>'Tableaux Croisés'!I17</f>
        <v>27</v>
      </c>
      <c r="F15" s="45">
        <f>'Tableaux Croisés'!I35</f>
        <v>22</v>
      </c>
      <c r="G15" s="45">
        <f>'Tableaux Croisés'!B35</f>
        <v>0</v>
      </c>
      <c r="H15" s="53">
        <f t="shared" si="0"/>
        <v>71</v>
      </c>
      <c r="I15" s="45">
        <f>'Tableaux Croisés'!Q17</f>
        <v>0</v>
      </c>
      <c r="J15" s="45">
        <f>'Tableaux Croisés'!C1</f>
        <v>0</v>
      </c>
      <c r="K15" s="45">
        <f>'Tableaux Croisés'!J17</f>
        <v>10</v>
      </c>
      <c r="L15" s="45">
        <f>'Tableaux Croisés'!J35</f>
        <v>18</v>
      </c>
      <c r="M15" s="45">
        <f>'Tableaux Croisés'!C35</f>
        <v>0</v>
      </c>
      <c r="N15" s="53">
        <f t="shared" si="1"/>
        <v>28</v>
      </c>
      <c r="O15" s="45">
        <f>'Tableaux Croisés'!R17</f>
        <v>0</v>
      </c>
      <c r="P15" s="45">
        <f>'Tableaux Croisés'!D17</f>
        <v>0</v>
      </c>
      <c r="Q15" s="45">
        <f>'Tableaux Croisés'!K17</f>
        <v>0</v>
      </c>
      <c r="R15" s="45">
        <f>'Tableaux Croisés'!K35</f>
        <v>0</v>
      </c>
      <c r="S15" s="45">
        <f>'Tableaux Croisés'!D35</f>
        <v>0</v>
      </c>
      <c r="T15" s="53">
        <f t="shared" si="2"/>
        <v>0</v>
      </c>
      <c r="U15" s="45">
        <f>'Tableaux Croisés'!S17</f>
        <v>0</v>
      </c>
      <c r="V15" s="45">
        <f>'Tableaux Croisés'!E17</f>
        <v>0</v>
      </c>
      <c r="W15" s="45">
        <f>'Tableaux Croisés'!L17</f>
        <v>0</v>
      </c>
      <c r="X15" s="45">
        <f>'Tableaux Croisés'!L35</f>
        <v>0</v>
      </c>
      <c r="Y15" s="45">
        <f>'Tableaux Croisés'!E35</f>
        <v>0</v>
      </c>
      <c r="Z15" s="53">
        <f t="shared" si="3"/>
        <v>0</v>
      </c>
      <c r="AA15" s="56">
        <f t="shared" si="4"/>
        <v>99</v>
      </c>
    </row>
    <row r="16" spans="2:29" ht="22.5" customHeight="1" thickBot="1" x14ac:dyDescent="0.4">
      <c r="B16" s="55" t="s">
        <v>65</v>
      </c>
      <c r="C16" s="45">
        <f>'Tableaux Croisés'!P9</f>
        <v>16</v>
      </c>
      <c r="D16" s="45">
        <f>'Tableaux Croisés'!B9</f>
        <v>29</v>
      </c>
      <c r="E16" s="45">
        <f>'Tableaux Croisés'!I9</f>
        <v>14</v>
      </c>
      <c r="F16" s="45">
        <f>'Tableaux Croisés'!I27</f>
        <v>4</v>
      </c>
      <c r="G16" s="45">
        <f>'Tableaux Croisés'!B27</f>
        <v>5</v>
      </c>
      <c r="H16" s="53">
        <f t="shared" si="0"/>
        <v>68</v>
      </c>
      <c r="I16" s="45">
        <f>'Tableaux Croisés'!Q9</f>
        <v>8</v>
      </c>
      <c r="J16" s="45">
        <f>'Tableaux Croisés'!C9</f>
        <v>7</v>
      </c>
      <c r="K16" s="45">
        <f>'Tableaux Croisés'!J9</f>
        <v>6</v>
      </c>
      <c r="L16" s="45">
        <f>'Tableaux Croisés'!J27</f>
        <v>0</v>
      </c>
      <c r="M16" s="45">
        <f>'Tableaux Croisés'!C27</f>
        <v>3</v>
      </c>
      <c r="N16" s="53">
        <f t="shared" si="1"/>
        <v>24</v>
      </c>
      <c r="O16" s="45">
        <f>'Tableaux Croisés'!R9</f>
        <v>0</v>
      </c>
      <c r="P16" s="45">
        <f>'Tableaux Croisés'!D9</f>
        <v>0</v>
      </c>
      <c r="Q16" s="45">
        <f>'Tableaux Croisés'!K9</f>
        <v>0</v>
      </c>
      <c r="R16" s="45">
        <f>'Tableaux Croisés'!K27</f>
        <v>0</v>
      </c>
      <c r="S16" s="45">
        <f>'Tableaux Croisés'!D27</f>
        <v>0</v>
      </c>
      <c r="T16" s="53">
        <f t="shared" si="2"/>
        <v>0</v>
      </c>
      <c r="U16" s="45">
        <f>'Tableaux Croisés'!S9</f>
        <v>0</v>
      </c>
      <c r="V16" s="45">
        <f>'Tableaux Croisés'!E9</f>
        <v>0</v>
      </c>
      <c r="W16" s="45">
        <f>'Tableaux Croisés'!L9</f>
        <v>0</v>
      </c>
      <c r="X16" s="45">
        <f>'Tableaux Croisés'!L27</f>
        <v>0</v>
      </c>
      <c r="Y16" s="45">
        <f>'Tableaux Croisés'!E27</f>
        <v>0</v>
      </c>
      <c r="Z16" s="53">
        <f t="shared" si="3"/>
        <v>0</v>
      </c>
      <c r="AA16" s="56">
        <f t="shared" si="4"/>
        <v>92</v>
      </c>
    </row>
    <row r="17" spans="2:27" ht="22.5" customHeight="1" thickBot="1" x14ac:dyDescent="0.4">
      <c r="B17" s="57" t="s">
        <v>11</v>
      </c>
      <c r="C17" s="45">
        <f>'Tableaux Croisés'!P8</f>
        <v>0</v>
      </c>
      <c r="D17" s="45">
        <f>'Tableaux Croisés'!B8</f>
        <v>0</v>
      </c>
      <c r="E17" s="45">
        <f>'Tableaux Croisés'!I8</f>
        <v>0</v>
      </c>
      <c r="F17" s="45">
        <f>'Tableaux Croisés'!I26</f>
        <v>18</v>
      </c>
      <c r="G17" s="45">
        <f>'Tableaux Croisés'!B26</f>
        <v>0</v>
      </c>
      <c r="H17" s="53">
        <f t="shared" si="0"/>
        <v>18</v>
      </c>
      <c r="I17" s="45">
        <f>'Tableaux Croisés'!Q8</f>
        <v>0</v>
      </c>
      <c r="J17" s="45">
        <f>'Tableaux Croisés'!C8</f>
        <v>0</v>
      </c>
      <c r="K17" s="45">
        <f>'Tableaux Croisés'!J8</f>
        <v>2</v>
      </c>
      <c r="L17" s="45">
        <f>'Tableaux Croisés'!J26</f>
        <v>12</v>
      </c>
      <c r="M17" s="45">
        <f>'Tableaux Croisés'!C26</f>
        <v>0</v>
      </c>
      <c r="N17" s="53">
        <f t="shared" si="1"/>
        <v>14</v>
      </c>
      <c r="O17" s="45">
        <f>'Tableaux Croisés'!R8</f>
        <v>0</v>
      </c>
      <c r="P17" s="45">
        <f>'Tableaux Croisés'!D8</f>
        <v>0</v>
      </c>
      <c r="Q17" s="45">
        <f>'Tableaux Croisés'!K8</f>
        <v>0</v>
      </c>
      <c r="R17" s="45">
        <f>'Tableaux Croisés'!K26</f>
        <v>0</v>
      </c>
      <c r="S17" s="45">
        <f>'Tableaux Croisés'!D26</f>
        <v>0</v>
      </c>
      <c r="T17" s="53">
        <f t="shared" si="2"/>
        <v>0</v>
      </c>
      <c r="U17" s="45">
        <f>'Tableaux Croisés'!S8</f>
        <v>0</v>
      </c>
      <c r="V17" s="45">
        <f>'Tableaux Croisés'!E8</f>
        <v>0</v>
      </c>
      <c r="W17" s="45">
        <f>'Tableaux Croisés'!L8</f>
        <v>0</v>
      </c>
      <c r="X17" s="45">
        <f>'Tableaux Croisés'!L26</f>
        <v>0</v>
      </c>
      <c r="Y17" s="45">
        <f>'Tableaux Croisés'!E26</f>
        <v>0</v>
      </c>
      <c r="Z17" s="53">
        <f t="shared" si="3"/>
        <v>0</v>
      </c>
      <c r="AA17" s="56">
        <f t="shared" si="4"/>
        <v>32</v>
      </c>
    </row>
    <row r="18" spans="2:27" ht="18.5" thickBot="1" x14ac:dyDescent="0.4">
      <c r="B18" s="57" t="s">
        <v>37</v>
      </c>
      <c r="C18" s="45">
        <f>'Tableaux Croisés'!P12</f>
        <v>1</v>
      </c>
      <c r="D18" s="45">
        <f>'Tableaux Croisés'!B12</f>
        <v>8</v>
      </c>
      <c r="E18" s="45">
        <f>'Tableaux Croisés'!I12</f>
        <v>1</v>
      </c>
      <c r="F18" s="45">
        <f>'Tableaux Croisés'!I30</f>
        <v>0</v>
      </c>
      <c r="G18" s="45">
        <f>'Tableaux Croisés'!B30</f>
        <v>3</v>
      </c>
      <c r="H18" s="53">
        <f t="shared" si="0"/>
        <v>13</v>
      </c>
      <c r="I18" s="45">
        <f>'Tableaux Croisés'!Q12</f>
        <v>0</v>
      </c>
      <c r="J18" s="45">
        <f>'Tableaux Croisés'!C12</f>
        <v>0</v>
      </c>
      <c r="K18" s="45">
        <f>'Tableaux Croisés'!J12</f>
        <v>0</v>
      </c>
      <c r="L18" s="45">
        <f>'Tableaux Croisés'!J30</f>
        <v>0</v>
      </c>
      <c r="M18" s="45">
        <f>'Tableaux Croisés'!C30</f>
        <v>0</v>
      </c>
      <c r="N18" s="53">
        <f t="shared" si="1"/>
        <v>0</v>
      </c>
      <c r="O18" s="45">
        <f>'Tableaux Croisés'!R12</f>
        <v>0</v>
      </c>
      <c r="P18" s="45">
        <f>'Tableaux Croisés'!D12</f>
        <v>0</v>
      </c>
      <c r="Q18" s="45">
        <f>'Tableaux Croisés'!K12</f>
        <v>0</v>
      </c>
      <c r="R18" s="45">
        <f>'Tableaux Croisés'!K30</f>
        <v>0</v>
      </c>
      <c r="S18" s="45">
        <f>'Tableaux Croisés'!D30</f>
        <v>0</v>
      </c>
      <c r="T18" s="53">
        <f t="shared" si="2"/>
        <v>0</v>
      </c>
      <c r="U18" s="45">
        <f>'Tableaux Croisés'!S12</f>
        <v>0</v>
      </c>
      <c r="V18" s="45">
        <f>'Tableaux Croisés'!E12</f>
        <v>0</v>
      </c>
      <c r="W18" s="45">
        <f>'Tableaux Croisés'!L12</f>
        <v>0</v>
      </c>
      <c r="X18" s="45">
        <f>'Tableaux Croisés'!L30</f>
        <v>0</v>
      </c>
      <c r="Y18" s="45">
        <f>'Tableaux Croisés'!E30</f>
        <v>0</v>
      </c>
      <c r="Z18" s="53">
        <f t="shared" si="3"/>
        <v>0</v>
      </c>
      <c r="AA18" s="56">
        <f t="shared" si="4"/>
        <v>13</v>
      </c>
    </row>
    <row r="19" spans="2:27" x14ac:dyDescent="0.25">
      <c r="C19" s="18"/>
      <c r="D19" s="18"/>
      <c r="E19" s="18"/>
      <c r="F19" s="18"/>
      <c r="G19" s="18"/>
      <c r="H19" s="18"/>
      <c r="I19" s="18"/>
      <c r="J19" s="18"/>
      <c r="K19" s="18"/>
      <c r="M19" s="65"/>
      <c r="U19" s="18"/>
      <c r="V19" s="18"/>
    </row>
    <row r="20" spans="2:27" x14ac:dyDescent="0.25">
      <c r="C20" s="18"/>
      <c r="D20" s="18"/>
      <c r="E20" s="18"/>
      <c r="F20" s="18"/>
      <c r="G20" s="18"/>
      <c r="H20" s="18"/>
      <c r="I20" s="18"/>
      <c r="J20" s="18"/>
      <c r="K20" s="18"/>
      <c r="M20" s="65"/>
      <c r="U20" s="18"/>
      <c r="V20" s="18"/>
    </row>
    <row r="21" spans="2:27" x14ac:dyDescent="0.25">
      <c r="C21" s="18"/>
      <c r="D21" s="18"/>
      <c r="E21" s="18"/>
      <c r="F21" s="18"/>
      <c r="G21" s="18"/>
      <c r="H21" s="18"/>
      <c r="I21" s="18"/>
      <c r="J21" s="18"/>
      <c r="K21" s="18"/>
      <c r="M21" s="65"/>
      <c r="N21" s="18"/>
      <c r="O21" s="18"/>
    </row>
    <row r="22" spans="2:27" ht="18.5" thickBot="1" x14ac:dyDescent="0.45">
      <c r="B22" s="4" t="s">
        <v>23</v>
      </c>
      <c r="C22" s="5"/>
      <c r="D22" s="20"/>
    </row>
    <row r="23" spans="2:27" ht="13.5" thickBot="1" x14ac:dyDescent="0.35">
      <c r="D23" s="12"/>
      <c r="E23" s="12"/>
      <c r="F23" s="21"/>
      <c r="G23" s="12"/>
      <c r="H23" s="21"/>
      <c r="I23" s="21"/>
      <c r="J23" s="21"/>
      <c r="K23" s="12"/>
      <c r="O23" s="100" t="s">
        <v>102</v>
      </c>
      <c r="P23" s="97" t="s">
        <v>104</v>
      </c>
      <c r="Q23" s="98"/>
      <c r="R23" s="98"/>
      <c r="S23" s="98"/>
      <c r="T23" s="74"/>
    </row>
    <row r="24" spans="2:27" ht="13.5" thickBot="1" x14ac:dyDescent="0.35">
      <c r="B24" s="1"/>
      <c r="C24" s="10"/>
      <c r="D24" s="13" t="s">
        <v>2</v>
      </c>
      <c r="E24" s="14"/>
      <c r="F24" s="13" t="s">
        <v>3</v>
      </c>
      <c r="G24" s="14"/>
      <c r="H24" s="13" t="s">
        <v>4</v>
      </c>
      <c r="I24" s="14"/>
      <c r="J24" s="13" t="s">
        <v>5</v>
      </c>
      <c r="K24" s="13"/>
      <c r="L24" s="71" t="s">
        <v>36</v>
      </c>
      <c r="O24" s="93" t="s">
        <v>103</v>
      </c>
      <c r="P24" s="12" t="s">
        <v>105</v>
      </c>
      <c r="Q24" s="12" t="s">
        <v>106</v>
      </c>
      <c r="R24" s="12" t="s">
        <v>107</v>
      </c>
      <c r="S24" s="12" t="s">
        <v>108</v>
      </c>
      <c r="T24" s="89" t="s">
        <v>71</v>
      </c>
    </row>
    <row r="25" spans="2:27" ht="13.5" thickBot="1" x14ac:dyDescent="0.35">
      <c r="B25" s="1"/>
      <c r="C25" s="10"/>
      <c r="D25" s="44"/>
      <c r="E25" s="10"/>
      <c r="F25" s="16"/>
      <c r="G25" s="10"/>
      <c r="H25" s="9"/>
      <c r="I25" s="10"/>
      <c r="J25" s="11"/>
      <c r="L25" s="69"/>
      <c r="O25" s="139" t="s">
        <v>9</v>
      </c>
      <c r="P25">
        <v>45</v>
      </c>
      <c r="Q25">
        <v>33</v>
      </c>
      <c r="T25" s="88">
        <v>78</v>
      </c>
    </row>
    <row r="26" spans="2:27" ht="15.5" x14ac:dyDescent="0.3">
      <c r="B26" s="22" t="s">
        <v>100</v>
      </c>
      <c r="C26" s="23"/>
      <c r="D26" s="24"/>
      <c r="E26" s="25">
        <f>Poussins!H117</f>
        <v>30</v>
      </c>
      <c r="F26" s="26"/>
      <c r="G26" s="25">
        <f>Poussins!J117</f>
        <v>16</v>
      </c>
      <c r="H26" s="26"/>
      <c r="I26" s="25">
        <f>Poussins!L117</f>
        <v>23</v>
      </c>
      <c r="J26" s="26"/>
      <c r="K26" s="23">
        <f>Poussins!N117</f>
        <v>0</v>
      </c>
      <c r="L26" s="70">
        <f>SUM(E26:K26)</f>
        <v>69</v>
      </c>
      <c r="O26" s="139" t="s">
        <v>11</v>
      </c>
      <c r="P26">
        <v>5</v>
      </c>
      <c r="Q26">
        <v>6</v>
      </c>
      <c r="T26" s="88">
        <v>11</v>
      </c>
    </row>
    <row r="27" spans="2:27" s="18" customFormat="1" ht="15.5" x14ac:dyDescent="0.3">
      <c r="B27" s="85" t="s">
        <v>20</v>
      </c>
      <c r="C27" s="81"/>
      <c r="D27" s="82"/>
      <c r="E27" s="83">
        <f>Benjamins!H219</f>
        <v>86</v>
      </c>
      <c r="F27" s="34"/>
      <c r="G27" s="83">
        <f>Benjamins!J219</f>
        <v>62</v>
      </c>
      <c r="H27" s="34"/>
      <c r="I27" s="83">
        <f>Benjamins!L219</f>
        <v>0</v>
      </c>
      <c r="J27" s="34"/>
      <c r="K27" s="84">
        <f>Benjamins!N219</f>
        <v>0</v>
      </c>
      <c r="L27" s="70">
        <f>SUM(E27:K27)</f>
        <v>148</v>
      </c>
      <c r="M27"/>
      <c r="O27" s="139" t="s">
        <v>65</v>
      </c>
      <c r="P27">
        <v>14</v>
      </c>
      <c r="Q27">
        <v>5</v>
      </c>
      <c r="R27"/>
      <c r="S27"/>
      <c r="T27" s="88">
        <v>19</v>
      </c>
      <c r="U27"/>
      <c r="V27"/>
      <c r="W27"/>
      <c r="X27"/>
      <c r="Y27"/>
      <c r="Z27"/>
    </row>
    <row r="28" spans="2:27" s="18" customFormat="1" ht="15.5" x14ac:dyDescent="0.3">
      <c r="B28" s="27" t="s">
        <v>21</v>
      </c>
      <c r="C28" s="28"/>
      <c r="D28" s="29"/>
      <c r="E28" s="30">
        <f>Minimes!H175</f>
        <v>58</v>
      </c>
      <c r="F28" s="31"/>
      <c r="G28" s="30">
        <f>Minimes!J175</f>
        <v>39</v>
      </c>
      <c r="H28" s="31"/>
      <c r="I28" s="30">
        <f>Minimes!L175</f>
        <v>32</v>
      </c>
      <c r="J28" s="31"/>
      <c r="K28" s="30">
        <f>Minimes!N175</f>
        <v>0</v>
      </c>
      <c r="L28" s="70">
        <f>SUM(E28:K28)</f>
        <v>129</v>
      </c>
      <c r="M28"/>
      <c r="O28" s="139" t="s">
        <v>79</v>
      </c>
      <c r="P28">
        <v>18</v>
      </c>
      <c r="Q28">
        <v>13</v>
      </c>
      <c r="R28"/>
      <c r="S28"/>
      <c r="T28" s="88">
        <v>31</v>
      </c>
      <c r="U28"/>
      <c r="V28"/>
      <c r="W28"/>
      <c r="X28"/>
      <c r="Y28"/>
      <c r="Z28"/>
    </row>
    <row r="29" spans="2:27" s="18" customFormat="1" ht="15.5" x14ac:dyDescent="0.3">
      <c r="B29" s="32" t="s">
        <v>22</v>
      </c>
      <c r="C29" s="33"/>
      <c r="D29" s="29"/>
      <c r="E29" s="30">
        <f>'Cadets-Juniors'!H136</f>
        <v>39</v>
      </c>
      <c r="F29" s="31"/>
      <c r="G29" s="30">
        <f>'Cadets-Juniors'!J136</f>
        <v>31</v>
      </c>
      <c r="H29" s="31"/>
      <c r="I29" s="30">
        <f>'Cadets-Juniors'!L136</f>
        <v>24</v>
      </c>
      <c r="J29" s="31"/>
      <c r="K29" s="30">
        <f>'Cadets-Juniors'!N136</f>
        <v>0</v>
      </c>
      <c r="L29" s="70">
        <f>SUM(E29:K29)</f>
        <v>94</v>
      </c>
      <c r="M29"/>
      <c r="O29" s="139" t="s">
        <v>13</v>
      </c>
      <c r="P29">
        <v>39</v>
      </c>
      <c r="Q29">
        <v>26</v>
      </c>
      <c r="R29"/>
      <c r="S29"/>
      <c r="T29" s="88">
        <v>65</v>
      </c>
      <c r="U29"/>
      <c r="V29"/>
      <c r="W29"/>
      <c r="X29"/>
      <c r="Y29"/>
      <c r="Z29"/>
    </row>
    <row r="30" spans="2:27" s="18" customFormat="1" ht="15.5" x14ac:dyDescent="0.3">
      <c r="B30" s="27" t="s">
        <v>59</v>
      </c>
      <c r="C30" s="28"/>
      <c r="D30" s="29"/>
      <c r="E30" s="30">
        <f>Feminines!H86</f>
        <v>9</v>
      </c>
      <c r="F30" s="34"/>
      <c r="G30" s="30">
        <f>Feminines!J86</f>
        <v>7</v>
      </c>
      <c r="H30" s="31"/>
      <c r="I30" s="30">
        <f>Feminines!L86</f>
        <v>10</v>
      </c>
      <c r="J30" s="31"/>
      <c r="K30" s="68">
        <f>Feminines!N86</f>
        <v>0</v>
      </c>
      <c r="L30" s="70">
        <f>SUM(E30:K30)</f>
        <v>26</v>
      </c>
      <c r="M30"/>
      <c r="O30" s="139" t="s">
        <v>37</v>
      </c>
      <c r="P30">
        <v>4</v>
      </c>
      <c r="Q30"/>
      <c r="R30"/>
      <c r="S30"/>
      <c r="T30" s="88">
        <v>4</v>
      </c>
      <c r="U30"/>
      <c r="V30"/>
      <c r="W30"/>
      <c r="X30"/>
      <c r="Y30"/>
      <c r="Z30"/>
    </row>
    <row r="31" spans="2:27" s="18" customFormat="1" ht="16" thickBot="1" x14ac:dyDescent="0.35">
      <c r="B31" s="60" t="s">
        <v>6</v>
      </c>
      <c r="C31" s="61"/>
      <c r="D31" s="62"/>
      <c r="E31" s="63">
        <f>SUM(E26:E30)</f>
        <v>222</v>
      </c>
      <c r="F31" s="64"/>
      <c r="G31" s="63">
        <f>SUM(G26:G30)</f>
        <v>155</v>
      </c>
      <c r="H31" s="64"/>
      <c r="I31" s="63">
        <f>SUM(I26:I30)</f>
        <v>89</v>
      </c>
      <c r="J31" s="64"/>
      <c r="K31" s="63">
        <f>SUM(K26:K30)</f>
        <v>0</v>
      </c>
      <c r="L31" s="63">
        <f>SUM(L26:L30)</f>
        <v>466</v>
      </c>
      <c r="M31"/>
      <c r="O31" s="139" t="s">
        <v>12</v>
      </c>
      <c r="P31">
        <v>16</v>
      </c>
      <c r="Q31">
        <v>15</v>
      </c>
      <c r="R31"/>
      <c r="S31"/>
      <c r="T31" s="88">
        <v>31</v>
      </c>
      <c r="U31"/>
      <c r="V31"/>
      <c r="W31"/>
      <c r="X31"/>
      <c r="Y31"/>
      <c r="Z31"/>
    </row>
    <row r="32" spans="2:27" ht="13" x14ac:dyDescent="0.3">
      <c r="O32" s="139" t="s">
        <v>294</v>
      </c>
      <c r="P32">
        <v>18</v>
      </c>
      <c r="Q32">
        <v>9</v>
      </c>
      <c r="T32" s="88">
        <v>27</v>
      </c>
    </row>
    <row r="33" spans="12:20" ht="13" x14ac:dyDescent="0.3">
      <c r="O33" s="139" t="s">
        <v>66</v>
      </c>
      <c r="P33">
        <v>22</v>
      </c>
      <c r="Q33">
        <v>12</v>
      </c>
      <c r="T33" s="88">
        <v>34</v>
      </c>
    </row>
    <row r="34" spans="12:20" ht="13" x14ac:dyDescent="0.3">
      <c r="L34" s="59"/>
      <c r="O34" s="139" t="s">
        <v>10</v>
      </c>
      <c r="P34">
        <v>25</v>
      </c>
      <c r="Q34">
        <v>25</v>
      </c>
      <c r="T34" s="88">
        <v>50</v>
      </c>
    </row>
    <row r="35" spans="12:20" ht="13.5" thickBot="1" x14ac:dyDescent="0.35">
      <c r="L35" s="59"/>
      <c r="O35" s="140" t="s">
        <v>77</v>
      </c>
      <c r="P35" s="12">
        <v>14</v>
      </c>
      <c r="Q35" s="12">
        <v>11</v>
      </c>
      <c r="R35" s="12"/>
      <c r="S35" s="12"/>
      <c r="T35" s="89">
        <v>25</v>
      </c>
    </row>
    <row r="36" spans="12:20" ht="13" thickBot="1" x14ac:dyDescent="0.3">
      <c r="M36" s="59"/>
      <c r="O36" s="95" t="s">
        <v>71</v>
      </c>
      <c r="P36" s="12">
        <v>220</v>
      </c>
      <c r="Q36" s="12">
        <v>155</v>
      </c>
      <c r="R36" s="12"/>
      <c r="S36" s="12"/>
      <c r="T36" s="89">
        <v>375</v>
      </c>
    </row>
    <row r="37" spans="12:20" x14ac:dyDescent="0.25">
      <c r="M37" s="59"/>
    </row>
    <row r="38" spans="12:20" x14ac:dyDescent="0.25">
      <c r="M38" s="59"/>
    </row>
    <row r="39" spans="12:20" x14ac:dyDescent="0.25">
      <c r="M39" s="59"/>
    </row>
  </sheetData>
  <autoFilter ref="B7:AA18" xr:uid="{00000000-0009-0000-0000-000006000000}">
    <sortState xmlns:xlrd2="http://schemas.microsoft.com/office/spreadsheetml/2017/richdata2" ref="B8:AA18">
      <sortCondition descending="1" ref="AA8:AA18"/>
    </sortState>
  </autoFilter>
  <mergeCells count="8">
    <mergeCell ref="U5:Z5"/>
    <mergeCell ref="U6:Z6"/>
    <mergeCell ref="C5:H5"/>
    <mergeCell ref="C6:H6"/>
    <mergeCell ref="I5:N5"/>
    <mergeCell ref="I6:N6"/>
    <mergeCell ref="O5:T5"/>
    <mergeCell ref="O6:T6"/>
  </mergeCells>
  <phoneticPr fontId="0" type="noConversion"/>
  <pageMargins left="0.39370078740157483" right="0.39370078740157483" top="0.98425196850393704" bottom="0.98425196850393704" header="0.51181102362204722" footer="0.51181102362204722"/>
  <pageSetup paperSize="9" scale="52" orientation="landscape" horizontalDpi="4294967293" verticalDpi="300" r:id="rId2"/>
  <headerFooter alignWithMargins="0"/>
  <drawing r:id="rId3"/>
  <legacy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2D711-F60A-4E80-8872-700CD384F59C}">
  <dimension ref="A1:G522"/>
  <sheetViews>
    <sheetView topLeftCell="A344" workbookViewId="0">
      <selection activeCell="G354" sqref="G354"/>
    </sheetView>
  </sheetViews>
  <sheetFormatPr baseColWidth="10" defaultColWidth="11.453125" defaultRowHeight="14.5" x14ac:dyDescent="0.35"/>
  <cols>
    <col min="1" max="1" width="8.36328125" style="262" bestFit="1" customWidth="1"/>
    <col min="2" max="2" width="23.453125" style="262" bestFit="1" customWidth="1"/>
    <col min="3" max="3" width="17.1796875" style="262" bestFit="1" customWidth="1"/>
    <col min="4" max="4" width="5.1796875" style="262" bestFit="1" customWidth="1"/>
    <col min="5" max="5" width="10.81640625" style="263" bestFit="1" customWidth="1"/>
    <col min="6" max="6" width="20.81640625" style="262" customWidth="1"/>
    <col min="7" max="7" width="6.36328125" style="262" bestFit="1" customWidth="1"/>
    <col min="8" max="16384" width="11.453125" style="262"/>
  </cols>
  <sheetData>
    <row r="1" spans="1:7" ht="15" thickBot="1" x14ac:dyDescent="0.4">
      <c r="A1" s="428" t="s">
        <v>387</v>
      </c>
      <c r="B1" s="429" t="s">
        <v>0</v>
      </c>
      <c r="C1" s="429" t="s">
        <v>1</v>
      </c>
      <c r="D1" s="429" t="s">
        <v>109</v>
      </c>
      <c r="E1" s="430" t="s">
        <v>8</v>
      </c>
      <c r="F1" s="430" t="s">
        <v>7</v>
      </c>
      <c r="G1" s="431" t="s">
        <v>41</v>
      </c>
    </row>
    <row r="2" spans="1:7" x14ac:dyDescent="0.35">
      <c r="A2" s="435">
        <v>1069</v>
      </c>
      <c r="B2" s="542" t="s">
        <v>271</v>
      </c>
      <c r="C2" s="542" t="s">
        <v>272</v>
      </c>
      <c r="D2" s="437" t="s">
        <v>111</v>
      </c>
      <c r="E2" s="543">
        <v>42911</v>
      </c>
      <c r="F2" s="544" t="s">
        <v>10</v>
      </c>
      <c r="G2" s="482">
        <v>500</v>
      </c>
    </row>
    <row r="3" spans="1:7" x14ac:dyDescent="0.35">
      <c r="A3" s="500">
        <v>2185</v>
      </c>
      <c r="B3" s="545" t="s">
        <v>563</v>
      </c>
      <c r="C3" s="405" t="s">
        <v>619</v>
      </c>
      <c r="D3" s="156" t="s">
        <v>111</v>
      </c>
      <c r="E3" s="402"/>
      <c r="F3" s="378" t="s">
        <v>13</v>
      </c>
      <c r="G3" s="546"/>
    </row>
    <row r="4" spans="1:7" x14ac:dyDescent="0.35">
      <c r="A4" s="500">
        <v>3140</v>
      </c>
      <c r="B4" s="547" t="s">
        <v>563</v>
      </c>
      <c r="C4" s="547" t="s">
        <v>840</v>
      </c>
      <c r="D4" s="156" t="s">
        <v>111</v>
      </c>
      <c r="E4" s="402"/>
      <c r="F4" s="180" t="s">
        <v>13</v>
      </c>
      <c r="G4" s="548"/>
    </row>
    <row r="5" spans="1:7" x14ac:dyDescent="0.35">
      <c r="A5" s="549">
        <v>3099</v>
      </c>
      <c r="B5" s="178" t="s">
        <v>626</v>
      </c>
      <c r="C5" s="178" t="s">
        <v>94</v>
      </c>
      <c r="D5" s="169" t="s">
        <v>111</v>
      </c>
      <c r="E5" s="179">
        <v>41307</v>
      </c>
      <c r="F5" s="180" t="s">
        <v>10</v>
      </c>
      <c r="G5" s="451">
        <v>574</v>
      </c>
    </row>
    <row r="6" spans="1:7" x14ac:dyDescent="0.35">
      <c r="A6" s="549">
        <v>3080</v>
      </c>
      <c r="B6" s="178" t="s">
        <v>627</v>
      </c>
      <c r="C6" s="178" t="s">
        <v>187</v>
      </c>
      <c r="D6" s="169" t="s">
        <v>111</v>
      </c>
      <c r="E6" s="184">
        <v>41973</v>
      </c>
      <c r="F6" s="180" t="s">
        <v>77</v>
      </c>
      <c r="G6" s="451">
        <v>500</v>
      </c>
    </row>
    <row r="7" spans="1:7" x14ac:dyDescent="0.35">
      <c r="A7" s="499">
        <v>3041</v>
      </c>
      <c r="B7" s="186" t="s">
        <v>393</v>
      </c>
      <c r="C7" s="194" t="s">
        <v>141</v>
      </c>
      <c r="D7" s="156" t="s">
        <v>110</v>
      </c>
      <c r="E7" s="188">
        <v>41694</v>
      </c>
      <c r="F7" s="180" t="s">
        <v>79</v>
      </c>
      <c r="G7" s="183">
        <v>500</v>
      </c>
    </row>
    <row r="8" spans="1:7" x14ac:dyDescent="0.35">
      <c r="A8" s="231">
        <v>4001</v>
      </c>
      <c r="B8" s="178" t="s">
        <v>745</v>
      </c>
      <c r="C8" s="178" t="s">
        <v>73</v>
      </c>
      <c r="D8" s="169" t="s">
        <v>111</v>
      </c>
      <c r="E8" s="179">
        <v>41032</v>
      </c>
      <c r="F8" s="180" t="s">
        <v>10</v>
      </c>
      <c r="G8" s="451">
        <v>500</v>
      </c>
    </row>
    <row r="9" spans="1:7" x14ac:dyDescent="0.35">
      <c r="A9" s="443">
        <v>1070</v>
      </c>
      <c r="B9" s="454" t="s">
        <v>274</v>
      </c>
      <c r="C9" s="454" t="s">
        <v>275</v>
      </c>
      <c r="D9" s="481" t="s">
        <v>110</v>
      </c>
      <c r="E9" s="193">
        <v>43191</v>
      </c>
      <c r="F9" s="181" t="s">
        <v>9</v>
      </c>
      <c r="G9" s="451">
        <v>500</v>
      </c>
    </row>
    <row r="10" spans="1:7" x14ac:dyDescent="0.35">
      <c r="A10" s="443">
        <v>1071</v>
      </c>
      <c r="B10" s="454" t="s">
        <v>274</v>
      </c>
      <c r="C10" s="454" t="s">
        <v>276</v>
      </c>
      <c r="D10" s="446" t="s">
        <v>111</v>
      </c>
      <c r="E10" s="193">
        <v>44075</v>
      </c>
      <c r="F10" s="181" t="s">
        <v>9</v>
      </c>
      <c r="G10" s="451">
        <v>500</v>
      </c>
    </row>
    <row r="11" spans="1:7" x14ac:dyDescent="0.35">
      <c r="A11" s="499">
        <v>3073</v>
      </c>
      <c r="B11" s="187" t="s">
        <v>628</v>
      </c>
      <c r="C11" s="187" t="s">
        <v>112</v>
      </c>
      <c r="D11" s="156" t="s">
        <v>111</v>
      </c>
      <c r="E11" s="153">
        <v>41339</v>
      </c>
      <c r="F11" s="180" t="s">
        <v>12</v>
      </c>
      <c r="G11" s="198">
        <v>500</v>
      </c>
    </row>
    <row r="12" spans="1:7" x14ac:dyDescent="0.35">
      <c r="A12" s="443">
        <v>1063</v>
      </c>
      <c r="B12" s="461" t="s">
        <v>277</v>
      </c>
      <c r="C12" s="461" t="s">
        <v>210</v>
      </c>
      <c r="D12" s="446" t="s">
        <v>111</v>
      </c>
      <c r="E12" s="399">
        <v>42765</v>
      </c>
      <c r="F12" s="180" t="s">
        <v>12</v>
      </c>
      <c r="G12" s="198">
        <v>500</v>
      </c>
    </row>
    <row r="13" spans="1:7" x14ac:dyDescent="0.35">
      <c r="A13" s="443">
        <v>1072</v>
      </c>
      <c r="B13" s="454" t="s">
        <v>278</v>
      </c>
      <c r="C13" s="454" t="s">
        <v>816</v>
      </c>
      <c r="D13" s="446" t="s">
        <v>111</v>
      </c>
      <c r="E13" s="193">
        <v>42775</v>
      </c>
      <c r="F13" s="181" t="s">
        <v>9</v>
      </c>
      <c r="G13" s="451">
        <v>500</v>
      </c>
    </row>
    <row r="14" spans="1:7" x14ac:dyDescent="0.35">
      <c r="A14" s="549">
        <v>3096</v>
      </c>
      <c r="B14" s="178" t="s">
        <v>279</v>
      </c>
      <c r="C14" s="178" t="s">
        <v>429</v>
      </c>
      <c r="D14" s="169" t="s">
        <v>110</v>
      </c>
      <c r="E14" s="179">
        <v>41620</v>
      </c>
      <c r="F14" s="180" t="s">
        <v>10</v>
      </c>
      <c r="G14" s="451">
        <v>575</v>
      </c>
    </row>
    <row r="15" spans="1:7" x14ac:dyDescent="0.35">
      <c r="A15" s="231">
        <v>4002</v>
      </c>
      <c r="B15" s="178" t="s">
        <v>279</v>
      </c>
      <c r="C15" s="178" t="s">
        <v>413</v>
      </c>
      <c r="D15" s="169" t="s">
        <v>110</v>
      </c>
      <c r="E15" s="179">
        <v>40917</v>
      </c>
      <c r="F15" s="180" t="s">
        <v>10</v>
      </c>
      <c r="G15" s="451">
        <v>500</v>
      </c>
    </row>
    <row r="16" spans="1:7" x14ac:dyDescent="0.35">
      <c r="A16" s="443">
        <v>1068</v>
      </c>
      <c r="B16" s="450" t="s">
        <v>279</v>
      </c>
      <c r="C16" s="450" t="s">
        <v>813</v>
      </c>
      <c r="D16" s="446" t="s">
        <v>111</v>
      </c>
      <c r="E16" s="383">
        <v>43264</v>
      </c>
      <c r="F16" s="181" t="s">
        <v>10</v>
      </c>
      <c r="G16" s="451">
        <v>508</v>
      </c>
    </row>
    <row r="17" spans="1:7" x14ac:dyDescent="0.35">
      <c r="A17" s="499">
        <v>2141</v>
      </c>
      <c r="B17" s="391" t="s">
        <v>434</v>
      </c>
      <c r="C17" s="391" t="s">
        <v>60</v>
      </c>
      <c r="D17" s="381" t="s">
        <v>111</v>
      </c>
      <c r="E17" s="193">
        <v>42076</v>
      </c>
      <c r="F17" s="378" t="s">
        <v>9</v>
      </c>
      <c r="G17" s="550">
        <v>500</v>
      </c>
    </row>
    <row r="18" spans="1:7" x14ac:dyDescent="0.35">
      <c r="A18" s="499">
        <v>2085</v>
      </c>
      <c r="B18" s="398" t="s">
        <v>435</v>
      </c>
      <c r="C18" s="398" t="s">
        <v>566</v>
      </c>
      <c r="D18" s="156" t="s">
        <v>111</v>
      </c>
      <c r="E18" s="399">
        <v>42192</v>
      </c>
      <c r="F18" s="378" t="s">
        <v>12</v>
      </c>
      <c r="G18" s="519">
        <v>500</v>
      </c>
    </row>
    <row r="19" spans="1:7" x14ac:dyDescent="0.35">
      <c r="A19" s="499">
        <v>2012</v>
      </c>
      <c r="B19" s="400" t="s">
        <v>837</v>
      </c>
      <c r="C19" s="400" t="s">
        <v>339</v>
      </c>
      <c r="D19" s="156" t="s">
        <v>110</v>
      </c>
      <c r="E19" s="377">
        <v>42666</v>
      </c>
      <c r="F19" s="378" t="s">
        <v>294</v>
      </c>
      <c r="G19" s="519" t="s">
        <v>126</v>
      </c>
    </row>
    <row r="20" spans="1:7" x14ac:dyDescent="0.35">
      <c r="A20" s="443">
        <v>1073</v>
      </c>
      <c r="B20" s="454" t="s">
        <v>280</v>
      </c>
      <c r="C20" s="454" t="s">
        <v>48</v>
      </c>
      <c r="D20" s="446" t="s">
        <v>111</v>
      </c>
      <c r="E20" s="193">
        <v>43245</v>
      </c>
      <c r="F20" s="181" t="s">
        <v>9</v>
      </c>
      <c r="G20" s="451">
        <v>500</v>
      </c>
    </row>
    <row r="21" spans="1:7" x14ac:dyDescent="0.35">
      <c r="A21" s="499">
        <v>2142</v>
      </c>
      <c r="B21" s="391" t="s">
        <v>280</v>
      </c>
      <c r="C21" s="391" t="s">
        <v>320</v>
      </c>
      <c r="D21" s="381" t="s">
        <v>111</v>
      </c>
      <c r="E21" s="193">
        <v>42508</v>
      </c>
      <c r="F21" s="378" t="s">
        <v>9</v>
      </c>
      <c r="G21" s="550">
        <v>500</v>
      </c>
    </row>
    <row r="22" spans="1:7" x14ac:dyDescent="0.35">
      <c r="A22" s="499">
        <v>3050</v>
      </c>
      <c r="B22" s="189" t="s">
        <v>281</v>
      </c>
      <c r="C22" s="189" t="s">
        <v>629</v>
      </c>
      <c r="D22" s="156" t="s">
        <v>111</v>
      </c>
      <c r="E22" s="188">
        <v>41607</v>
      </c>
      <c r="F22" s="180" t="s">
        <v>13</v>
      </c>
      <c r="G22" s="198">
        <v>500</v>
      </c>
    </row>
    <row r="23" spans="1:7" x14ac:dyDescent="0.35">
      <c r="A23" s="443">
        <v>1028</v>
      </c>
      <c r="B23" s="460" t="s">
        <v>281</v>
      </c>
      <c r="C23" s="460" t="s">
        <v>735</v>
      </c>
      <c r="D23" s="446" t="s">
        <v>111</v>
      </c>
      <c r="E23" s="377">
        <v>43182</v>
      </c>
      <c r="F23" s="180" t="s">
        <v>13</v>
      </c>
      <c r="G23" s="198">
        <v>500</v>
      </c>
    </row>
    <row r="24" spans="1:7" x14ac:dyDescent="0.35">
      <c r="A24" s="499">
        <v>3036</v>
      </c>
      <c r="B24" s="189" t="s">
        <v>630</v>
      </c>
      <c r="C24" s="189" t="s">
        <v>631</v>
      </c>
      <c r="D24" s="156" t="s">
        <v>111</v>
      </c>
      <c r="E24" s="188">
        <v>41736</v>
      </c>
      <c r="F24" s="180" t="s">
        <v>13</v>
      </c>
      <c r="G24" s="476" t="s">
        <v>126</v>
      </c>
    </row>
    <row r="25" spans="1:7" x14ac:dyDescent="0.35">
      <c r="A25" s="499">
        <v>2043</v>
      </c>
      <c r="B25" s="394" t="s">
        <v>436</v>
      </c>
      <c r="C25" s="394" t="s">
        <v>567</v>
      </c>
      <c r="D25" s="156" t="s">
        <v>111</v>
      </c>
      <c r="E25" s="377">
        <v>42411</v>
      </c>
      <c r="F25" s="378" t="s">
        <v>13</v>
      </c>
      <c r="G25" s="551" t="s">
        <v>126</v>
      </c>
    </row>
    <row r="26" spans="1:7" x14ac:dyDescent="0.35">
      <c r="A26" s="499">
        <v>2132</v>
      </c>
      <c r="B26" s="382" t="s">
        <v>437</v>
      </c>
      <c r="C26" s="382" t="s">
        <v>813</v>
      </c>
      <c r="D26" s="381" t="s">
        <v>111</v>
      </c>
      <c r="E26" s="383">
        <v>42334</v>
      </c>
      <c r="F26" s="378" t="s">
        <v>10</v>
      </c>
      <c r="G26" s="550">
        <v>500</v>
      </c>
    </row>
    <row r="27" spans="1:7" x14ac:dyDescent="0.35">
      <c r="A27" s="231">
        <v>4003</v>
      </c>
      <c r="B27" s="194" t="s">
        <v>198</v>
      </c>
      <c r="C27" s="186" t="s">
        <v>98</v>
      </c>
      <c r="D27" s="156" t="s">
        <v>111</v>
      </c>
      <c r="E27" s="188">
        <v>40861</v>
      </c>
      <c r="F27" s="180" t="s">
        <v>79</v>
      </c>
      <c r="G27" s="183">
        <v>647</v>
      </c>
    </row>
    <row r="28" spans="1:7" x14ac:dyDescent="0.35">
      <c r="A28" s="499">
        <v>2059</v>
      </c>
      <c r="B28" s="394" t="s">
        <v>438</v>
      </c>
      <c r="C28" s="394" t="s">
        <v>112</v>
      </c>
      <c r="D28" s="156" t="s">
        <v>111</v>
      </c>
      <c r="E28" s="377">
        <v>42335</v>
      </c>
      <c r="F28" s="378" t="s">
        <v>13</v>
      </c>
      <c r="G28" s="551" t="s">
        <v>126</v>
      </c>
    </row>
    <row r="29" spans="1:7" x14ac:dyDescent="0.35">
      <c r="A29" s="443">
        <v>1035</v>
      </c>
      <c r="B29" s="461" t="s">
        <v>282</v>
      </c>
      <c r="C29" s="461" t="s">
        <v>283</v>
      </c>
      <c r="D29" s="446" t="s">
        <v>111</v>
      </c>
      <c r="E29" s="399">
        <v>43110</v>
      </c>
      <c r="F29" s="180" t="s">
        <v>12</v>
      </c>
      <c r="G29" s="198">
        <v>500</v>
      </c>
    </row>
    <row r="30" spans="1:7" x14ac:dyDescent="0.35">
      <c r="A30" s="443">
        <v>1023</v>
      </c>
      <c r="B30" s="460" t="s">
        <v>284</v>
      </c>
      <c r="C30" s="460" t="s">
        <v>88</v>
      </c>
      <c r="D30" s="446" t="s">
        <v>111</v>
      </c>
      <c r="E30" s="188">
        <v>43232</v>
      </c>
      <c r="F30" s="180" t="s">
        <v>13</v>
      </c>
      <c r="G30" s="476" t="s">
        <v>126</v>
      </c>
    </row>
    <row r="31" spans="1:7" x14ac:dyDescent="0.35">
      <c r="A31" s="499">
        <v>3076</v>
      </c>
      <c r="B31" s="189" t="s">
        <v>242</v>
      </c>
      <c r="C31" s="189" t="s">
        <v>94</v>
      </c>
      <c r="D31" s="156" t="s">
        <v>111</v>
      </c>
      <c r="E31" s="188">
        <v>41304</v>
      </c>
      <c r="F31" s="180" t="s">
        <v>13</v>
      </c>
      <c r="G31" s="476" t="s">
        <v>126</v>
      </c>
    </row>
    <row r="32" spans="1:7" x14ac:dyDescent="0.35">
      <c r="A32" s="499">
        <v>2036</v>
      </c>
      <c r="B32" s="241" t="s">
        <v>439</v>
      </c>
      <c r="C32" s="242" t="s">
        <v>187</v>
      </c>
      <c r="D32" s="156" t="s">
        <v>111</v>
      </c>
      <c r="E32" s="377">
        <v>42469</v>
      </c>
      <c r="F32" s="378" t="s">
        <v>79</v>
      </c>
      <c r="G32" s="228">
        <v>500</v>
      </c>
    </row>
    <row r="33" spans="1:7" x14ac:dyDescent="0.35">
      <c r="A33" s="499">
        <v>2183</v>
      </c>
      <c r="B33" s="241" t="s">
        <v>440</v>
      </c>
      <c r="C33" s="242" t="s">
        <v>568</v>
      </c>
      <c r="D33" s="156" t="s">
        <v>111</v>
      </c>
      <c r="E33" s="377">
        <v>42469</v>
      </c>
      <c r="F33" s="378" t="s">
        <v>10</v>
      </c>
      <c r="G33" s="228">
        <v>500</v>
      </c>
    </row>
    <row r="34" spans="1:7" x14ac:dyDescent="0.35">
      <c r="A34" s="231">
        <v>4004</v>
      </c>
      <c r="B34" s="185" t="s">
        <v>261</v>
      </c>
      <c r="C34" s="186" t="s">
        <v>262</v>
      </c>
      <c r="D34" s="180" t="s">
        <v>111</v>
      </c>
      <c r="E34" s="152">
        <v>40909</v>
      </c>
      <c r="F34" s="180" t="s">
        <v>11</v>
      </c>
      <c r="G34" s="183">
        <v>500</v>
      </c>
    </row>
    <row r="35" spans="1:7" x14ac:dyDescent="0.35">
      <c r="A35" s="499">
        <v>2102</v>
      </c>
      <c r="B35" s="394" t="s">
        <v>441</v>
      </c>
      <c r="C35" s="394" t="s">
        <v>172</v>
      </c>
      <c r="D35" s="156" t="s">
        <v>111</v>
      </c>
      <c r="E35" s="377">
        <v>42066</v>
      </c>
      <c r="F35" s="378" t="s">
        <v>13</v>
      </c>
      <c r="G35" s="551" t="s">
        <v>126</v>
      </c>
    </row>
    <row r="36" spans="1:7" x14ac:dyDescent="0.35">
      <c r="A36" s="443">
        <v>1004</v>
      </c>
      <c r="B36" s="460" t="s">
        <v>285</v>
      </c>
      <c r="C36" s="460" t="s">
        <v>182</v>
      </c>
      <c r="D36" s="446" t="s">
        <v>111</v>
      </c>
      <c r="E36" s="377">
        <v>43818</v>
      </c>
      <c r="F36" s="180" t="s">
        <v>13</v>
      </c>
      <c r="G36" s="198">
        <v>500</v>
      </c>
    </row>
    <row r="37" spans="1:7" x14ac:dyDescent="0.35">
      <c r="A37" s="231">
        <v>4005</v>
      </c>
      <c r="B37" s="190" t="s">
        <v>193</v>
      </c>
      <c r="C37" s="190" t="s">
        <v>73</v>
      </c>
      <c r="D37" s="169" t="s">
        <v>111</v>
      </c>
      <c r="E37" s="193">
        <v>41002</v>
      </c>
      <c r="F37" s="180" t="s">
        <v>66</v>
      </c>
      <c r="G37" s="451">
        <v>500</v>
      </c>
    </row>
    <row r="38" spans="1:7" x14ac:dyDescent="0.35">
      <c r="A38" s="499">
        <v>2143</v>
      </c>
      <c r="B38" s="391" t="s">
        <v>442</v>
      </c>
      <c r="C38" s="391" t="s">
        <v>569</v>
      </c>
      <c r="D38" s="381" t="s">
        <v>111</v>
      </c>
      <c r="E38" s="193">
        <v>42407</v>
      </c>
      <c r="F38" s="378" t="s">
        <v>9</v>
      </c>
      <c r="G38" s="550">
        <v>500</v>
      </c>
    </row>
    <row r="39" spans="1:7" x14ac:dyDescent="0.35">
      <c r="A39" s="499">
        <v>2100</v>
      </c>
      <c r="B39" s="398" t="s">
        <v>443</v>
      </c>
      <c r="C39" s="398" t="s">
        <v>55</v>
      </c>
      <c r="D39" s="156" t="s">
        <v>111</v>
      </c>
      <c r="E39" s="377">
        <v>42072</v>
      </c>
      <c r="F39" s="378" t="s">
        <v>65</v>
      </c>
      <c r="G39" s="519" t="s">
        <v>126</v>
      </c>
    </row>
    <row r="40" spans="1:7" x14ac:dyDescent="0.35">
      <c r="A40" s="231">
        <v>4006</v>
      </c>
      <c r="B40" s="190" t="s">
        <v>408</v>
      </c>
      <c r="C40" s="190" t="s">
        <v>433</v>
      </c>
      <c r="D40" s="169" t="s">
        <v>110</v>
      </c>
      <c r="E40" s="193">
        <v>41002</v>
      </c>
      <c r="F40" s="180" t="s">
        <v>9</v>
      </c>
      <c r="G40" s="451">
        <v>500</v>
      </c>
    </row>
    <row r="41" spans="1:7" x14ac:dyDescent="0.35">
      <c r="A41" s="499">
        <v>2113</v>
      </c>
      <c r="B41" s="391" t="s">
        <v>444</v>
      </c>
      <c r="C41" s="391" t="s">
        <v>570</v>
      </c>
      <c r="D41" s="381" t="s">
        <v>111</v>
      </c>
      <c r="E41" s="196">
        <v>42617</v>
      </c>
      <c r="F41" s="378" t="s">
        <v>77</v>
      </c>
      <c r="G41" s="228">
        <v>500</v>
      </c>
    </row>
    <row r="42" spans="1:7" x14ac:dyDescent="0.35">
      <c r="A42" s="443">
        <v>1050</v>
      </c>
      <c r="B42" s="461" t="s">
        <v>286</v>
      </c>
      <c r="C42" s="461" t="s">
        <v>125</v>
      </c>
      <c r="D42" s="446" t="s">
        <v>111</v>
      </c>
      <c r="E42" s="188">
        <v>42883</v>
      </c>
      <c r="F42" s="180" t="s">
        <v>65</v>
      </c>
      <c r="G42" s="198" t="s">
        <v>126</v>
      </c>
    </row>
    <row r="43" spans="1:7" x14ac:dyDescent="0.35">
      <c r="A43" s="499">
        <v>2144</v>
      </c>
      <c r="B43" s="391" t="s">
        <v>445</v>
      </c>
      <c r="C43" s="391" t="s">
        <v>89</v>
      </c>
      <c r="D43" s="381" t="s">
        <v>111</v>
      </c>
      <c r="E43" s="193">
        <v>42326</v>
      </c>
      <c r="F43" s="378" t="s">
        <v>9</v>
      </c>
      <c r="G43" s="550">
        <v>500</v>
      </c>
    </row>
    <row r="44" spans="1:7" x14ac:dyDescent="0.35">
      <c r="A44" s="459">
        <v>1089</v>
      </c>
      <c r="B44" s="460" t="s">
        <v>287</v>
      </c>
      <c r="C44" s="461" t="s">
        <v>48</v>
      </c>
      <c r="D44" s="446" t="s">
        <v>111</v>
      </c>
      <c r="E44" s="462">
        <v>42968</v>
      </c>
      <c r="F44" s="181" t="s">
        <v>10</v>
      </c>
      <c r="G44" s="463">
        <v>500</v>
      </c>
    </row>
    <row r="45" spans="1:7" x14ac:dyDescent="0.35">
      <c r="A45" s="231">
        <v>4007</v>
      </c>
      <c r="B45" s="190" t="s">
        <v>746</v>
      </c>
      <c r="C45" s="190" t="s">
        <v>747</v>
      </c>
      <c r="D45" s="169" t="s">
        <v>111</v>
      </c>
      <c r="E45" s="200">
        <v>41267</v>
      </c>
      <c r="F45" s="180" t="s">
        <v>77</v>
      </c>
      <c r="G45" s="183">
        <v>500</v>
      </c>
    </row>
    <row r="46" spans="1:7" x14ac:dyDescent="0.35">
      <c r="A46" s="231">
        <v>4008</v>
      </c>
      <c r="B46" s="191" t="s">
        <v>188</v>
      </c>
      <c r="C46" s="191" t="s">
        <v>189</v>
      </c>
      <c r="D46" s="156" t="s">
        <v>111</v>
      </c>
      <c r="E46" s="188">
        <v>41009</v>
      </c>
      <c r="F46" s="180" t="s">
        <v>66</v>
      </c>
      <c r="G46" s="473">
        <v>517</v>
      </c>
    </row>
    <row r="47" spans="1:7" x14ac:dyDescent="0.35">
      <c r="A47" s="499">
        <v>2047</v>
      </c>
      <c r="B47" s="394" t="s">
        <v>446</v>
      </c>
      <c r="C47" s="394" t="s">
        <v>825</v>
      </c>
      <c r="D47" s="156" t="s">
        <v>111</v>
      </c>
      <c r="E47" s="377">
        <v>42393</v>
      </c>
      <c r="F47" s="378" t="s">
        <v>13</v>
      </c>
      <c r="G47" s="551" t="s">
        <v>126</v>
      </c>
    </row>
    <row r="48" spans="1:7" x14ac:dyDescent="0.35">
      <c r="A48" s="499">
        <v>3019</v>
      </c>
      <c r="B48" s="187" t="s">
        <v>632</v>
      </c>
      <c r="C48" s="187" t="s">
        <v>53</v>
      </c>
      <c r="D48" s="156" t="s">
        <v>111</v>
      </c>
      <c r="E48" s="153">
        <v>41863</v>
      </c>
      <c r="F48" s="169" t="s">
        <v>12</v>
      </c>
      <c r="G48" s="198">
        <v>500</v>
      </c>
    </row>
    <row r="49" spans="1:7" x14ac:dyDescent="0.35">
      <c r="A49" s="443">
        <v>1009</v>
      </c>
      <c r="B49" s="460" t="s">
        <v>288</v>
      </c>
      <c r="C49" s="460" t="s">
        <v>289</v>
      </c>
      <c r="D49" s="446" t="s">
        <v>111</v>
      </c>
      <c r="E49" s="188">
        <v>43527</v>
      </c>
      <c r="F49" s="180" t="s">
        <v>13</v>
      </c>
      <c r="G49" s="476" t="s">
        <v>126</v>
      </c>
    </row>
    <row r="50" spans="1:7" x14ac:dyDescent="0.35">
      <c r="A50" s="443">
        <v>1000</v>
      </c>
      <c r="B50" s="460" t="s">
        <v>288</v>
      </c>
      <c r="C50" s="460" t="s">
        <v>817</v>
      </c>
      <c r="D50" s="446" t="s">
        <v>110</v>
      </c>
      <c r="E50" s="188">
        <v>44506</v>
      </c>
      <c r="F50" s="180" t="s">
        <v>13</v>
      </c>
      <c r="G50" s="476" t="s">
        <v>126</v>
      </c>
    </row>
    <row r="51" spans="1:7" x14ac:dyDescent="0.35">
      <c r="A51" s="500">
        <v>2184</v>
      </c>
      <c r="B51" s="405" t="s">
        <v>447</v>
      </c>
      <c r="C51" s="405" t="s">
        <v>60</v>
      </c>
      <c r="D51" s="156" t="s">
        <v>111</v>
      </c>
      <c r="E51" s="193">
        <v>42636</v>
      </c>
      <c r="F51" s="378" t="s">
        <v>10</v>
      </c>
      <c r="G51" s="228">
        <v>500</v>
      </c>
    </row>
    <row r="52" spans="1:7" x14ac:dyDescent="0.35">
      <c r="A52" s="443">
        <v>1013</v>
      </c>
      <c r="B52" s="444" t="s">
        <v>290</v>
      </c>
      <c r="C52" s="445" t="s">
        <v>44</v>
      </c>
      <c r="D52" s="446" t="s">
        <v>111</v>
      </c>
      <c r="E52" s="188">
        <v>43410</v>
      </c>
      <c r="F52" s="180" t="s">
        <v>79</v>
      </c>
      <c r="G52" s="183">
        <v>500</v>
      </c>
    </row>
    <row r="53" spans="1:7" x14ac:dyDescent="0.35">
      <c r="A53" s="549">
        <v>3090</v>
      </c>
      <c r="B53" s="178" t="s">
        <v>633</v>
      </c>
      <c r="C53" s="178" t="s">
        <v>159</v>
      </c>
      <c r="D53" s="169" t="s">
        <v>111</v>
      </c>
      <c r="E53" s="179">
        <v>41783</v>
      </c>
      <c r="F53" s="180" t="s">
        <v>10</v>
      </c>
      <c r="G53" s="451">
        <v>500</v>
      </c>
    </row>
    <row r="54" spans="1:7" x14ac:dyDescent="0.35">
      <c r="A54" s="231">
        <v>4009</v>
      </c>
      <c r="B54" s="178" t="s">
        <v>633</v>
      </c>
      <c r="C54" s="178" t="s">
        <v>162</v>
      </c>
      <c r="D54" s="169" t="s">
        <v>111</v>
      </c>
      <c r="E54" s="179">
        <v>41118</v>
      </c>
      <c r="F54" s="180" t="s">
        <v>10</v>
      </c>
      <c r="G54" s="451">
        <v>500</v>
      </c>
    </row>
    <row r="55" spans="1:7" x14ac:dyDescent="0.35">
      <c r="A55" s="499">
        <v>2052</v>
      </c>
      <c r="B55" s="400" t="s">
        <v>448</v>
      </c>
      <c r="C55" s="396" t="s">
        <v>163</v>
      </c>
      <c r="D55" s="156" t="s">
        <v>111</v>
      </c>
      <c r="E55" s="377">
        <v>42377</v>
      </c>
      <c r="F55" s="378" t="s">
        <v>294</v>
      </c>
      <c r="G55" s="519" t="s">
        <v>126</v>
      </c>
    </row>
    <row r="56" spans="1:7" x14ac:dyDescent="0.35">
      <c r="A56" s="231">
        <v>4010</v>
      </c>
      <c r="B56" s="189" t="s">
        <v>846</v>
      </c>
      <c r="C56" s="189" t="s">
        <v>415</v>
      </c>
      <c r="D56" s="156" t="s">
        <v>110</v>
      </c>
      <c r="E56" s="188">
        <v>41272</v>
      </c>
      <c r="F56" s="180" t="s">
        <v>13</v>
      </c>
      <c r="G56" s="476" t="s">
        <v>126</v>
      </c>
    </row>
    <row r="57" spans="1:7" x14ac:dyDescent="0.35">
      <c r="A57" s="499">
        <v>3055</v>
      </c>
      <c r="B57" s="189" t="s">
        <v>634</v>
      </c>
      <c r="C57" s="189" t="s">
        <v>635</v>
      </c>
      <c r="D57" s="156" t="s">
        <v>111</v>
      </c>
      <c r="E57" s="188">
        <v>41482</v>
      </c>
      <c r="F57" s="180" t="s">
        <v>13</v>
      </c>
      <c r="G57" s="198">
        <v>500</v>
      </c>
    </row>
    <row r="58" spans="1:7" x14ac:dyDescent="0.35">
      <c r="A58" s="231">
        <v>4011</v>
      </c>
      <c r="B58" s="187" t="s">
        <v>144</v>
      </c>
      <c r="C58" s="187" t="s">
        <v>123</v>
      </c>
      <c r="D58" s="156" t="s">
        <v>110</v>
      </c>
      <c r="E58" s="188">
        <v>40602</v>
      </c>
      <c r="F58" s="180" t="s">
        <v>37</v>
      </c>
      <c r="G58" s="198">
        <v>500</v>
      </c>
    </row>
    <row r="59" spans="1:7" x14ac:dyDescent="0.35">
      <c r="A59" s="499">
        <v>2086</v>
      </c>
      <c r="B59" s="400" t="s">
        <v>449</v>
      </c>
      <c r="C59" s="396" t="s">
        <v>252</v>
      </c>
      <c r="D59" s="156" t="s">
        <v>111</v>
      </c>
      <c r="E59" s="377">
        <v>42185</v>
      </c>
      <c r="F59" s="378" t="s">
        <v>294</v>
      </c>
      <c r="G59" s="552" t="s">
        <v>126</v>
      </c>
    </row>
    <row r="60" spans="1:7" x14ac:dyDescent="0.35">
      <c r="A60" s="499">
        <v>2009</v>
      </c>
      <c r="B60" s="400" t="s">
        <v>836</v>
      </c>
      <c r="C60" s="396" t="s">
        <v>571</v>
      </c>
      <c r="D60" s="156" t="s">
        <v>111</v>
      </c>
      <c r="E60" s="377">
        <v>42674</v>
      </c>
      <c r="F60" s="378" t="s">
        <v>294</v>
      </c>
      <c r="G60" s="519" t="s">
        <v>126</v>
      </c>
    </row>
    <row r="61" spans="1:7" x14ac:dyDescent="0.35">
      <c r="A61" s="499">
        <v>3022</v>
      </c>
      <c r="B61" s="194" t="s">
        <v>636</v>
      </c>
      <c r="C61" s="186" t="s">
        <v>320</v>
      </c>
      <c r="D61" s="156" t="s">
        <v>111</v>
      </c>
      <c r="E61" s="188">
        <v>41834</v>
      </c>
      <c r="F61" s="180" t="s">
        <v>79</v>
      </c>
      <c r="G61" s="183">
        <v>500</v>
      </c>
    </row>
    <row r="62" spans="1:7" x14ac:dyDescent="0.35">
      <c r="A62" s="231">
        <v>4012</v>
      </c>
      <c r="B62" s="187" t="s">
        <v>450</v>
      </c>
      <c r="C62" s="187" t="s">
        <v>62</v>
      </c>
      <c r="D62" s="156" t="s">
        <v>111</v>
      </c>
      <c r="E62" s="188">
        <v>41205</v>
      </c>
      <c r="F62" s="180" t="s">
        <v>12</v>
      </c>
      <c r="G62" s="198">
        <v>500</v>
      </c>
    </row>
    <row r="63" spans="1:7" x14ac:dyDescent="0.35">
      <c r="A63" s="553">
        <v>2053</v>
      </c>
      <c r="B63" s="398" t="s">
        <v>450</v>
      </c>
      <c r="C63" s="398" t="s">
        <v>50</v>
      </c>
      <c r="D63" s="156" t="s">
        <v>111</v>
      </c>
      <c r="E63" s="399">
        <v>42376</v>
      </c>
      <c r="F63" s="378" t="s">
        <v>12</v>
      </c>
      <c r="G63" s="519">
        <v>500</v>
      </c>
    </row>
    <row r="64" spans="1:7" x14ac:dyDescent="0.35">
      <c r="A64" s="499">
        <v>3074</v>
      </c>
      <c r="B64" s="187" t="s">
        <v>637</v>
      </c>
      <c r="C64" s="187" t="s">
        <v>93</v>
      </c>
      <c r="D64" s="156" t="s">
        <v>111</v>
      </c>
      <c r="E64" s="188">
        <v>41316</v>
      </c>
      <c r="F64" s="180" t="s">
        <v>37</v>
      </c>
      <c r="G64" s="198">
        <v>500</v>
      </c>
    </row>
    <row r="65" spans="1:7" x14ac:dyDescent="0.35">
      <c r="A65" s="231">
        <v>4013</v>
      </c>
      <c r="B65" s="191" t="s">
        <v>748</v>
      </c>
      <c r="C65" s="192" t="s">
        <v>749</v>
      </c>
      <c r="D65" s="156" t="s">
        <v>111</v>
      </c>
      <c r="E65" s="188">
        <v>40495</v>
      </c>
      <c r="F65" s="180" t="s">
        <v>294</v>
      </c>
      <c r="G65" s="198" t="s">
        <v>126</v>
      </c>
    </row>
    <row r="66" spans="1:7" x14ac:dyDescent="0.35">
      <c r="A66" s="499">
        <v>2114</v>
      </c>
      <c r="B66" s="391" t="s">
        <v>451</v>
      </c>
      <c r="C66" s="391" t="s">
        <v>572</v>
      </c>
      <c r="D66" s="381" t="s">
        <v>111</v>
      </c>
      <c r="E66" s="200">
        <v>42157</v>
      </c>
      <c r="F66" s="378" t="s">
        <v>77</v>
      </c>
      <c r="G66" s="228">
        <v>500</v>
      </c>
    </row>
    <row r="67" spans="1:7" x14ac:dyDescent="0.35">
      <c r="A67" s="499">
        <v>3061</v>
      </c>
      <c r="B67" s="189" t="s">
        <v>638</v>
      </c>
      <c r="C67" s="189" t="s">
        <v>91</v>
      </c>
      <c r="D67" s="156" t="s">
        <v>111</v>
      </c>
      <c r="E67" s="188">
        <v>41424</v>
      </c>
      <c r="F67" s="180" t="s">
        <v>13</v>
      </c>
      <c r="G67" s="198">
        <v>500</v>
      </c>
    </row>
    <row r="68" spans="1:7" x14ac:dyDescent="0.35">
      <c r="A68" s="499">
        <v>2115</v>
      </c>
      <c r="B68" s="391" t="s">
        <v>452</v>
      </c>
      <c r="C68" s="391" t="s">
        <v>70</v>
      </c>
      <c r="D68" s="381" t="s">
        <v>111</v>
      </c>
      <c r="E68" s="200">
        <v>42056</v>
      </c>
      <c r="F68" s="378" t="s">
        <v>77</v>
      </c>
      <c r="G68" s="228">
        <v>500</v>
      </c>
    </row>
    <row r="69" spans="1:7" x14ac:dyDescent="0.35">
      <c r="A69" s="231">
        <v>4014</v>
      </c>
      <c r="B69" s="190" t="s">
        <v>452</v>
      </c>
      <c r="C69" s="190" t="s">
        <v>276</v>
      </c>
      <c r="D69" s="169" t="s">
        <v>111</v>
      </c>
      <c r="E69" s="200">
        <v>41088</v>
      </c>
      <c r="F69" s="180" t="s">
        <v>77</v>
      </c>
      <c r="G69" s="183">
        <v>500</v>
      </c>
    </row>
    <row r="70" spans="1:7" x14ac:dyDescent="0.35">
      <c r="A70" s="499">
        <v>2006</v>
      </c>
      <c r="B70" s="394" t="s">
        <v>453</v>
      </c>
      <c r="C70" s="394" t="s">
        <v>139</v>
      </c>
      <c r="D70" s="156" t="s">
        <v>111</v>
      </c>
      <c r="E70" s="377">
        <v>42692</v>
      </c>
      <c r="F70" s="378" t="s">
        <v>13</v>
      </c>
      <c r="G70" s="551" t="s">
        <v>126</v>
      </c>
    </row>
    <row r="71" spans="1:7" x14ac:dyDescent="0.35">
      <c r="A71" s="499">
        <v>2038</v>
      </c>
      <c r="B71" s="241" t="s">
        <v>454</v>
      </c>
      <c r="C71" s="242" t="s">
        <v>95</v>
      </c>
      <c r="D71" s="156" t="s">
        <v>111</v>
      </c>
      <c r="E71" s="377">
        <v>42457</v>
      </c>
      <c r="F71" s="378" t="s">
        <v>79</v>
      </c>
      <c r="G71" s="228">
        <v>500</v>
      </c>
    </row>
    <row r="72" spans="1:7" x14ac:dyDescent="0.35">
      <c r="A72" s="549">
        <v>3129</v>
      </c>
      <c r="B72" s="186" t="s">
        <v>639</v>
      </c>
      <c r="C72" s="186" t="s">
        <v>95</v>
      </c>
      <c r="D72" s="169" t="s">
        <v>111</v>
      </c>
      <c r="E72" s="195">
        <v>41910</v>
      </c>
      <c r="F72" s="180" t="s">
        <v>79</v>
      </c>
      <c r="G72" s="183">
        <v>532</v>
      </c>
    </row>
    <row r="73" spans="1:7" x14ac:dyDescent="0.35">
      <c r="A73" s="443">
        <v>1046</v>
      </c>
      <c r="B73" s="460" t="s">
        <v>291</v>
      </c>
      <c r="C73" s="460" t="s">
        <v>292</v>
      </c>
      <c r="D73" s="446" t="s">
        <v>111</v>
      </c>
      <c r="E73" s="188">
        <v>42983</v>
      </c>
      <c r="F73" s="180" t="s">
        <v>13</v>
      </c>
      <c r="G73" s="476" t="s">
        <v>126</v>
      </c>
    </row>
    <row r="74" spans="1:7" x14ac:dyDescent="0.35">
      <c r="A74" s="549">
        <v>3100</v>
      </c>
      <c r="B74" s="190" t="s">
        <v>640</v>
      </c>
      <c r="C74" s="190" t="s">
        <v>44</v>
      </c>
      <c r="D74" s="169" t="s">
        <v>111</v>
      </c>
      <c r="E74" s="193">
        <v>41694</v>
      </c>
      <c r="F74" s="180" t="s">
        <v>9</v>
      </c>
      <c r="G74" s="451">
        <v>500</v>
      </c>
    </row>
    <row r="75" spans="1:7" x14ac:dyDescent="0.35">
      <c r="A75" s="499">
        <v>2145</v>
      </c>
      <c r="B75" s="391" t="s">
        <v>194</v>
      </c>
      <c r="C75" s="391" t="s">
        <v>424</v>
      </c>
      <c r="D75" s="381" t="s">
        <v>110</v>
      </c>
      <c r="E75" s="193">
        <v>42096</v>
      </c>
      <c r="F75" s="378" t="s">
        <v>9</v>
      </c>
      <c r="G75" s="550">
        <v>678</v>
      </c>
    </row>
    <row r="76" spans="1:7" x14ac:dyDescent="0.35">
      <c r="A76" s="499">
        <v>3052</v>
      </c>
      <c r="B76" s="189" t="s">
        <v>641</v>
      </c>
      <c r="C76" s="189" t="s">
        <v>678</v>
      </c>
      <c r="D76" s="156" t="s">
        <v>111</v>
      </c>
      <c r="E76" s="188">
        <v>41543</v>
      </c>
      <c r="F76" s="180" t="s">
        <v>13</v>
      </c>
      <c r="G76" s="476" t="s">
        <v>126</v>
      </c>
    </row>
    <row r="77" spans="1:7" x14ac:dyDescent="0.35">
      <c r="A77" s="549">
        <v>3101</v>
      </c>
      <c r="B77" s="190" t="s">
        <v>642</v>
      </c>
      <c r="C77" s="190" t="s">
        <v>826</v>
      </c>
      <c r="D77" s="169" t="s">
        <v>111</v>
      </c>
      <c r="E77" s="193">
        <v>41757</v>
      </c>
      <c r="F77" s="180" t="s">
        <v>9</v>
      </c>
      <c r="G77" s="451">
        <v>500</v>
      </c>
    </row>
    <row r="78" spans="1:7" x14ac:dyDescent="0.35">
      <c r="A78" s="499">
        <v>2021</v>
      </c>
      <c r="B78" s="398" t="s">
        <v>455</v>
      </c>
      <c r="C78" s="398" t="s">
        <v>213</v>
      </c>
      <c r="D78" s="156" t="s">
        <v>111</v>
      </c>
      <c r="E78" s="377">
        <v>42594</v>
      </c>
      <c r="F78" s="378" t="s">
        <v>65</v>
      </c>
      <c r="G78" s="519" t="s">
        <v>126</v>
      </c>
    </row>
    <row r="79" spans="1:7" x14ac:dyDescent="0.35">
      <c r="A79" s="499">
        <v>3035</v>
      </c>
      <c r="B79" s="189" t="s">
        <v>643</v>
      </c>
      <c r="C79" s="189" t="s">
        <v>377</v>
      </c>
      <c r="D79" s="156" t="s">
        <v>111</v>
      </c>
      <c r="E79" s="188">
        <v>41739</v>
      </c>
      <c r="F79" s="180" t="s">
        <v>13</v>
      </c>
      <c r="G79" s="476" t="s">
        <v>126</v>
      </c>
    </row>
    <row r="80" spans="1:7" x14ac:dyDescent="0.35">
      <c r="A80" s="499">
        <v>2146</v>
      </c>
      <c r="B80" s="391" t="s">
        <v>456</v>
      </c>
      <c r="C80" s="391" t="s">
        <v>573</v>
      </c>
      <c r="D80" s="381" t="s">
        <v>111</v>
      </c>
      <c r="E80" s="193">
        <v>42265</v>
      </c>
      <c r="F80" s="378" t="s">
        <v>9</v>
      </c>
      <c r="G80" s="550">
        <v>500</v>
      </c>
    </row>
    <row r="81" spans="1:7" x14ac:dyDescent="0.35">
      <c r="A81" s="499">
        <v>2042</v>
      </c>
      <c r="B81" s="400" t="s">
        <v>395</v>
      </c>
      <c r="C81" s="395" t="s">
        <v>418</v>
      </c>
      <c r="D81" s="156" t="s">
        <v>110</v>
      </c>
      <c r="E81" s="377">
        <v>42416</v>
      </c>
      <c r="F81" s="378" t="s">
        <v>294</v>
      </c>
      <c r="G81" s="519" t="s">
        <v>126</v>
      </c>
    </row>
    <row r="82" spans="1:7" x14ac:dyDescent="0.35">
      <c r="A82" s="554">
        <v>1040</v>
      </c>
      <c r="B82" s="555" t="s">
        <v>293</v>
      </c>
      <c r="C82" s="556" t="s">
        <v>70</v>
      </c>
      <c r="D82" s="557" t="s">
        <v>111</v>
      </c>
      <c r="E82" s="536">
        <v>43055</v>
      </c>
      <c r="F82" s="158" t="s">
        <v>13</v>
      </c>
      <c r="G82" s="541" t="s">
        <v>126</v>
      </c>
    </row>
    <row r="83" spans="1:7" x14ac:dyDescent="0.35">
      <c r="A83" s="280">
        <v>2026</v>
      </c>
      <c r="B83" s="558" t="s">
        <v>411</v>
      </c>
      <c r="C83" s="559" t="s">
        <v>834</v>
      </c>
      <c r="D83" s="364" t="s">
        <v>111</v>
      </c>
      <c r="E83" s="365">
        <v>42555</v>
      </c>
      <c r="F83" s="358" t="s">
        <v>79</v>
      </c>
      <c r="G83" s="361">
        <v>500</v>
      </c>
    </row>
    <row r="84" spans="1:7" x14ac:dyDescent="0.35">
      <c r="A84" s="524">
        <v>4015</v>
      </c>
      <c r="B84" s="529" t="s">
        <v>411</v>
      </c>
      <c r="C84" s="532" t="s">
        <v>855</v>
      </c>
      <c r="D84" s="156" t="s">
        <v>110</v>
      </c>
      <c r="E84" s="536">
        <v>40711</v>
      </c>
      <c r="F84" s="158" t="s">
        <v>79</v>
      </c>
      <c r="G84" s="161">
        <v>500</v>
      </c>
    </row>
    <row r="85" spans="1:7" x14ac:dyDescent="0.35">
      <c r="A85" s="524">
        <v>4016</v>
      </c>
      <c r="B85" s="529" t="s">
        <v>409</v>
      </c>
      <c r="C85" s="532" t="s">
        <v>123</v>
      </c>
      <c r="D85" s="156" t="s">
        <v>110</v>
      </c>
      <c r="E85" s="536">
        <v>40897</v>
      </c>
      <c r="F85" s="158" t="s">
        <v>79</v>
      </c>
      <c r="G85" s="161">
        <v>500</v>
      </c>
    </row>
    <row r="86" spans="1:7" x14ac:dyDescent="0.35">
      <c r="A86" s="280">
        <v>2147</v>
      </c>
      <c r="B86" s="354" t="s">
        <v>457</v>
      </c>
      <c r="C86" s="355" t="s">
        <v>49</v>
      </c>
      <c r="D86" s="356" t="s">
        <v>111</v>
      </c>
      <c r="E86" s="357">
        <v>42014</v>
      </c>
      <c r="F86" s="358" t="s">
        <v>9</v>
      </c>
      <c r="G86" s="359">
        <v>500</v>
      </c>
    </row>
    <row r="87" spans="1:7" x14ac:dyDescent="0.35">
      <c r="A87" s="280">
        <v>3010</v>
      </c>
      <c r="B87" s="560" t="s">
        <v>644</v>
      </c>
      <c r="C87" s="561" t="s">
        <v>63</v>
      </c>
      <c r="D87" s="364" t="s">
        <v>111</v>
      </c>
      <c r="E87" s="536">
        <v>41935</v>
      </c>
      <c r="F87" s="158" t="s">
        <v>13</v>
      </c>
      <c r="G87" s="275">
        <v>500</v>
      </c>
    </row>
    <row r="88" spans="1:7" x14ac:dyDescent="0.35">
      <c r="A88" s="554">
        <v>1027</v>
      </c>
      <c r="B88" s="562" t="s">
        <v>644</v>
      </c>
      <c r="C88" s="563" t="s">
        <v>56</v>
      </c>
      <c r="D88" s="557" t="s">
        <v>111</v>
      </c>
      <c r="E88" s="536">
        <v>43192</v>
      </c>
      <c r="F88" s="158" t="s">
        <v>294</v>
      </c>
      <c r="G88" s="275" t="s">
        <v>126</v>
      </c>
    </row>
    <row r="89" spans="1:7" x14ac:dyDescent="0.35">
      <c r="A89" s="280">
        <v>2105</v>
      </c>
      <c r="B89" s="362" t="s">
        <v>458</v>
      </c>
      <c r="C89" s="363" t="s">
        <v>574</v>
      </c>
      <c r="D89" s="364" t="s">
        <v>111</v>
      </c>
      <c r="E89" s="365">
        <v>42059</v>
      </c>
      <c r="F89" s="358" t="s">
        <v>13</v>
      </c>
      <c r="G89" s="366" t="s">
        <v>126</v>
      </c>
    </row>
    <row r="90" spans="1:7" x14ac:dyDescent="0.35">
      <c r="A90" s="270">
        <v>3102</v>
      </c>
      <c r="B90" s="414" t="s">
        <v>227</v>
      </c>
      <c r="C90" s="190" t="s">
        <v>228</v>
      </c>
      <c r="D90" s="169" t="s">
        <v>110</v>
      </c>
      <c r="E90" s="193">
        <v>41563</v>
      </c>
      <c r="F90" s="180" t="s">
        <v>9</v>
      </c>
      <c r="G90" s="403">
        <v>737</v>
      </c>
    </row>
    <row r="91" spans="1:7" x14ac:dyDescent="0.35">
      <c r="A91" s="270">
        <v>3103</v>
      </c>
      <c r="B91" s="414" t="s">
        <v>227</v>
      </c>
      <c r="C91" s="190" t="s">
        <v>430</v>
      </c>
      <c r="D91" s="169" t="s">
        <v>110</v>
      </c>
      <c r="E91" s="193">
        <v>41563</v>
      </c>
      <c r="F91" s="180" t="s">
        <v>9</v>
      </c>
      <c r="G91" s="403">
        <v>697</v>
      </c>
    </row>
    <row r="92" spans="1:7" x14ac:dyDescent="0.35">
      <c r="A92" s="280">
        <v>3027</v>
      </c>
      <c r="B92" s="527" t="s">
        <v>265</v>
      </c>
      <c r="C92" s="191" t="s">
        <v>266</v>
      </c>
      <c r="D92" s="156" t="s">
        <v>111</v>
      </c>
      <c r="E92" s="188">
        <v>41773</v>
      </c>
      <c r="F92" s="197" t="s">
        <v>66</v>
      </c>
      <c r="G92" s="540">
        <v>500</v>
      </c>
    </row>
    <row r="93" spans="1:7" x14ac:dyDescent="0.35">
      <c r="A93" s="524">
        <v>4017</v>
      </c>
      <c r="B93" s="414" t="s">
        <v>750</v>
      </c>
      <c r="C93" s="190" t="s">
        <v>70</v>
      </c>
      <c r="D93" s="169" t="s">
        <v>111</v>
      </c>
      <c r="E93" s="193">
        <v>41263</v>
      </c>
      <c r="F93" s="180" t="s">
        <v>9</v>
      </c>
      <c r="G93" s="403">
        <v>500</v>
      </c>
    </row>
    <row r="94" spans="1:7" x14ac:dyDescent="0.35">
      <c r="A94" s="554">
        <v>1074</v>
      </c>
      <c r="B94" s="484" t="s">
        <v>295</v>
      </c>
      <c r="C94" s="461" t="s">
        <v>296</v>
      </c>
      <c r="D94" s="446" t="s">
        <v>111</v>
      </c>
      <c r="E94" s="193">
        <v>43176</v>
      </c>
      <c r="F94" s="181" t="s">
        <v>9</v>
      </c>
      <c r="G94" s="403">
        <v>500</v>
      </c>
    </row>
    <row r="95" spans="1:7" x14ac:dyDescent="0.35">
      <c r="A95" s="280">
        <v>2139</v>
      </c>
      <c r="B95" s="379" t="s">
        <v>459</v>
      </c>
      <c r="C95" s="382" t="s">
        <v>575</v>
      </c>
      <c r="D95" s="381" t="s">
        <v>111</v>
      </c>
      <c r="E95" s="383">
        <v>42239</v>
      </c>
      <c r="F95" s="378" t="s">
        <v>10</v>
      </c>
      <c r="G95" s="359">
        <v>500</v>
      </c>
    </row>
    <row r="96" spans="1:7" x14ac:dyDescent="0.35">
      <c r="A96" s="280">
        <v>3043</v>
      </c>
      <c r="B96" s="531" t="s">
        <v>645</v>
      </c>
      <c r="C96" s="189" t="s">
        <v>48</v>
      </c>
      <c r="D96" s="156" t="s">
        <v>111</v>
      </c>
      <c r="E96" s="188">
        <v>41676</v>
      </c>
      <c r="F96" s="180" t="s">
        <v>13</v>
      </c>
      <c r="G96" s="275">
        <v>500</v>
      </c>
    </row>
    <row r="97" spans="1:7" x14ac:dyDescent="0.35">
      <c r="A97" s="270">
        <v>3081</v>
      </c>
      <c r="B97" s="528" t="s">
        <v>646</v>
      </c>
      <c r="C97" s="178" t="s">
        <v>84</v>
      </c>
      <c r="D97" s="169" t="s">
        <v>111</v>
      </c>
      <c r="E97" s="349">
        <v>41637</v>
      </c>
      <c r="F97" s="180" t="s">
        <v>77</v>
      </c>
      <c r="G97" s="403">
        <v>500</v>
      </c>
    </row>
    <row r="98" spans="1:7" x14ac:dyDescent="0.35">
      <c r="A98" s="554">
        <v>1064</v>
      </c>
      <c r="B98" s="484" t="s">
        <v>297</v>
      </c>
      <c r="C98" s="460" t="s">
        <v>298</v>
      </c>
      <c r="D98" s="446" t="s">
        <v>111</v>
      </c>
      <c r="E98" s="188">
        <v>42760</v>
      </c>
      <c r="F98" s="180" t="s">
        <v>13</v>
      </c>
      <c r="G98" s="541" t="s">
        <v>126</v>
      </c>
    </row>
    <row r="99" spans="1:7" x14ac:dyDescent="0.35">
      <c r="A99" s="554">
        <v>1053</v>
      </c>
      <c r="B99" s="564" t="s">
        <v>828</v>
      </c>
      <c r="C99" s="477" t="s">
        <v>299</v>
      </c>
      <c r="D99" s="446" t="s">
        <v>111</v>
      </c>
      <c r="E99" s="188">
        <v>42876</v>
      </c>
      <c r="F99" s="180" t="s">
        <v>294</v>
      </c>
      <c r="G99" s="275" t="s">
        <v>126</v>
      </c>
    </row>
    <row r="100" spans="1:7" x14ac:dyDescent="0.35">
      <c r="A100" s="270">
        <v>3095</v>
      </c>
      <c r="B100" s="528" t="s">
        <v>392</v>
      </c>
      <c r="C100" s="178" t="s">
        <v>48</v>
      </c>
      <c r="D100" s="169" t="s">
        <v>111</v>
      </c>
      <c r="E100" s="179">
        <v>41823</v>
      </c>
      <c r="F100" s="180" t="s">
        <v>10</v>
      </c>
      <c r="G100" s="403">
        <v>500</v>
      </c>
    </row>
    <row r="101" spans="1:7" x14ac:dyDescent="0.35">
      <c r="A101" s="280">
        <v>3037</v>
      </c>
      <c r="B101" s="526" t="s">
        <v>392</v>
      </c>
      <c r="C101" s="187" t="s">
        <v>417</v>
      </c>
      <c r="D101" s="156" t="s">
        <v>110</v>
      </c>
      <c r="E101" s="188">
        <v>41718</v>
      </c>
      <c r="F101" s="180" t="s">
        <v>65</v>
      </c>
      <c r="G101" s="275">
        <v>500</v>
      </c>
    </row>
    <row r="102" spans="1:7" x14ac:dyDescent="0.35">
      <c r="A102" s="280">
        <v>2020</v>
      </c>
      <c r="B102" s="397" t="s">
        <v>460</v>
      </c>
      <c r="C102" s="398" t="s">
        <v>112</v>
      </c>
      <c r="D102" s="156" t="s">
        <v>111</v>
      </c>
      <c r="E102" s="399">
        <v>42597</v>
      </c>
      <c r="F102" s="378" t="s">
        <v>12</v>
      </c>
      <c r="G102" s="368">
        <v>500</v>
      </c>
    </row>
    <row r="103" spans="1:7" x14ac:dyDescent="0.35">
      <c r="A103" s="280">
        <v>2116</v>
      </c>
      <c r="B103" s="390" t="s">
        <v>461</v>
      </c>
      <c r="C103" s="391" t="s">
        <v>370</v>
      </c>
      <c r="D103" s="381" t="s">
        <v>111</v>
      </c>
      <c r="E103" s="196">
        <v>42410</v>
      </c>
      <c r="F103" s="378" t="s">
        <v>77</v>
      </c>
      <c r="G103" s="361">
        <v>500</v>
      </c>
    </row>
    <row r="104" spans="1:7" x14ac:dyDescent="0.35">
      <c r="A104" s="280">
        <v>2049</v>
      </c>
      <c r="B104" s="393" t="s">
        <v>462</v>
      </c>
      <c r="C104" s="394" t="s">
        <v>44</v>
      </c>
      <c r="D104" s="156" t="s">
        <v>111</v>
      </c>
      <c r="E104" s="377">
        <v>42384</v>
      </c>
      <c r="F104" s="378" t="s">
        <v>13</v>
      </c>
      <c r="G104" s="366" t="s">
        <v>126</v>
      </c>
    </row>
    <row r="105" spans="1:7" x14ac:dyDescent="0.35">
      <c r="A105" s="524">
        <v>4018</v>
      </c>
      <c r="B105" s="414" t="s">
        <v>146</v>
      </c>
      <c r="C105" s="190" t="s">
        <v>91</v>
      </c>
      <c r="D105" s="169" t="s">
        <v>111</v>
      </c>
      <c r="E105" s="193">
        <v>40870</v>
      </c>
      <c r="F105" s="180" t="s">
        <v>9</v>
      </c>
      <c r="G105" s="403">
        <v>1134</v>
      </c>
    </row>
    <row r="106" spans="1:7" x14ac:dyDescent="0.35">
      <c r="A106" s="280">
        <v>3057</v>
      </c>
      <c r="B106" s="527" t="s">
        <v>647</v>
      </c>
      <c r="C106" s="192" t="s">
        <v>48</v>
      </c>
      <c r="D106" s="156" t="s">
        <v>111</v>
      </c>
      <c r="E106" s="188">
        <v>41466</v>
      </c>
      <c r="F106" s="180" t="s">
        <v>294</v>
      </c>
      <c r="G106" s="275">
        <v>500</v>
      </c>
    </row>
    <row r="107" spans="1:7" x14ac:dyDescent="0.35">
      <c r="A107" s="524">
        <v>4019</v>
      </c>
      <c r="B107" s="414" t="s">
        <v>239</v>
      </c>
      <c r="C107" s="190" t="s">
        <v>55</v>
      </c>
      <c r="D107" s="169" t="s">
        <v>111</v>
      </c>
      <c r="E107" s="193">
        <v>40269</v>
      </c>
      <c r="F107" s="180" t="s">
        <v>9</v>
      </c>
      <c r="G107" s="403">
        <v>500</v>
      </c>
    </row>
    <row r="108" spans="1:7" x14ac:dyDescent="0.35">
      <c r="A108" s="280">
        <v>2148</v>
      </c>
      <c r="B108" s="390" t="s">
        <v>239</v>
      </c>
      <c r="C108" s="391" t="s">
        <v>576</v>
      </c>
      <c r="D108" s="381" t="s">
        <v>111</v>
      </c>
      <c r="E108" s="193">
        <v>42637</v>
      </c>
      <c r="F108" s="378" t="s">
        <v>9</v>
      </c>
      <c r="G108" s="359">
        <v>500</v>
      </c>
    </row>
    <row r="109" spans="1:7" x14ac:dyDescent="0.35">
      <c r="A109" s="303">
        <v>3138</v>
      </c>
      <c r="B109" s="565" t="s">
        <v>648</v>
      </c>
      <c r="C109" s="566" t="s">
        <v>70</v>
      </c>
      <c r="D109" s="156" t="s">
        <v>111</v>
      </c>
      <c r="E109" s="188">
        <v>41862</v>
      </c>
      <c r="F109" s="180" t="s">
        <v>65</v>
      </c>
      <c r="G109" s="161">
        <v>500</v>
      </c>
    </row>
    <row r="110" spans="1:7" x14ac:dyDescent="0.35">
      <c r="A110" s="280">
        <v>2149</v>
      </c>
      <c r="B110" s="390" t="s">
        <v>463</v>
      </c>
      <c r="C110" s="391" t="s">
        <v>46</v>
      </c>
      <c r="D110" s="381" t="s">
        <v>111</v>
      </c>
      <c r="E110" s="193">
        <v>42130</v>
      </c>
      <c r="F110" s="378" t="s">
        <v>9</v>
      </c>
      <c r="G110" s="359">
        <v>500</v>
      </c>
    </row>
    <row r="111" spans="1:7" x14ac:dyDescent="0.35">
      <c r="A111" s="280">
        <v>3032</v>
      </c>
      <c r="B111" s="531" t="s">
        <v>649</v>
      </c>
      <c r="C111" s="189" t="s">
        <v>136</v>
      </c>
      <c r="D111" s="156" t="s">
        <v>111</v>
      </c>
      <c r="E111" s="188">
        <v>41769</v>
      </c>
      <c r="F111" s="180" t="s">
        <v>13</v>
      </c>
      <c r="G111" s="275">
        <v>500</v>
      </c>
    </row>
    <row r="112" spans="1:7" x14ac:dyDescent="0.35">
      <c r="A112" s="280">
        <v>2150</v>
      </c>
      <c r="B112" s="390" t="s">
        <v>464</v>
      </c>
      <c r="C112" s="391" t="s">
        <v>137</v>
      </c>
      <c r="D112" s="381" t="s">
        <v>111</v>
      </c>
      <c r="E112" s="193">
        <v>42390</v>
      </c>
      <c r="F112" s="378" t="s">
        <v>9</v>
      </c>
      <c r="G112" s="359">
        <v>500</v>
      </c>
    </row>
    <row r="113" spans="1:7" x14ac:dyDescent="0.35">
      <c r="A113" s="280">
        <v>2180</v>
      </c>
      <c r="B113" s="390" t="s">
        <v>465</v>
      </c>
      <c r="C113" s="391" t="s">
        <v>124</v>
      </c>
      <c r="D113" s="381" t="s">
        <v>111</v>
      </c>
      <c r="E113" s="193">
        <v>42390</v>
      </c>
      <c r="F113" s="378" t="s">
        <v>10</v>
      </c>
      <c r="G113" s="359">
        <v>500</v>
      </c>
    </row>
    <row r="114" spans="1:7" x14ac:dyDescent="0.35">
      <c r="A114" s="280">
        <v>3051</v>
      </c>
      <c r="B114" s="527" t="s">
        <v>650</v>
      </c>
      <c r="C114" s="192" t="s">
        <v>60</v>
      </c>
      <c r="D114" s="156" t="s">
        <v>111</v>
      </c>
      <c r="E114" s="188">
        <v>41567</v>
      </c>
      <c r="F114" s="180" t="s">
        <v>294</v>
      </c>
      <c r="G114" s="275">
        <v>500</v>
      </c>
    </row>
    <row r="115" spans="1:7" x14ac:dyDescent="0.35">
      <c r="A115" s="280">
        <v>2095</v>
      </c>
      <c r="B115" s="395" t="s">
        <v>466</v>
      </c>
      <c r="C115" s="396" t="s">
        <v>577</v>
      </c>
      <c r="D115" s="156" t="s">
        <v>111</v>
      </c>
      <c r="E115" s="377">
        <v>42114</v>
      </c>
      <c r="F115" s="378" t="s">
        <v>294</v>
      </c>
      <c r="G115" s="368" t="s">
        <v>126</v>
      </c>
    </row>
    <row r="116" spans="1:7" x14ac:dyDescent="0.35">
      <c r="A116" s="554">
        <v>1054</v>
      </c>
      <c r="B116" s="567" t="s">
        <v>300</v>
      </c>
      <c r="C116" s="461" t="s">
        <v>301</v>
      </c>
      <c r="D116" s="446" t="s">
        <v>111</v>
      </c>
      <c r="E116" s="188">
        <v>42829</v>
      </c>
      <c r="F116" s="180" t="s">
        <v>37</v>
      </c>
      <c r="G116" s="275">
        <v>500</v>
      </c>
    </row>
    <row r="117" spans="1:7" x14ac:dyDescent="0.35">
      <c r="A117" s="554">
        <v>1048</v>
      </c>
      <c r="B117" s="564" t="s">
        <v>302</v>
      </c>
      <c r="C117" s="477" t="s">
        <v>825</v>
      </c>
      <c r="D117" s="446" t="s">
        <v>111</v>
      </c>
      <c r="E117" s="188">
        <v>42928</v>
      </c>
      <c r="F117" s="180" t="s">
        <v>294</v>
      </c>
      <c r="G117" s="275" t="s">
        <v>126</v>
      </c>
    </row>
    <row r="118" spans="1:7" x14ac:dyDescent="0.35">
      <c r="A118" s="280">
        <v>2016</v>
      </c>
      <c r="B118" s="397" t="s">
        <v>467</v>
      </c>
      <c r="C118" s="398" t="s">
        <v>578</v>
      </c>
      <c r="D118" s="156" t="s">
        <v>111</v>
      </c>
      <c r="E118" s="399">
        <v>42644</v>
      </c>
      <c r="F118" s="378" t="s">
        <v>12</v>
      </c>
      <c r="G118" s="368">
        <v>500</v>
      </c>
    </row>
    <row r="119" spans="1:7" x14ac:dyDescent="0.35">
      <c r="A119" s="280">
        <v>2138</v>
      </c>
      <c r="B119" s="379" t="s">
        <v>468</v>
      </c>
      <c r="C119" s="382" t="s">
        <v>579</v>
      </c>
      <c r="D119" s="381" t="s">
        <v>111</v>
      </c>
      <c r="E119" s="383">
        <v>42601</v>
      </c>
      <c r="F119" s="378" t="s">
        <v>10</v>
      </c>
      <c r="G119" s="359">
        <v>500</v>
      </c>
    </row>
    <row r="120" spans="1:7" x14ac:dyDescent="0.35">
      <c r="A120" s="524">
        <v>4020</v>
      </c>
      <c r="B120" s="527" t="s">
        <v>191</v>
      </c>
      <c r="C120" s="191" t="s">
        <v>192</v>
      </c>
      <c r="D120" s="156" t="s">
        <v>111</v>
      </c>
      <c r="E120" s="188">
        <v>40865</v>
      </c>
      <c r="F120" s="180" t="s">
        <v>66</v>
      </c>
      <c r="G120" s="540">
        <v>538</v>
      </c>
    </row>
    <row r="121" spans="1:7" x14ac:dyDescent="0.35">
      <c r="A121" s="554">
        <v>1016</v>
      </c>
      <c r="B121" s="484" t="s">
        <v>303</v>
      </c>
      <c r="C121" s="460" t="s">
        <v>304</v>
      </c>
      <c r="D121" s="446" t="s">
        <v>111</v>
      </c>
      <c r="E121" s="188">
        <v>43386</v>
      </c>
      <c r="F121" s="180" t="s">
        <v>13</v>
      </c>
      <c r="G121" s="541" t="s">
        <v>126</v>
      </c>
    </row>
    <row r="122" spans="1:7" x14ac:dyDescent="0.35">
      <c r="A122" s="280">
        <v>3071</v>
      </c>
      <c r="B122" s="531" t="s">
        <v>116</v>
      </c>
      <c r="C122" s="189" t="s">
        <v>255</v>
      </c>
      <c r="D122" s="156" t="s">
        <v>111</v>
      </c>
      <c r="E122" s="188">
        <v>41349</v>
      </c>
      <c r="F122" s="180" t="s">
        <v>13</v>
      </c>
      <c r="G122" s="275">
        <v>500</v>
      </c>
    </row>
    <row r="123" spans="1:7" x14ac:dyDescent="0.35">
      <c r="A123" s="524">
        <v>4021</v>
      </c>
      <c r="B123" s="414" t="s">
        <v>751</v>
      </c>
      <c r="C123" s="190" t="s">
        <v>67</v>
      </c>
      <c r="D123" s="169" t="s">
        <v>111</v>
      </c>
      <c r="E123" s="196">
        <v>40465</v>
      </c>
      <c r="F123" s="180" t="s">
        <v>77</v>
      </c>
      <c r="G123" s="161">
        <v>500</v>
      </c>
    </row>
    <row r="124" spans="1:7" x14ac:dyDescent="0.35">
      <c r="A124" s="280">
        <v>2084</v>
      </c>
      <c r="B124" s="397" t="s">
        <v>469</v>
      </c>
      <c r="C124" s="398" t="s">
        <v>62</v>
      </c>
      <c r="D124" s="156" t="s">
        <v>111</v>
      </c>
      <c r="E124" s="377">
        <v>42193</v>
      </c>
      <c r="F124" s="378" t="s">
        <v>65</v>
      </c>
      <c r="G124" s="368" t="s">
        <v>126</v>
      </c>
    </row>
    <row r="125" spans="1:7" x14ac:dyDescent="0.35">
      <c r="A125" s="554">
        <v>1062</v>
      </c>
      <c r="B125" s="567" t="s">
        <v>305</v>
      </c>
      <c r="C125" s="461" t="s">
        <v>124</v>
      </c>
      <c r="D125" s="446" t="s">
        <v>111</v>
      </c>
      <c r="E125" s="399">
        <v>42785</v>
      </c>
      <c r="F125" s="180" t="s">
        <v>12</v>
      </c>
      <c r="G125" s="275">
        <v>500</v>
      </c>
    </row>
    <row r="126" spans="1:7" x14ac:dyDescent="0.35">
      <c r="A126" s="270">
        <v>3082</v>
      </c>
      <c r="B126" s="528" t="s">
        <v>652</v>
      </c>
      <c r="C126" s="178" t="s">
        <v>90</v>
      </c>
      <c r="D126" s="169" t="s">
        <v>111</v>
      </c>
      <c r="E126" s="184">
        <v>41792</v>
      </c>
      <c r="F126" s="180" t="s">
        <v>77</v>
      </c>
      <c r="G126" s="403">
        <v>500</v>
      </c>
    </row>
    <row r="127" spans="1:7" x14ac:dyDescent="0.35">
      <c r="A127" s="270">
        <v>3104</v>
      </c>
      <c r="B127" s="414" t="s">
        <v>653</v>
      </c>
      <c r="C127" s="190" t="s">
        <v>155</v>
      </c>
      <c r="D127" s="169" t="s">
        <v>111</v>
      </c>
      <c r="E127" s="193">
        <v>41465</v>
      </c>
      <c r="F127" s="180" t="s">
        <v>9</v>
      </c>
      <c r="G127" s="403">
        <v>500</v>
      </c>
    </row>
    <row r="128" spans="1:7" x14ac:dyDescent="0.35">
      <c r="A128" s="280">
        <v>2151</v>
      </c>
      <c r="B128" s="390" t="s">
        <v>229</v>
      </c>
      <c r="C128" s="391" t="s">
        <v>89</v>
      </c>
      <c r="D128" s="381" t="s">
        <v>111</v>
      </c>
      <c r="E128" s="193">
        <v>42419</v>
      </c>
      <c r="F128" s="378" t="s">
        <v>9</v>
      </c>
      <c r="G128" s="359">
        <v>500</v>
      </c>
    </row>
    <row r="129" spans="1:7" x14ac:dyDescent="0.35">
      <c r="A129" s="280">
        <v>2109</v>
      </c>
      <c r="B129" s="393" t="s">
        <v>470</v>
      </c>
      <c r="C129" s="394" t="s">
        <v>152</v>
      </c>
      <c r="D129" s="156" t="s">
        <v>111</v>
      </c>
      <c r="E129" s="377">
        <v>42031</v>
      </c>
      <c r="F129" s="378" t="s">
        <v>13</v>
      </c>
      <c r="G129" s="366" t="s">
        <v>126</v>
      </c>
    </row>
    <row r="130" spans="1:7" x14ac:dyDescent="0.35">
      <c r="A130" s="554">
        <v>1018</v>
      </c>
      <c r="B130" s="567" t="s">
        <v>306</v>
      </c>
      <c r="C130" s="461" t="s">
        <v>307</v>
      </c>
      <c r="D130" s="446" t="s">
        <v>110</v>
      </c>
      <c r="E130" s="377">
        <v>43293</v>
      </c>
      <c r="F130" s="180" t="s">
        <v>65</v>
      </c>
      <c r="G130" s="275">
        <v>500</v>
      </c>
    </row>
    <row r="131" spans="1:7" x14ac:dyDescent="0.35">
      <c r="A131" s="554">
        <v>1019</v>
      </c>
      <c r="B131" s="567" t="s">
        <v>306</v>
      </c>
      <c r="C131" s="461" t="s">
        <v>308</v>
      </c>
      <c r="D131" s="446" t="s">
        <v>111</v>
      </c>
      <c r="E131" s="377">
        <v>43293</v>
      </c>
      <c r="F131" s="180" t="s">
        <v>65</v>
      </c>
      <c r="G131" s="275">
        <v>500</v>
      </c>
    </row>
    <row r="132" spans="1:7" x14ac:dyDescent="0.35">
      <c r="A132" s="554">
        <v>1075</v>
      </c>
      <c r="B132" s="568" t="s">
        <v>309</v>
      </c>
      <c r="C132" s="454" t="s">
        <v>310</v>
      </c>
      <c r="D132" s="481" t="s">
        <v>110</v>
      </c>
      <c r="E132" s="193">
        <v>42845</v>
      </c>
      <c r="F132" s="181" t="s">
        <v>9</v>
      </c>
      <c r="G132" s="403">
        <v>500</v>
      </c>
    </row>
    <row r="133" spans="1:7" x14ac:dyDescent="0.35">
      <c r="A133" s="280">
        <v>2128</v>
      </c>
      <c r="B133" s="379" t="s">
        <v>835</v>
      </c>
      <c r="C133" s="382" t="s">
        <v>88</v>
      </c>
      <c r="D133" s="381" t="s">
        <v>111</v>
      </c>
      <c r="E133" s="383">
        <v>42691</v>
      </c>
      <c r="F133" s="378" t="s">
        <v>10</v>
      </c>
      <c r="G133" s="359">
        <v>504</v>
      </c>
    </row>
    <row r="134" spans="1:7" x14ac:dyDescent="0.35">
      <c r="A134" s="554">
        <v>1034</v>
      </c>
      <c r="B134" s="484" t="s">
        <v>311</v>
      </c>
      <c r="C134" s="460" t="s">
        <v>82</v>
      </c>
      <c r="D134" s="446" t="s">
        <v>111</v>
      </c>
      <c r="E134" s="188">
        <v>43113</v>
      </c>
      <c r="F134" s="180" t="s">
        <v>13</v>
      </c>
      <c r="G134" s="541" t="s">
        <v>126</v>
      </c>
    </row>
    <row r="135" spans="1:7" x14ac:dyDescent="0.35">
      <c r="A135" s="280">
        <v>2152</v>
      </c>
      <c r="B135" s="390" t="s">
        <v>400</v>
      </c>
      <c r="C135" s="391" t="s">
        <v>580</v>
      </c>
      <c r="D135" s="381" t="s">
        <v>111</v>
      </c>
      <c r="E135" s="193">
        <v>42178</v>
      </c>
      <c r="F135" s="378" t="s">
        <v>9</v>
      </c>
      <c r="G135" s="359">
        <v>500</v>
      </c>
    </row>
    <row r="136" spans="1:7" x14ac:dyDescent="0.35">
      <c r="A136" s="280">
        <v>2153</v>
      </c>
      <c r="B136" s="390" t="s">
        <v>400</v>
      </c>
      <c r="C136" s="391" t="s">
        <v>423</v>
      </c>
      <c r="D136" s="381" t="s">
        <v>110</v>
      </c>
      <c r="E136" s="193">
        <v>42185</v>
      </c>
      <c r="F136" s="378" t="s">
        <v>9</v>
      </c>
      <c r="G136" s="359">
        <v>500</v>
      </c>
    </row>
    <row r="137" spans="1:7" x14ac:dyDescent="0.35">
      <c r="A137" s="524">
        <v>4022</v>
      </c>
      <c r="B137" s="525" t="s">
        <v>752</v>
      </c>
      <c r="C137" s="190" t="s">
        <v>157</v>
      </c>
      <c r="D137" s="156" t="s">
        <v>111</v>
      </c>
      <c r="E137" s="153">
        <v>41230</v>
      </c>
      <c r="F137" s="180" t="s">
        <v>294</v>
      </c>
      <c r="G137" s="403">
        <v>500</v>
      </c>
    </row>
    <row r="138" spans="1:7" x14ac:dyDescent="0.35">
      <c r="A138" s="280">
        <v>3075</v>
      </c>
      <c r="B138" s="531" t="s">
        <v>654</v>
      </c>
      <c r="C138" s="189" t="s">
        <v>70</v>
      </c>
      <c r="D138" s="156" t="s">
        <v>111</v>
      </c>
      <c r="E138" s="188">
        <v>41313</v>
      </c>
      <c r="F138" s="180" t="s">
        <v>13</v>
      </c>
      <c r="G138" s="275">
        <v>500</v>
      </c>
    </row>
    <row r="139" spans="1:7" x14ac:dyDescent="0.35">
      <c r="A139" s="280">
        <v>2117</v>
      </c>
      <c r="B139" s="390" t="s">
        <v>471</v>
      </c>
      <c r="C139" s="391" t="s">
        <v>63</v>
      </c>
      <c r="D139" s="381" t="s">
        <v>111</v>
      </c>
      <c r="E139" s="200">
        <v>42604</v>
      </c>
      <c r="F139" s="378" t="s">
        <v>77</v>
      </c>
      <c r="G139" s="361">
        <v>500</v>
      </c>
    </row>
    <row r="140" spans="1:7" x14ac:dyDescent="0.35">
      <c r="A140" s="270">
        <v>3105</v>
      </c>
      <c r="B140" s="414" t="s">
        <v>214</v>
      </c>
      <c r="C140" s="190" t="s">
        <v>208</v>
      </c>
      <c r="D140" s="169" t="s">
        <v>111</v>
      </c>
      <c r="E140" s="193">
        <v>41657</v>
      </c>
      <c r="F140" s="180" t="s">
        <v>9</v>
      </c>
      <c r="G140" s="403">
        <v>660</v>
      </c>
    </row>
    <row r="141" spans="1:7" x14ac:dyDescent="0.35">
      <c r="A141" s="524">
        <v>4023</v>
      </c>
      <c r="B141" s="414" t="s">
        <v>214</v>
      </c>
      <c r="C141" s="190" t="s">
        <v>230</v>
      </c>
      <c r="D141" s="169" t="s">
        <v>110</v>
      </c>
      <c r="E141" s="193">
        <v>40922</v>
      </c>
      <c r="F141" s="180" t="s">
        <v>9</v>
      </c>
      <c r="G141" s="403">
        <v>500</v>
      </c>
    </row>
    <row r="142" spans="1:7" x14ac:dyDescent="0.35">
      <c r="A142" s="280">
        <v>2112</v>
      </c>
      <c r="B142" s="393" t="s">
        <v>251</v>
      </c>
      <c r="C142" s="394" t="s">
        <v>252</v>
      </c>
      <c r="D142" s="156" t="s">
        <v>111</v>
      </c>
      <c r="E142" s="377">
        <v>42010</v>
      </c>
      <c r="F142" s="378" t="s">
        <v>13</v>
      </c>
      <c r="G142" s="366" t="s">
        <v>126</v>
      </c>
    </row>
    <row r="143" spans="1:7" x14ac:dyDescent="0.35">
      <c r="A143" s="280">
        <v>3014</v>
      </c>
      <c r="B143" s="526" t="s">
        <v>207</v>
      </c>
      <c r="C143" s="187" t="s">
        <v>651</v>
      </c>
      <c r="D143" s="156" t="s">
        <v>111</v>
      </c>
      <c r="E143" s="153">
        <v>41908</v>
      </c>
      <c r="F143" s="169" t="s">
        <v>12</v>
      </c>
      <c r="G143" s="275">
        <v>500</v>
      </c>
    </row>
    <row r="144" spans="1:7" x14ac:dyDescent="0.35">
      <c r="A144" s="524">
        <v>4024</v>
      </c>
      <c r="B144" s="526" t="s">
        <v>207</v>
      </c>
      <c r="C144" s="187" t="s">
        <v>208</v>
      </c>
      <c r="D144" s="156" t="s">
        <v>111</v>
      </c>
      <c r="E144" s="153">
        <v>40713</v>
      </c>
      <c r="F144" s="180" t="s">
        <v>12</v>
      </c>
      <c r="G144" s="275">
        <v>500</v>
      </c>
    </row>
    <row r="145" spans="1:7" x14ac:dyDescent="0.35">
      <c r="A145" s="554">
        <v>1065</v>
      </c>
      <c r="B145" s="484" t="s">
        <v>312</v>
      </c>
      <c r="C145" s="460" t="s">
        <v>252</v>
      </c>
      <c r="D145" s="446" t="s">
        <v>111</v>
      </c>
      <c r="E145" s="188">
        <v>42752</v>
      </c>
      <c r="F145" s="180" t="s">
        <v>13</v>
      </c>
      <c r="G145" s="541" t="s">
        <v>126</v>
      </c>
    </row>
    <row r="146" spans="1:7" x14ac:dyDescent="0.35">
      <c r="A146" s="280">
        <v>2154</v>
      </c>
      <c r="B146" s="390" t="s">
        <v>472</v>
      </c>
      <c r="C146" s="391" t="s">
        <v>153</v>
      </c>
      <c r="D146" s="381" t="s">
        <v>111</v>
      </c>
      <c r="E146" s="193">
        <v>42600</v>
      </c>
      <c r="F146" s="378" t="s">
        <v>9</v>
      </c>
      <c r="G146" s="359">
        <v>500</v>
      </c>
    </row>
    <row r="147" spans="1:7" x14ac:dyDescent="0.35">
      <c r="A147" s="280">
        <v>2089</v>
      </c>
      <c r="B147" s="395" t="s">
        <v>473</v>
      </c>
      <c r="C147" s="396" t="s">
        <v>581</v>
      </c>
      <c r="D147" s="156" t="s">
        <v>111</v>
      </c>
      <c r="E147" s="377">
        <v>42161</v>
      </c>
      <c r="F147" s="378" t="s">
        <v>294</v>
      </c>
      <c r="G147" s="368" t="s">
        <v>126</v>
      </c>
    </row>
    <row r="148" spans="1:7" x14ac:dyDescent="0.35">
      <c r="A148" s="280">
        <v>2033</v>
      </c>
      <c r="B148" s="393" t="s">
        <v>474</v>
      </c>
      <c r="C148" s="394" t="s">
        <v>62</v>
      </c>
      <c r="D148" s="156" t="s">
        <v>111</v>
      </c>
      <c r="E148" s="377">
        <v>42492</v>
      </c>
      <c r="F148" s="378" t="s">
        <v>13</v>
      </c>
      <c r="G148" s="366" t="s">
        <v>126</v>
      </c>
    </row>
    <row r="149" spans="1:7" x14ac:dyDescent="0.35">
      <c r="A149" s="280">
        <v>2106</v>
      </c>
      <c r="B149" s="395" t="s">
        <v>475</v>
      </c>
      <c r="C149" s="400" t="s">
        <v>582</v>
      </c>
      <c r="D149" s="156" t="s">
        <v>111</v>
      </c>
      <c r="E149" s="377">
        <v>42052</v>
      </c>
      <c r="F149" s="378" t="s">
        <v>66</v>
      </c>
      <c r="G149" s="401">
        <v>500</v>
      </c>
    </row>
    <row r="150" spans="1:7" x14ac:dyDescent="0.35">
      <c r="A150" s="280">
        <v>2156</v>
      </c>
      <c r="B150" s="390" t="s">
        <v>476</v>
      </c>
      <c r="C150" s="391" t="s">
        <v>49</v>
      </c>
      <c r="D150" s="381" t="s">
        <v>111</v>
      </c>
      <c r="E150" s="193">
        <v>42669</v>
      </c>
      <c r="F150" s="378" t="s">
        <v>9</v>
      </c>
      <c r="G150" s="359">
        <v>500</v>
      </c>
    </row>
    <row r="151" spans="1:7" x14ac:dyDescent="0.35">
      <c r="A151" s="280">
        <v>2155</v>
      </c>
      <c r="B151" s="390" t="s">
        <v>476</v>
      </c>
      <c r="C151" s="391" t="s">
        <v>220</v>
      </c>
      <c r="D151" s="381" t="s">
        <v>111</v>
      </c>
      <c r="E151" s="193">
        <v>42669</v>
      </c>
      <c r="F151" s="378" t="s">
        <v>9</v>
      </c>
      <c r="G151" s="359">
        <v>500</v>
      </c>
    </row>
    <row r="152" spans="1:7" x14ac:dyDescent="0.35">
      <c r="A152" s="280">
        <v>2019</v>
      </c>
      <c r="B152" s="395" t="s">
        <v>313</v>
      </c>
      <c r="C152" s="400" t="s">
        <v>583</v>
      </c>
      <c r="D152" s="156" t="s">
        <v>111</v>
      </c>
      <c r="E152" s="377">
        <v>42633</v>
      </c>
      <c r="F152" s="378" t="s">
        <v>66</v>
      </c>
      <c r="G152" s="401">
        <v>500</v>
      </c>
    </row>
    <row r="153" spans="1:7" x14ac:dyDescent="0.35">
      <c r="A153" s="554">
        <v>1036</v>
      </c>
      <c r="B153" s="564" t="s">
        <v>313</v>
      </c>
      <c r="C153" s="470" t="s">
        <v>162</v>
      </c>
      <c r="D153" s="446" t="s">
        <v>111</v>
      </c>
      <c r="E153" s="377">
        <v>43092</v>
      </c>
      <c r="F153" s="180" t="s">
        <v>66</v>
      </c>
      <c r="G153" s="540">
        <v>500</v>
      </c>
    </row>
    <row r="154" spans="1:7" x14ac:dyDescent="0.35">
      <c r="A154" s="524">
        <v>4025</v>
      </c>
      <c r="B154" s="531" t="s">
        <v>753</v>
      </c>
      <c r="C154" s="189" t="s">
        <v>88</v>
      </c>
      <c r="D154" s="156" t="s">
        <v>111</v>
      </c>
      <c r="E154" s="188">
        <v>40870</v>
      </c>
      <c r="F154" s="180" t="s">
        <v>13</v>
      </c>
      <c r="G154" s="275">
        <v>500</v>
      </c>
    </row>
    <row r="155" spans="1:7" x14ac:dyDescent="0.35">
      <c r="A155" s="280">
        <v>2118</v>
      </c>
      <c r="B155" s="390" t="s">
        <v>477</v>
      </c>
      <c r="C155" s="391" t="s">
        <v>584</v>
      </c>
      <c r="D155" s="381" t="s">
        <v>111</v>
      </c>
      <c r="E155" s="200">
        <v>42433</v>
      </c>
      <c r="F155" s="378" t="s">
        <v>77</v>
      </c>
      <c r="G155" s="361">
        <v>500</v>
      </c>
    </row>
    <row r="156" spans="1:7" x14ac:dyDescent="0.35">
      <c r="A156" s="270">
        <v>3083</v>
      </c>
      <c r="B156" s="528" t="s">
        <v>655</v>
      </c>
      <c r="C156" s="178" t="s">
        <v>93</v>
      </c>
      <c r="D156" s="169" t="s">
        <v>111</v>
      </c>
      <c r="E156" s="184">
        <v>41691</v>
      </c>
      <c r="F156" s="180" t="s">
        <v>77</v>
      </c>
      <c r="G156" s="403">
        <v>500</v>
      </c>
    </row>
    <row r="157" spans="1:7" x14ac:dyDescent="0.35">
      <c r="A157" s="554">
        <v>1015</v>
      </c>
      <c r="B157" s="564" t="s">
        <v>314</v>
      </c>
      <c r="C157" s="477" t="s">
        <v>821</v>
      </c>
      <c r="D157" s="446" t="s">
        <v>111</v>
      </c>
      <c r="E157" s="188">
        <v>43390</v>
      </c>
      <c r="F157" s="180" t="s">
        <v>294</v>
      </c>
      <c r="G157" s="275" t="s">
        <v>126</v>
      </c>
    </row>
    <row r="158" spans="1:7" x14ac:dyDescent="0.35">
      <c r="A158" s="280">
        <v>2024</v>
      </c>
      <c r="B158" s="395" t="s">
        <v>811</v>
      </c>
      <c r="C158" s="400" t="s">
        <v>132</v>
      </c>
      <c r="D158" s="156" t="s">
        <v>110</v>
      </c>
      <c r="E158" s="377">
        <v>42568</v>
      </c>
      <c r="F158" s="378" t="s">
        <v>294</v>
      </c>
      <c r="G158" s="368" t="s">
        <v>126</v>
      </c>
    </row>
    <row r="159" spans="1:7" x14ac:dyDescent="0.35">
      <c r="A159" s="280">
        <v>2182</v>
      </c>
      <c r="B159" s="393" t="s">
        <v>478</v>
      </c>
      <c r="C159" s="394" t="s">
        <v>155</v>
      </c>
      <c r="D159" s="156" t="s">
        <v>111</v>
      </c>
      <c r="E159" s="377">
        <v>42570</v>
      </c>
      <c r="F159" s="378" t="s">
        <v>66</v>
      </c>
      <c r="G159" s="366" t="s">
        <v>126</v>
      </c>
    </row>
    <row r="160" spans="1:7" x14ac:dyDescent="0.35">
      <c r="A160" s="280">
        <v>2022</v>
      </c>
      <c r="B160" s="393" t="s">
        <v>154</v>
      </c>
      <c r="C160" s="394" t="s">
        <v>56</v>
      </c>
      <c r="D160" s="156" t="s">
        <v>111</v>
      </c>
      <c r="E160" s="377">
        <v>42570</v>
      </c>
      <c r="F160" s="378" t="s">
        <v>13</v>
      </c>
      <c r="G160" s="366" t="s">
        <v>126</v>
      </c>
    </row>
    <row r="161" spans="1:7" x14ac:dyDescent="0.35">
      <c r="A161" s="554">
        <v>1061</v>
      </c>
      <c r="B161" s="484" t="s">
        <v>315</v>
      </c>
      <c r="C161" s="460" t="s">
        <v>829</v>
      </c>
      <c r="D161" s="446" t="s">
        <v>111</v>
      </c>
      <c r="E161" s="188">
        <v>42788</v>
      </c>
      <c r="F161" s="180" t="s">
        <v>13</v>
      </c>
      <c r="G161" s="541" t="s">
        <v>126</v>
      </c>
    </row>
    <row r="162" spans="1:7" x14ac:dyDescent="0.35">
      <c r="A162" s="280">
        <v>2157</v>
      </c>
      <c r="B162" s="390" t="s">
        <v>479</v>
      </c>
      <c r="C162" s="391" t="s">
        <v>585</v>
      </c>
      <c r="D162" s="381" t="s">
        <v>111</v>
      </c>
      <c r="E162" s="193">
        <v>42483</v>
      </c>
      <c r="F162" s="378" t="s">
        <v>9</v>
      </c>
      <c r="G162" s="359">
        <v>500</v>
      </c>
    </row>
    <row r="163" spans="1:7" x14ac:dyDescent="0.35">
      <c r="A163" s="554">
        <v>1076</v>
      </c>
      <c r="B163" s="568" t="s">
        <v>316</v>
      </c>
      <c r="C163" s="454" t="s">
        <v>153</v>
      </c>
      <c r="D163" s="446" t="s">
        <v>111</v>
      </c>
      <c r="E163" s="193">
        <v>44000</v>
      </c>
      <c r="F163" s="181" t="s">
        <v>9</v>
      </c>
      <c r="G163" s="403">
        <v>500</v>
      </c>
    </row>
    <row r="164" spans="1:7" x14ac:dyDescent="0.35">
      <c r="A164" s="554">
        <v>1043</v>
      </c>
      <c r="B164" s="567" t="s">
        <v>317</v>
      </c>
      <c r="C164" s="461" t="s">
        <v>318</v>
      </c>
      <c r="D164" s="446" t="s">
        <v>111</v>
      </c>
      <c r="E164" s="188">
        <v>43035</v>
      </c>
      <c r="F164" s="180" t="s">
        <v>65</v>
      </c>
      <c r="G164" s="275" t="s">
        <v>126</v>
      </c>
    </row>
    <row r="165" spans="1:7" x14ac:dyDescent="0.35">
      <c r="A165" s="280">
        <v>2031</v>
      </c>
      <c r="B165" s="397" t="s">
        <v>480</v>
      </c>
      <c r="C165" s="398" t="s">
        <v>586</v>
      </c>
      <c r="D165" s="156" t="s">
        <v>111</v>
      </c>
      <c r="E165" s="399">
        <v>42499</v>
      </c>
      <c r="F165" s="378" t="s">
        <v>12</v>
      </c>
      <c r="G165" s="368">
        <v>500</v>
      </c>
    </row>
    <row r="166" spans="1:7" x14ac:dyDescent="0.35">
      <c r="A166" s="280">
        <v>2110</v>
      </c>
      <c r="B166" s="397" t="s">
        <v>481</v>
      </c>
      <c r="C166" s="398" t="s">
        <v>587</v>
      </c>
      <c r="D166" s="156" t="s">
        <v>111</v>
      </c>
      <c r="E166" s="399">
        <v>42026</v>
      </c>
      <c r="F166" s="378" t="s">
        <v>12</v>
      </c>
      <c r="G166" s="368">
        <v>500</v>
      </c>
    </row>
    <row r="167" spans="1:7" x14ac:dyDescent="0.35">
      <c r="A167" s="270">
        <v>3084</v>
      </c>
      <c r="B167" s="528" t="s">
        <v>656</v>
      </c>
      <c r="C167" s="178" t="s">
        <v>112</v>
      </c>
      <c r="D167" s="169" t="s">
        <v>111</v>
      </c>
      <c r="E167" s="184">
        <v>41762</v>
      </c>
      <c r="F167" s="180" t="s">
        <v>77</v>
      </c>
      <c r="G167" s="403">
        <v>500</v>
      </c>
    </row>
    <row r="168" spans="1:7" x14ac:dyDescent="0.35">
      <c r="A168" s="280">
        <v>3016</v>
      </c>
      <c r="B168" s="526" t="s">
        <v>657</v>
      </c>
      <c r="C168" s="187" t="s">
        <v>658</v>
      </c>
      <c r="D168" s="156" t="s">
        <v>111</v>
      </c>
      <c r="E168" s="153">
        <v>41902</v>
      </c>
      <c r="F168" s="169" t="s">
        <v>12</v>
      </c>
      <c r="G168" s="275">
        <v>500</v>
      </c>
    </row>
    <row r="169" spans="1:7" x14ac:dyDescent="0.35">
      <c r="A169" s="554">
        <v>1077</v>
      </c>
      <c r="B169" s="568" t="s">
        <v>319</v>
      </c>
      <c r="C169" s="454" t="s">
        <v>320</v>
      </c>
      <c r="D169" s="446" t="s">
        <v>111</v>
      </c>
      <c r="E169" s="193">
        <v>42997</v>
      </c>
      <c r="F169" s="181" t="s">
        <v>9</v>
      </c>
      <c r="G169" s="403">
        <v>500</v>
      </c>
    </row>
    <row r="170" spans="1:7" x14ac:dyDescent="0.35">
      <c r="A170" s="280">
        <v>3045</v>
      </c>
      <c r="B170" s="527" t="s">
        <v>405</v>
      </c>
      <c r="C170" s="191" t="s">
        <v>428</v>
      </c>
      <c r="D170" s="156" t="s">
        <v>110</v>
      </c>
      <c r="E170" s="188">
        <v>41657</v>
      </c>
      <c r="F170" s="180" t="s">
        <v>294</v>
      </c>
      <c r="G170" s="275">
        <v>500</v>
      </c>
    </row>
    <row r="171" spans="1:7" x14ac:dyDescent="0.35">
      <c r="A171" s="554">
        <v>1030</v>
      </c>
      <c r="B171" s="567" t="s">
        <v>321</v>
      </c>
      <c r="C171" s="461" t="s">
        <v>815</v>
      </c>
      <c r="D171" s="446" t="s">
        <v>111</v>
      </c>
      <c r="E171" s="377">
        <v>43154</v>
      </c>
      <c r="F171" s="180" t="s">
        <v>65</v>
      </c>
      <c r="G171" s="275">
        <v>500</v>
      </c>
    </row>
    <row r="172" spans="1:7" x14ac:dyDescent="0.35">
      <c r="A172" s="280">
        <v>3008</v>
      </c>
      <c r="B172" s="527" t="s">
        <v>659</v>
      </c>
      <c r="C172" s="192" t="s">
        <v>60</v>
      </c>
      <c r="D172" s="156" t="s">
        <v>111</v>
      </c>
      <c r="E172" s="188">
        <v>41953</v>
      </c>
      <c r="F172" s="180" t="s">
        <v>294</v>
      </c>
      <c r="G172" s="275">
        <v>500</v>
      </c>
    </row>
    <row r="173" spans="1:7" x14ac:dyDescent="0.35">
      <c r="A173" s="280">
        <v>2158</v>
      </c>
      <c r="B173" s="390" t="s">
        <v>482</v>
      </c>
      <c r="C173" s="391" t="s">
        <v>588</v>
      </c>
      <c r="D173" s="381" t="s">
        <v>111</v>
      </c>
      <c r="E173" s="193">
        <v>42066</v>
      </c>
      <c r="F173" s="378" t="s">
        <v>9</v>
      </c>
      <c r="G173" s="359">
        <v>500</v>
      </c>
    </row>
    <row r="174" spans="1:7" x14ac:dyDescent="0.35">
      <c r="A174" s="270">
        <v>3106</v>
      </c>
      <c r="B174" s="414" t="s">
        <v>404</v>
      </c>
      <c r="C174" s="190" t="s">
        <v>366</v>
      </c>
      <c r="D174" s="169" t="s">
        <v>110</v>
      </c>
      <c r="E174" s="193">
        <v>41787</v>
      </c>
      <c r="F174" s="180" t="s">
        <v>9</v>
      </c>
      <c r="G174" s="403">
        <v>500</v>
      </c>
    </row>
    <row r="175" spans="1:7" x14ac:dyDescent="0.35">
      <c r="A175" s="280">
        <v>3070</v>
      </c>
      <c r="B175" s="531" t="s">
        <v>660</v>
      </c>
      <c r="C175" s="189" t="s">
        <v>661</v>
      </c>
      <c r="D175" s="156" t="s">
        <v>111</v>
      </c>
      <c r="E175" s="188">
        <v>41371</v>
      </c>
      <c r="F175" s="180" t="s">
        <v>13</v>
      </c>
      <c r="G175" s="275">
        <v>500</v>
      </c>
    </row>
    <row r="176" spans="1:7" x14ac:dyDescent="0.35">
      <c r="A176" s="280">
        <v>2159</v>
      </c>
      <c r="B176" s="390" t="s">
        <v>118</v>
      </c>
      <c r="C176" s="391" t="s">
        <v>98</v>
      </c>
      <c r="D176" s="381" t="s">
        <v>111</v>
      </c>
      <c r="E176" s="193">
        <v>42484</v>
      </c>
      <c r="F176" s="378" t="s">
        <v>9</v>
      </c>
      <c r="G176" s="359">
        <v>500</v>
      </c>
    </row>
    <row r="177" spans="1:7" x14ac:dyDescent="0.35">
      <c r="A177" s="270">
        <v>3107</v>
      </c>
      <c r="B177" s="414" t="s">
        <v>118</v>
      </c>
      <c r="C177" s="190" t="s">
        <v>215</v>
      </c>
      <c r="D177" s="169" t="s">
        <v>111</v>
      </c>
      <c r="E177" s="193">
        <v>41700</v>
      </c>
      <c r="F177" s="180" t="s">
        <v>9</v>
      </c>
      <c r="G177" s="403">
        <v>525</v>
      </c>
    </row>
    <row r="178" spans="1:7" x14ac:dyDescent="0.35">
      <c r="A178" s="280">
        <v>2034</v>
      </c>
      <c r="B178" s="395" t="s">
        <v>483</v>
      </c>
      <c r="C178" s="400" t="s">
        <v>589</v>
      </c>
      <c r="D178" s="156" t="s">
        <v>111</v>
      </c>
      <c r="E178" s="377">
        <v>42474</v>
      </c>
      <c r="F178" s="378" t="s">
        <v>66</v>
      </c>
      <c r="G178" s="401">
        <v>500</v>
      </c>
    </row>
    <row r="179" spans="1:7" x14ac:dyDescent="0.35">
      <c r="A179" s="280">
        <v>2119</v>
      </c>
      <c r="B179" s="390" t="s">
        <v>484</v>
      </c>
      <c r="C179" s="391" t="s">
        <v>93</v>
      </c>
      <c r="D179" s="381" t="s">
        <v>111</v>
      </c>
      <c r="E179" s="196">
        <v>42616</v>
      </c>
      <c r="F179" s="378" t="s">
        <v>77</v>
      </c>
      <c r="G179" s="361">
        <v>500</v>
      </c>
    </row>
    <row r="180" spans="1:7" x14ac:dyDescent="0.35">
      <c r="A180" s="280">
        <v>2101</v>
      </c>
      <c r="B180" s="376" t="s">
        <v>401</v>
      </c>
      <c r="C180" s="242" t="s">
        <v>613</v>
      </c>
      <c r="D180" s="156" t="s">
        <v>110</v>
      </c>
      <c r="E180" s="377">
        <v>42069</v>
      </c>
      <c r="F180" s="378" t="s">
        <v>79</v>
      </c>
      <c r="G180" s="361">
        <v>500</v>
      </c>
    </row>
    <row r="181" spans="1:7" x14ac:dyDescent="0.35">
      <c r="A181" s="280">
        <v>2160</v>
      </c>
      <c r="B181" s="390" t="s">
        <v>485</v>
      </c>
      <c r="C181" s="391" t="s">
        <v>60</v>
      </c>
      <c r="D181" s="381" t="s">
        <v>111</v>
      </c>
      <c r="E181" s="193">
        <v>42055</v>
      </c>
      <c r="F181" s="378" t="s">
        <v>9</v>
      </c>
      <c r="G181" s="359">
        <v>500</v>
      </c>
    </row>
    <row r="182" spans="1:7" x14ac:dyDescent="0.35">
      <c r="A182" s="524">
        <v>4026</v>
      </c>
      <c r="B182" s="527" t="s">
        <v>485</v>
      </c>
      <c r="C182" s="192" t="s">
        <v>822</v>
      </c>
      <c r="D182" s="156" t="s">
        <v>111</v>
      </c>
      <c r="E182" s="188">
        <v>40701</v>
      </c>
      <c r="F182" s="180" t="s">
        <v>294</v>
      </c>
      <c r="G182" s="275">
        <v>500</v>
      </c>
    </row>
    <row r="183" spans="1:7" x14ac:dyDescent="0.35">
      <c r="A183" s="280">
        <v>2035</v>
      </c>
      <c r="B183" s="393" t="s">
        <v>486</v>
      </c>
      <c r="C183" s="394" t="s">
        <v>590</v>
      </c>
      <c r="D183" s="156" t="s">
        <v>111</v>
      </c>
      <c r="E183" s="377">
        <v>42474</v>
      </c>
      <c r="F183" s="378" t="s">
        <v>13</v>
      </c>
      <c r="G183" s="366" t="s">
        <v>621</v>
      </c>
    </row>
    <row r="184" spans="1:7" x14ac:dyDescent="0.35">
      <c r="A184" s="554">
        <v>1078</v>
      </c>
      <c r="B184" s="568" t="s">
        <v>322</v>
      </c>
      <c r="C184" s="454" t="s">
        <v>68</v>
      </c>
      <c r="D184" s="446" t="s">
        <v>111</v>
      </c>
      <c r="E184" s="193">
        <v>42927</v>
      </c>
      <c r="F184" s="181" t="s">
        <v>9</v>
      </c>
      <c r="G184" s="403">
        <v>501</v>
      </c>
    </row>
    <row r="185" spans="1:7" x14ac:dyDescent="0.35">
      <c r="A185" s="524">
        <v>4027</v>
      </c>
      <c r="B185" s="528" t="s">
        <v>754</v>
      </c>
      <c r="C185" s="178" t="s">
        <v>366</v>
      </c>
      <c r="D185" s="169" t="s">
        <v>110</v>
      </c>
      <c r="E185" s="179">
        <v>40738</v>
      </c>
      <c r="F185" s="180" t="s">
        <v>10</v>
      </c>
      <c r="G185" s="403">
        <v>500</v>
      </c>
    </row>
    <row r="186" spans="1:7" x14ac:dyDescent="0.35">
      <c r="A186" s="280">
        <v>3026</v>
      </c>
      <c r="B186" s="526" t="s">
        <v>662</v>
      </c>
      <c r="C186" s="187" t="s">
        <v>140</v>
      </c>
      <c r="D186" s="156" t="s">
        <v>111</v>
      </c>
      <c r="E186" s="188">
        <v>41786</v>
      </c>
      <c r="F186" s="180" t="s">
        <v>37</v>
      </c>
      <c r="G186" s="275">
        <v>500</v>
      </c>
    </row>
    <row r="187" spans="1:7" x14ac:dyDescent="0.35">
      <c r="A187" s="524">
        <v>4028</v>
      </c>
      <c r="B187" s="414" t="s">
        <v>755</v>
      </c>
      <c r="C187" s="190" t="s">
        <v>220</v>
      </c>
      <c r="D187" s="169" t="s">
        <v>111</v>
      </c>
      <c r="E187" s="193">
        <v>41104</v>
      </c>
      <c r="F187" s="180" t="s">
        <v>66</v>
      </c>
      <c r="G187" s="403">
        <v>500</v>
      </c>
    </row>
    <row r="188" spans="1:7" x14ac:dyDescent="0.35">
      <c r="A188" s="280">
        <v>3030</v>
      </c>
      <c r="B188" s="527" t="s">
        <v>663</v>
      </c>
      <c r="C188" s="192" t="s">
        <v>152</v>
      </c>
      <c r="D188" s="156" t="s">
        <v>111</v>
      </c>
      <c r="E188" s="188">
        <v>41771</v>
      </c>
      <c r="F188" s="180" t="s">
        <v>294</v>
      </c>
      <c r="G188" s="275">
        <v>500</v>
      </c>
    </row>
    <row r="189" spans="1:7" x14ac:dyDescent="0.35">
      <c r="A189" s="280">
        <v>2120</v>
      </c>
      <c r="B189" s="379" t="s">
        <v>487</v>
      </c>
      <c r="C189" s="382" t="s">
        <v>134</v>
      </c>
      <c r="D189" s="381" t="s">
        <v>111</v>
      </c>
      <c r="E189" s="196">
        <v>42361</v>
      </c>
      <c r="F189" s="378" t="s">
        <v>77</v>
      </c>
      <c r="G189" s="361">
        <v>500</v>
      </c>
    </row>
    <row r="190" spans="1:7" x14ac:dyDescent="0.35">
      <c r="A190" s="554">
        <v>1022</v>
      </c>
      <c r="B190" s="564" t="s">
        <v>823</v>
      </c>
      <c r="C190" s="477" t="s">
        <v>82</v>
      </c>
      <c r="D190" s="446" t="s">
        <v>111</v>
      </c>
      <c r="E190" s="188">
        <v>43233</v>
      </c>
      <c r="F190" s="180" t="s">
        <v>294</v>
      </c>
      <c r="G190" s="275" t="s">
        <v>126</v>
      </c>
    </row>
    <row r="191" spans="1:7" x14ac:dyDescent="0.35">
      <c r="A191" s="270">
        <v>3108</v>
      </c>
      <c r="B191" s="414" t="s">
        <v>664</v>
      </c>
      <c r="C191" s="190" t="s">
        <v>52</v>
      </c>
      <c r="D191" s="169" t="s">
        <v>111</v>
      </c>
      <c r="E191" s="193">
        <v>41507</v>
      </c>
      <c r="F191" s="180" t="s">
        <v>9</v>
      </c>
      <c r="G191" s="403">
        <v>500</v>
      </c>
    </row>
    <row r="192" spans="1:7" x14ac:dyDescent="0.35">
      <c r="A192" s="524">
        <v>4029</v>
      </c>
      <c r="B192" s="414" t="s">
        <v>231</v>
      </c>
      <c r="C192" s="190" t="s">
        <v>232</v>
      </c>
      <c r="D192" s="169" t="s">
        <v>111</v>
      </c>
      <c r="E192" s="193">
        <v>41104</v>
      </c>
      <c r="F192" s="180" t="s">
        <v>9</v>
      </c>
      <c r="G192" s="403">
        <v>940</v>
      </c>
    </row>
    <row r="193" spans="1:7" x14ac:dyDescent="0.35">
      <c r="A193" s="524">
        <v>4030</v>
      </c>
      <c r="B193" s="414" t="s">
        <v>245</v>
      </c>
      <c r="C193" s="190" t="s">
        <v>246</v>
      </c>
      <c r="D193" s="169" t="s">
        <v>111</v>
      </c>
      <c r="E193" s="196">
        <v>41051</v>
      </c>
      <c r="F193" s="180" t="s">
        <v>77</v>
      </c>
      <c r="G193" s="161">
        <v>575</v>
      </c>
    </row>
    <row r="194" spans="1:7" x14ac:dyDescent="0.35">
      <c r="A194" s="280">
        <v>3046</v>
      </c>
      <c r="B194" s="531" t="s">
        <v>665</v>
      </c>
      <c r="C194" s="189" t="s">
        <v>666</v>
      </c>
      <c r="D194" s="156" t="s">
        <v>111</v>
      </c>
      <c r="E194" s="188">
        <v>41652</v>
      </c>
      <c r="F194" s="180" t="s">
        <v>13</v>
      </c>
      <c r="G194" s="275">
        <v>500</v>
      </c>
    </row>
    <row r="195" spans="1:7" x14ac:dyDescent="0.35">
      <c r="A195" s="524">
        <v>4031</v>
      </c>
      <c r="B195" s="414" t="s">
        <v>756</v>
      </c>
      <c r="C195" s="190" t="s">
        <v>73</v>
      </c>
      <c r="D195" s="169" t="s">
        <v>111</v>
      </c>
      <c r="E195" s="193">
        <v>41123</v>
      </c>
      <c r="F195" s="180" t="s">
        <v>9</v>
      </c>
      <c r="G195" s="403">
        <v>500</v>
      </c>
    </row>
    <row r="196" spans="1:7" x14ac:dyDescent="0.35">
      <c r="A196" s="280">
        <v>2096</v>
      </c>
      <c r="B196" s="393" t="s">
        <v>166</v>
      </c>
      <c r="C196" s="394" t="s">
        <v>814</v>
      </c>
      <c r="D196" s="156" t="s">
        <v>111</v>
      </c>
      <c r="E196" s="377">
        <v>42112</v>
      </c>
      <c r="F196" s="378" t="s">
        <v>13</v>
      </c>
      <c r="G196" s="366" t="s">
        <v>622</v>
      </c>
    </row>
    <row r="197" spans="1:7" x14ac:dyDescent="0.35">
      <c r="A197" s="270">
        <v>3109</v>
      </c>
      <c r="B197" s="414" t="s">
        <v>166</v>
      </c>
      <c r="C197" s="190" t="s">
        <v>86</v>
      </c>
      <c r="D197" s="169" t="s">
        <v>111</v>
      </c>
      <c r="E197" s="193">
        <v>41412</v>
      </c>
      <c r="F197" s="180" t="s">
        <v>9</v>
      </c>
      <c r="G197" s="403">
        <v>1456</v>
      </c>
    </row>
    <row r="198" spans="1:7" x14ac:dyDescent="0.35">
      <c r="A198" s="554">
        <v>1079</v>
      </c>
      <c r="B198" s="568" t="s">
        <v>323</v>
      </c>
      <c r="C198" s="454" t="s">
        <v>152</v>
      </c>
      <c r="D198" s="446" t="s">
        <v>111</v>
      </c>
      <c r="E198" s="193">
        <v>43047</v>
      </c>
      <c r="F198" s="181" t="s">
        <v>9</v>
      </c>
      <c r="G198" s="403">
        <v>501</v>
      </c>
    </row>
    <row r="199" spans="1:7" x14ac:dyDescent="0.35">
      <c r="A199" s="280">
        <v>2181</v>
      </c>
      <c r="B199" s="393" t="s">
        <v>250</v>
      </c>
      <c r="C199" s="394" t="s">
        <v>173</v>
      </c>
      <c r="D199" s="156" t="s">
        <v>111</v>
      </c>
      <c r="E199" s="377">
        <v>42411</v>
      </c>
      <c r="F199" s="378" t="s">
        <v>66</v>
      </c>
      <c r="G199" s="366" t="s">
        <v>126</v>
      </c>
    </row>
    <row r="200" spans="1:7" x14ac:dyDescent="0.35">
      <c r="A200" s="524">
        <v>4032</v>
      </c>
      <c r="B200" s="414" t="s">
        <v>247</v>
      </c>
      <c r="C200" s="190" t="s">
        <v>56</v>
      </c>
      <c r="D200" s="169" t="s">
        <v>111</v>
      </c>
      <c r="E200" s="193">
        <v>41089</v>
      </c>
      <c r="F200" s="180" t="s">
        <v>77</v>
      </c>
      <c r="G200" s="161">
        <v>500</v>
      </c>
    </row>
    <row r="201" spans="1:7" x14ac:dyDescent="0.35">
      <c r="A201" s="270">
        <v>3098</v>
      </c>
      <c r="B201" s="528" t="s">
        <v>667</v>
      </c>
      <c r="C201" s="178" t="s">
        <v>582</v>
      </c>
      <c r="D201" s="169" t="s">
        <v>111</v>
      </c>
      <c r="E201" s="179">
        <v>41280</v>
      </c>
      <c r="F201" s="180" t="s">
        <v>10</v>
      </c>
      <c r="G201" s="403">
        <v>500</v>
      </c>
    </row>
    <row r="202" spans="1:7" x14ac:dyDescent="0.35">
      <c r="A202" s="524">
        <v>4033</v>
      </c>
      <c r="B202" s="530" t="s">
        <v>757</v>
      </c>
      <c r="C202" s="186" t="s">
        <v>854</v>
      </c>
      <c r="D202" s="156" t="s">
        <v>111</v>
      </c>
      <c r="E202" s="188">
        <v>40958</v>
      </c>
      <c r="F202" s="180" t="s">
        <v>79</v>
      </c>
      <c r="G202" s="161">
        <v>500</v>
      </c>
    </row>
    <row r="203" spans="1:7" x14ac:dyDescent="0.35">
      <c r="A203" s="280">
        <v>3038</v>
      </c>
      <c r="B203" s="526" t="s">
        <v>205</v>
      </c>
      <c r="C203" s="187" t="s">
        <v>204</v>
      </c>
      <c r="D203" s="156" t="s">
        <v>111</v>
      </c>
      <c r="E203" s="153">
        <v>41714</v>
      </c>
      <c r="F203" s="169" t="s">
        <v>12</v>
      </c>
      <c r="G203" s="275">
        <v>500</v>
      </c>
    </row>
    <row r="204" spans="1:7" x14ac:dyDescent="0.35">
      <c r="A204" s="280">
        <v>2044</v>
      </c>
      <c r="B204" s="393" t="s">
        <v>488</v>
      </c>
      <c r="C204" s="394" t="s">
        <v>591</v>
      </c>
      <c r="D204" s="156" t="s">
        <v>111</v>
      </c>
      <c r="E204" s="377">
        <v>42411</v>
      </c>
      <c r="F204" s="378" t="s">
        <v>13</v>
      </c>
      <c r="G204" s="366" t="s">
        <v>126</v>
      </c>
    </row>
    <row r="205" spans="1:7" x14ac:dyDescent="0.35">
      <c r="A205" s="280">
        <v>2161</v>
      </c>
      <c r="B205" s="390" t="s">
        <v>489</v>
      </c>
      <c r="C205" s="391" t="s">
        <v>816</v>
      </c>
      <c r="D205" s="381" t="s">
        <v>111</v>
      </c>
      <c r="E205" s="193">
        <v>42574</v>
      </c>
      <c r="F205" s="378" t="s">
        <v>9</v>
      </c>
      <c r="G205" s="359">
        <v>500</v>
      </c>
    </row>
    <row r="206" spans="1:7" x14ac:dyDescent="0.35">
      <c r="A206" s="524">
        <v>4034</v>
      </c>
      <c r="B206" s="414" t="s">
        <v>151</v>
      </c>
      <c r="C206" s="190" t="s">
        <v>853</v>
      </c>
      <c r="D206" s="169" t="s">
        <v>111</v>
      </c>
      <c r="E206" s="193">
        <v>40165</v>
      </c>
      <c r="F206" s="180" t="s">
        <v>9</v>
      </c>
      <c r="G206" s="403">
        <v>500</v>
      </c>
    </row>
    <row r="207" spans="1:7" x14ac:dyDescent="0.35">
      <c r="A207" s="280">
        <v>3058</v>
      </c>
      <c r="B207" s="530" t="s">
        <v>195</v>
      </c>
      <c r="C207" s="186" t="s">
        <v>60</v>
      </c>
      <c r="D207" s="156" t="s">
        <v>111</v>
      </c>
      <c r="E207" s="188">
        <v>41462</v>
      </c>
      <c r="F207" s="180" t="s">
        <v>79</v>
      </c>
      <c r="G207" s="161">
        <v>500</v>
      </c>
    </row>
    <row r="208" spans="1:7" x14ac:dyDescent="0.35">
      <c r="A208" s="280">
        <v>3003</v>
      </c>
      <c r="B208" s="530" t="s">
        <v>402</v>
      </c>
      <c r="C208" s="186" t="s">
        <v>845</v>
      </c>
      <c r="D208" s="156" t="s">
        <v>110</v>
      </c>
      <c r="E208" s="188">
        <v>41984</v>
      </c>
      <c r="F208" s="180" t="s">
        <v>79</v>
      </c>
      <c r="G208" s="161">
        <v>500</v>
      </c>
    </row>
    <row r="209" spans="1:7" x14ac:dyDescent="0.35">
      <c r="A209" s="524">
        <v>4035</v>
      </c>
      <c r="B209" s="414" t="s">
        <v>402</v>
      </c>
      <c r="C209" s="190" t="s">
        <v>91</v>
      </c>
      <c r="D209" s="169" t="s">
        <v>111</v>
      </c>
      <c r="E209" s="193">
        <v>40694</v>
      </c>
      <c r="F209" s="180" t="s">
        <v>9</v>
      </c>
      <c r="G209" s="403">
        <v>500</v>
      </c>
    </row>
    <row r="210" spans="1:7" x14ac:dyDescent="0.35">
      <c r="A210" s="280">
        <v>2050</v>
      </c>
      <c r="B210" s="393" t="s">
        <v>398</v>
      </c>
      <c r="C210" s="394" t="s">
        <v>421</v>
      </c>
      <c r="D210" s="156" t="s">
        <v>110</v>
      </c>
      <c r="E210" s="377">
        <v>42384</v>
      </c>
      <c r="F210" s="378" t="s">
        <v>13</v>
      </c>
      <c r="G210" s="366" t="s">
        <v>126</v>
      </c>
    </row>
    <row r="211" spans="1:7" x14ac:dyDescent="0.35">
      <c r="A211" s="280">
        <v>2082</v>
      </c>
      <c r="B211" s="395" t="s">
        <v>490</v>
      </c>
      <c r="C211" s="396" t="s">
        <v>131</v>
      </c>
      <c r="D211" s="156" t="s">
        <v>111</v>
      </c>
      <c r="E211" s="377">
        <v>42208</v>
      </c>
      <c r="F211" s="378" t="s">
        <v>294</v>
      </c>
      <c r="G211" s="368" t="s">
        <v>126</v>
      </c>
    </row>
    <row r="212" spans="1:7" x14ac:dyDescent="0.35">
      <c r="A212" s="280">
        <v>2179</v>
      </c>
      <c r="B212" s="395" t="s">
        <v>490</v>
      </c>
      <c r="C212" s="186" t="s">
        <v>149</v>
      </c>
      <c r="D212" s="156" t="s">
        <v>111</v>
      </c>
      <c r="E212" s="402"/>
      <c r="F212" s="180" t="s">
        <v>294</v>
      </c>
      <c r="G212" s="403">
        <v>500</v>
      </c>
    </row>
    <row r="213" spans="1:7" x14ac:dyDescent="0.35">
      <c r="A213" s="524">
        <v>4036</v>
      </c>
      <c r="B213" s="414" t="s">
        <v>216</v>
      </c>
      <c r="C213" s="190" t="s">
        <v>852</v>
      </c>
      <c r="D213" s="169" t="s">
        <v>111</v>
      </c>
      <c r="E213" s="193">
        <v>40485</v>
      </c>
      <c r="F213" s="180" t="s">
        <v>9</v>
      </c>
      <c r="G213" s="403">
        <v>983</v>
      </c>
    </row>
    <row r="214" spans="1:7" x14ac:dyDescent="0.35">
      <c r="A214" s="270">
        <v>3110</v>
      </c>
      <c r="B214" s="414" t="s">
        <v>216</v>
      </c>
      <c r="C214" s="190" t="s">
        <v>165</v>
      </c>
      <c r="D214" s="169" t="s">
        <v>111</v>
      </c>
      <c r="E214" s="193">
        <v>41798</v>
      </c>
      <c r="F214" s="180" t="s">
        <v>9</v>
      </c>
      <c r="G214" s="403">
        <v>851</v>
      </c>
    </row>
    <row r="215" spans="1:7" x14ac:dyDescent="0.35">
      <c r="A215" s="280">
        <v>3077</v>
      </c>
      <c r="B215" s="526" t="s">
        <v>156</v>
      </c>
      <c r="C215" s="187" t="s">
        <v>48</v>
      </c>
      <c r="D215" s="156" t="s">
        <v>111</v>
      </c>
      <c r="E215" s="188">
        <v>41292</v>
      </c>
      <c r="F215" s="180" t="s">
        <v>65</v>
      </c>
      <c r="G215" s="275">
        <v>523</v>
      </c>
    </row>
    <row r="216" spans="1:7" x14ac:dyDescent="0.35">
      <c r="A216" s="280">
        <v>2039</v>
      </c>
      <c r="B216" s="397" t="s">
        <v>491</v>
      </c>
      <c r="C216" s="398" t="s">
        <v>172</v>
      </c>
      <c r="D216" s="156" t="s">
        <v>111</v>
      </c>
      <c r="E216" s="399">
        <v>42456</v>
      </c>
      <c r="F216" s="378" t="s">
        <v>12</v>
      </c>
      <c r="G216" s="368">
        <v>500</v>
      </c>
    </row>
    <row r="217" spans="1:7" x14ac:dyDescent="0.35">
      <c r="A217" s="554">
        <v>1057</v>
      </c>
      <c r="B217" s="569" t="s">
        <v>324</v>
      </c>
      <c r="C217" s="445" t="s">
        <v>83</v>
      </c>
      <c r="D217" s="446" t="s">
        <v>111</v>
      </c>
      <c r="E217" s="377">
        <v>42825</v>
      </c>
      <c r="F217" s="180" t="s">
        <v>79</v>
      </c>
      <c r="G217" s="161">
        <v>503</v>
      </c>
    </row>
    <row r="218" spans="1:7" x14ac:dyDescent="0.35">
      <c r="A218" s="524">
        <v>4037</v>
      </c>
      <c r="B218" s="414" t="s">
        <v>758</v>
      </c>
      <c r="C218" s="190" t="s">
        <v>759</v>
      </c>
      <c r="D218" s="169" t="s">
        <v>111</v>
      </c>
      <c r="E218" s="196">
        <v>40898</v>
      </c>
      <c r="F218" s="180" t="s">
        <v>77</v>
      </c>
      <c r="G218" s="161">
        <v>500</v>
      </c>
    </row>
    <row r="219" spans="1:7" x14ac:dyDescent="0.35">
      <c r="A219" s="280">
        <v>2130</v>
      </c>
      <c r="B219" s="379" t="s">
        <v>492</v>
      </c>
      <c r="C219" s="382" t="s">
        <v>172</v>
      </c>
      <c r="D219" s="381" t="s">
        <v>111</v>
      </c>
      <c r="E219" s="383">
        <v>42030</v>
      </c>
      <c r="F219" s="378" t="s">
        <v>10</v>
      </c>
      <c r="G219" s="359">
        <v>500</v>
      </c>
    </row>
    <row r="220" spans="1:7" x14ac:dyDescent="0.35">
      <c r="A220" s="554">
        <v>1006</v>
      </c>
      <c r="B220" s="484" t="s">
        <v>325</v>
      </c>
      <c r="C220" s="460" t="s">
        <v>326</v>
      </c>
      <c r="D220" s="446" t="s">
        <v>110</v>
      </c>
      <c r="E220" s="188">
        <v>43694</v>
      </c>
      <c r="F220" s="180" t="s">
        <v>13</v>
      </c>
      <c r="G220" s="541" t="s">
        <v>126</v>
      </c>
    </row>
    <row r="221" spans="1:7" x14ac:dyDescent="0.35">
      <c r="A221" s="280">
        <v>2068</v>
      </c>
      <c r="B221" s="393" t="s">
        <v>493</v>
      </c>
      <c r="C221" s="394" t="s">
        <v>63</v>
      </c>
      <c r="D221" s="156" t="s">
        <v>111</v>
      </c>
      <c r="E221" s="377">
        <v>42266</v>
      </c>
      <c r="F221" s="378" t="s">
        <v>13</v>
      </c>
      <c r="G221" s="366" t="s">
        <v>126</v>
      </c>
    </row>
    <row r="222" spans="1:7" x14ac:dyDescent="0.35">
      <c r="A222" s="524">
        <v>4038</v>
      </c>
      <c r="B222" s="531" t="s">
        <v>760</v>
      </c>
      <c r="C222" s="189" t="s">
        <v>47</v>
      </c>
      <c r="D222" s="156" t="s">
        <v>111</v>
      </c>
      <c r="E222" s="188">
        <v>41202</v>
      </c>
      <c r="F222" s="180" t="s">
        <v>13</v>
      </c>
      <c r="G222" s="541" t="s">
        <v>126</v>
      </c>
    </row>
    <row r="223" spans="1:7" x14ac:dyDescent="0.35">
      <c r="A223" s="270">
        <v>3130</v>
      </c>
      <c r="B223" s="525" t="s">
        <v>668</v>
      </c>
      <c r="C223" s="186" t="s">
        <v>669</v>
      </c>
      <c r="D223" s="169" t="s">
        <v>111</v>
      </c>
      <c r="E223" s="570">
        <v>41640</v>
      </c>
      <c r="F223" s="180" t="s">
        <v>11</v>
      </c>
      <c r="G223" s="161">
        <v>500</v>
      </c>
    </row>
    <row r="224" spans="1:7" x14ac:dyDescent="0.35">
      <c r="A224" s="280">
        <v>2078</v>
      </c>
      <c r="B224" s="397" t="s">
        <v>494</v>
      </c>
      <c r="C224" s="398" t="s">
        <v>840</v>
      </c>
      <c r="D224" s="156" t="s">
        <v>111</v>
      </c>
      <c r="E224" s="377">
        <v>42227</v>
      </c>
      <c r="F224" s="378" t="s">
        <v>37</v>
      </c>
      <c r="G224" s="368">
        <v>500</v>
      </c>
    </row>
    <row r="225" spans="1:7" x14ac:dyDescent="0.35">
      <c r="A225" s="280">
        <v>2018</v>
      </c>
      <c r="B225" s="395" t="s">
        <v>495</v>
      </c>
      <c r="C225" s="396" t="s">
        <v>179</v>
      </c>
      <c r="D225" s="156" t="s">
        <v>111</v>
      </c>
      <c r="E225" s="377">
        <v>42637</v>
      </c>
      <c r="F225" s="378" t="s">
        <v>294</v>
      </c>
      <c r="G225" s="368" t="s">
        <v>126</v>
      </c>
    </row>
    <row r="226" spans="1:7" x14ac:dyDescent="0.35">
      <c r="A226" s="554">
        <v>1007</v>
      </c>
      <c r="B226" s="484" t="s">
        <v>327</v>
      </c>
      <c r="C226" s="460" t="s">
        <v>187</v>
      </c>
      <c r="D226" s="446" t="s">
        <v>111</v>
      </c>
      <c r="E226" s="188">
        <v>43686</v>
      </c>
      <c r="F226" s="180" t="s">
        <v>13</v>
      </c>
      <c r="G226" s="541" t="s">
        <v>126</v>
      </c>
    </row>
    <row r="227" spans="1:7" x14ac:dyDescent="0.35">
      <c r="A227" s="524">
        <v>4039</v>
      </c>
      <c r="B227" s="531" t="s">
        <v>121</v>
      </c>
      <c r="C227" s="189" t="s">
        <v>72</v>
      </c>
      <c r="D227" s="156" t="s">
        <v>111</v>
      </c>
      <c r="E227" s="188">
        <v>40011</v>
      </c>
      <c r="F227" s="180" t="s">
        <v>13</v>
      </c>
      <c r="G227" s="541" t="s">
        <v>761</v>
      </c>
    </row>
    <row r="228" spans="1:7" x14ac:dyDescent="0.35">
      <c r="A228" s="270">
        <v>3111</v>
      </c>
      <c r="B228" s="414" t="s">
        <v>670</v>
      </c>
      <c r="C228" s="190" t="s">
        <v>185</v>
      </c>
      <c r="D228" s="169" t="s">
        <v>111</v>
      </c>
      <c r="E228" s="193">
        <v>41602</v>
      </c>
      <c r="F228" s="180" t="s">
        <v>9</v>
      </c>
      <c r="G228" s="403">
        <v>500</v>
      </c>
    </row>
    <row r="229" spans="1:7" x14ac:dyDescent="0.35">
      <c r="A229" s="270">
        <v>3112</v>
      </c>
      <c r="B229" s="414" t="s">
        <v>671</v>
      </c>
      <c r="C229" s="190" t="s">
        <v>672</v>
      </c>
      <c r="D229" s="169" t="s">
        <v>111</v>
      </c>
      <c r="E229" s="193">
        <v>41454</v>
      </c>
      <c r="F229" s="180" t="s">
        <v>9</v>
      </c>
      <c r="G229" s="403">
        <v>500</v>
      </c>
    </row>
    <row r="230" spans="1:7" x14ac:dyDescent="0.35">
      <c r="A230" s="280">
        <v>2070</v>
      </c>
      <c r="B230" s="393" t="s">
        <v>496</v>
      </c>
      <c r="C230" s="394" t="s">
        <v>155</v>
      </c>
      <c r="D230" s="156" t="s">
        <v>111</v>
      </c>
      <c r="E230" s="377">
        <v>42261</v>
      </c>
      <c r="F230" s="378" t="s">
        <v>13</v>
      </c>
      <c r="G230" s="366" t="s">
        <v>126</v>
      </c>
    </row>
    <row r="231" spans="1:7" x14ac:dyDescent="0.35">
      <c r="A231" s="554">
        <v>1010</v>
      </c>
      <c r="B231" s="484" t="s">
        <v>328</v>
      </c>
      <c r="C231" s="460" t="s">
        <v>89</v>
      </c>
      <c r="D231" s="446" t="s">
        <v>111</v>
      </c>
      <c r="E231" s="188">
        <v>43506</v>
      </c>
      <c r="F231" s="180" t="s">
        <v>13</v>
      </c>
      <c r="G231" s="541" t="s">
        <v>126</v>
      </c>
    </row>
    <row r="232" spans="1:7" x14ac:dyDescent="0.35">
      <c r="A232" s="280">
        <v>3054</v>
      </c>
      <c r="B232" s="527" t="s">
        <v>673</v>
      </c>
      <c r="C232" s="192" t="s">
        <v>674</v>
      </c>
      <c r="D232" s="156" t="s">
        <v>111</v>
      </c>
      <c r="E232" s="188">
        <v>41533</v>
      </c>
      <c r="F232" s="180" t="s">
        <v>294</v>
      </c>
      <c r="G232" s="275">
        <v>500</v>
      </c>
    </row>
    <row r="233" spans="1:7" x14ac:dyDescent="0.35">
      <c r="A233" s="303">
        <v>3139</v>
      </c>
      <c r="B233" s="571" t="s">
        <v>675</v>
      </c>
      <c r="C233" s="177" t="s">
        <v>95</v>
      </c>
      <c r="D233" s="156" t="s">
        <v>111</v>
      </c>
      <c r="E233" s="188">
        <v>41862</v>
      </c>
      <c r="F233" s="180" t="s">
        <v>66</v>
      </c>
      <c r="G233" s="161">
        <v>500</v>
      </c>
    </row>
    <row r="234" spans="1:7" x14ac:dyDescent="0.35">
      <c r="A234" s="524">
        <v>4040</v>
      </c>
      <c r="B234" s="531" t="s">
        <v>762</v>
      </c>
      <c r="C234" s="189" t="s">
        <v>63</v>
      </c>
      <c r="D234" s="156" t="s">
        <v>111</v>
      </c>
      <c r="E234" s="188">
        <v>41243</v>
      </c>
      <c r="F234" s="180" t="s">
        <v>13</v>
      </c>
      <c r="G234" s="275">
        <v>500</v>
      </c>
    </row>
    <row r="235" spans="1:7" x14ac:dyDescent="0.35">
      <c r="A235" s="270">
        <v>3085</v>
      </c>
      <c r="B235" s="528" t="s">
        <v>676</v>
      </c>
      <c r="C235" s="178" t="s">
        <v>677</v>
      </c>
      <c r="D235" s="169" t="s">
        <v>111</v>
      </c>
      <c r="E235" s="383">
        <v>41938</v>
      </c>
      <c r="F235" s="180" t="s">
        <v>77</v>
      </c>
      <c r="G235" s="403">
        <v>500</v>
      </c>
    </row>
    <row r="236" spans="1:7" x14ac:dyDescent="0.35">
      <c r="A236" s="280">
        <v>2040</v>
      </c>
      <c r="B236" s="393" t="s">
        <v>497</v>
      </c>
      <c r="C236" s="394" t="s">
        <v>830</v>
      </c>
      <c r="D236" s="156" t="s">
        <v>111</v>
      </c>
      <c r="E236" s="377">
        <v>42454</v>
      </c>
      <c r="F236" s="378" t="s">
        <v>13</v>
      </c>
      <c r="G236" s="366" t="s">
        <v>126</v>
      </c>
    </row>
    <row r="237" spans="1:7" x14ac:dyDescent="0.35">
      <c r="A237" s="280">
        <v>3068</v>
      </c>
      <c r="B237" s="530" t="s">
        <v>196</v>
      </c>
      <c r="C237" s="186" t="s">
        <v>142</v>
      </c>
      <c r="D237" s="156" t="s">
        <v>111</v>
      </c>
      <c r="E237" s="188">
        <v>41376</v>
      </c>
      <c r="F237" s="180" t="s">
        <v>79</v>
      </c>
      <c r="G237" s="161">
        <v>500</v>
      </c>
    </row>
    <row r="238" spans="1:7" x14ac:dyDescent="0.35">
      <c r="A238" s="524">
        <v>4042</v>
      </c>
      <c r="B238" s="414" t="s">
        <v>147</v>
      </c>
      <c r="C238" s="190" t="s">
        <v>148</v>
      </c>
      <c r="D238" s="169" t="s">
        <v>111</v>
      </c>
      <c r="E238" s="193">
        <v>40932</v>
      </c>
      <c r="F238" s="180" t="s">
        <v>9</v>
      </c>
      <c r="G238" s="403">
        <v>1036</v>
      </c>
    </row>
    <row r="239" spans="1:7" x14ac:dyDescent="0.35">
      <c r="A239" s="524">
        <v>4041</v>
      </c>
      <c r="B239" s="414" t="s">
        <v>147</v>
      </c>
      <c r="C239" s="190" t="s">
        <v>678</v>
      </c>
      <c r="D239" s="169" t="s">
        <v>111</v>
      </c>
      <c r="E239" s="193">
        <v>40932</v>
      </c>
      <c r="F239" s="180" t="s">
        <v>9</v>
      </c>
      <c r="G239" s="403">
        <v>726</v>
      </c>
    </row>
    <row r="240" spans="1:7" x14ac:dyDescent="0.35">
      <c r="A240" s="280">
        <v>2010</v>
      </c>
      <c r="B240" s="393" t="s">
        <v>498</v>
      </c>
      <c r="C240" s="394" t="s">
        <v>93</v>
      </c>
      <c r="D240" s="156" t="s">
        <v>111</v>
      </c>
      <c r="E240" s="377">
        <v>42671</v>
      </c>
      <c r="F240" s="378" t="s">
        <v>13</v>
      </c>
      <c r="G240" s="366" t="s">
        <v>126</v>
      </c>
    </row>
    <row r="241" spans="1:7" x14ac:dyDescent="0.35">
      <c r="A241" s="524">
        <v>4043</v>
      </c>
      <c r="B241" s="531" t="s">
        <v>763</v>
      </c>
      <c r="C241" s="189" t="s">
        <v>764</v>
      </c>
      <c r="D241" s="156" t="s">
        <v>111</v>
      </c>
      <c r="E241" s="188">
        <v>40859</v>
      </c>
      <c r="F241" s="180" t="s">
        <v>13</v>
      </c>
      <c r="G241" s="541" t="s">
        <v>126</v>
      </c>
    </row>
    <row r="242" spans="1:7" x14ac:dyDescent="0.35">
      <c r="A242" s="554">
        <v>1055</v>
      </c>
      <c r="B242" s="484" t="s">
        <v>329</v>
      </c>
      <c r="C242" s="460" t="s">
        <v>203</v>
      </c>
      <c r="D242" s="446" t="s">
        <v>111</v>
      </c>
      <c r="E242" s="188">
        <v>42826</v>
      </c>
      <c r="F242" s="180" t="s">
        <v>13</v>
      </c>
      <c r="G242" s="541" t="s">
        <v>126</v>
      </c>
    </row>
    <row r="243" spans="1:7" x14ac:dyDescent="0.35">
      <c r="A243" s="280">
        <v>3006</v>
      </c>
      <c r="B243" s="531" t="s">
        <v>253</v>
      </c>
      <c r="C243" s="189" t="s">
        <v>678</v>
      </c>
      <c r="D243" s="156" t="s">
        <v>111</v>
      </c>
      <c r="E243" s="188">
        <v>41969</v>
      </c>
      <c r="F243" s="180" t="s">
        <v>13</v>
      </c>
      <c r="G243" s="275">
        <v>500</v>
      </c>
    </row>
    <row r="244" spans="1:7" x14ac:dyDescent="0.35">
      <c r="A244" s="280">
        <v>3042</v>
      </c>
      <c r="B244" s="531" t="s">
        <v>679</v>
      </c>
      <c r="C244" s="189" t="s">
        <v>50</v>
      </c>
      <c r="D244" s="156" t="s">
        <v>111</v>
      </c>
      <c r="E244" s="188">
        <v>41682</v>
      </c>
      <c r="F244" s="180" t="s">
        <v>13</v>
      </c>
      <c r="G244" s="275">
        <v>500</v>
      </c>
    </row>
    <row r="245" spans="1:7" x14ac:dyDescent="0.35">
      <c r="A245" s="524">
        <v>4044</v>
      </c>
      <c r="B245" s="414" t="s">
        <v>122</v>
      </c>
      <c r="C245" s="190" t="s">
        <v>44</v>
      </c>
      <c r="D245" s="169" t="s">
        <v>111</v>
      </c>
      <c r="E245" s="193">
        <v>39194</v>
      </c>
      <c r="F245" s="180" t="s">
        <v>9</v>
      </c>
      <c r="G245" s="403">
        <v>1054</v>
      </c>
    </row>
    <row r="246" spans="1:7" x14ac:dyDescent="0.35">
      <c r="A246" s="280">
        <v>3007</v>
      </c>
      <c r="B246" s="527" t="s">
        <v>680</v>
      </c>
      <c r="C246" s="192" t="s">
        <v>681</v>
      </c>
      <c r="D246" s="156" t="s">
        <v>111</v>
      </c>
      <c r="E246" s="188">
        <v>41956</v>
      </c>
      <c r="F246" s="180" t="s">
        <v>294</v>
      </c>
      <c r="G246" s="275">
        <v>500</v>
      </c>
    </row>
    <row r="247" spans="1:7" x14ac:dyDescent="0.35">
      <c r="A247" s="524">
        <v>4045</v>
      </c>
      <c r="B247" s="531" t="s">
        <v>407</v>
      </c>
      <c r="C247" s="189" t="s">
        <v>432</v>
      </c>
      <c r="D247" s="156" t="s">
        <v>110</v>
      </c>
      <c r="E247" s="188">
        <v>41161</v>
      </c>
      <c r="F247" s="180" t="s">
        <v>13</v>
      </c>
      <c r="G247" s="541" t="s">
        <v>126</v>
      </c>
    </row>
    <row r="248" spans="1:7" x14ac:dyDescent="0.35">
      <c r="A248" s="280">
        <v>2111</v>
      </c>
      <c r="B248" s="393" t="s">
        <v>407</v>
      </c>
      <c r="C248" s="394" t="s">
        <v>592</v>
      </c>
      <c r="D248" s="156" t="s">
        <v>111</v>
      </c>
      <c r="E248" s="377">
        <v>42019</v>
      </c>
      <c r="F248" s="378" t="s">
        <v>13</v>
      </c>
      <c r="G248" s="366" t="s">
        <v>126</v>
      </c>
    </row>
    <row r="249" spans="1:7" x14ac:dyDescent="0.35">
      <c r="A249" s="280">
        <v>2162</v>
      </c>
      <c r="B249" s="390" t="s">
        <v>499</v>
      </c>
      <c r="C249" s="391" t="s">
        <v>73</v>
      </c>
      <c r="D249" s="381" t="s">
        <v>111</v>
      </c>
      <c r="E249" s="193">
        <v>42066</v>
      </c>
      <c r="F249" s="378" t="s">
        <v>9</v>
      </c>
      <c r="G249" s="359">
        <v>500</v>
      </c>
    </row>
    <row r="250" spans="1:7" x14ac:dyDescent="0.35">
      <c r="A250" s="280">
        <v>2137</v>
      </c>
      <c r="B250" s="369" t="s">
        <v>500</v>
      </c>
      <c r="C250" s="370" t="s">
        <v>593</v>
      </c>
      <c r="D250" s="381" t="s">
        <v>111</v>
      </c>
      <c r="E250" s="371">
        <v>42011</v>
      </c>
      <c r="F250" s="358" t="s">
        <v>10</v>
      </c>
      <c r="G250" s="572">
        <v>500</v>
      </c>
    </row>
    <row r="251" spans="1:7" x14ac:dyDescent="0.35">
      <c r="A251" s="280">
        <v>2121</v>
      </c>
      <c r="B251" s="573" t="s">
        <v>501</v>
      </c>
      <c r="C251" s="574" t="s">
        <v>594</v>
      </c>
      <c r="D251" s="381" t="s">
        <v>111</v>
      </c>
      <c r="E251" s="533">
        <v>42478</v>
      </c>
      <c r="F251" s="358" t="s">
        <v>77</v>
      </c>
      <c r="G251" s="575">
        <v>500</v>
      </c>
    </row>
    <row r="252" spans="1:7" x14ac:dyDescent="0.35">
      <c r="A252" s="524">
        <v>4046</v>
      </c>
      <c r="B252" s="167" t="s">
        <v>135</v>
      </c>
      <c r="C252" s="168" t="s">
        <v>136</v>
      </c>
      <c r="D252" s="169" t="s">
        <v>111</v>
      </c>
      <c r="E252" s="533">
        <v>40220</v>
      </c>
      <c r="F252" s="158" t="s">
        <v>77</v>
      </c>
      <c r="G252" s="159">
        <v>500</v>
      </c>
    </row>
    <row r="253" spans="1:7" x14ac:dyDescent="0.35">
      <c r="A253" s="280">
        <v>2093</v>
      </c>
      <c r="B253" s="576" t="s">
        <v>502</v>
      </c>
      <c r="C253" s="577" t="s">
        <v>595</v>
      </c>
      <c r="D253" s="156" t="s">
        <v>111</v>
      </c>
      <c r="E253" s="578">
        <v>42118</v>
      </c>
      <c r="F253" s="358" t="s">
        <v>37</v>
      </c>
      <c r="G253" s="579">
        <v>500</v>
      </c>
    </row>
    <row r="254" spans="1:7" x14ac:dyDescent="0.35">
      <c r="A254" s="270">
        <v>3113</v>
      </c>
      <c r="B254" s="172" t="s">
        <v>682</v>
      </c>
      <c r="C254" s="173" t="s">
        <v>124</v>
      </c>
      <c r="D254" s="169" t="s">
        <v>111</v>
      </c>
      <c r="E254" s="174">
        <v>41476</v>
      </c>
      <c r="F254" s="158" t="s">
        <v>9</v>
      </c>
      <c r="G254" s="171">
        <v>500</v>
      </c>
    </row>
    <row r="255" spans="1:7" x14ac:dyDescent="0.35">
      <c r="A255" s="280">
        <v>2001</v>
      </c>
      <c r="B255" s="580" t="s">
        <v>503</v>
      </c>
      <c r="C255" s="581" t="s">
        <v>596</v>
      </c>
      <c r="D255" s="156" t="s">
        <v>111</v>
      </c>
      <c r="E255" s="578">
        <v>42722</v>
      </c>
      <c r="F255" s="358" t="s">
        <v>66</v>
      </c>
      <c r="G255" s="582">
        <v>500</v>
      </c>
    </row>
    <row r="256" spans="1:7" x14ac:dyDescent="0.35">
      <c r="A256" s="554">
        <v>1032</v>
      </c>
      <c r="B256" s="583" t="s">
        <v>388</v>
      </c>
      <c r="C256" s="584" t="s">
        <v>330</v>
      </c>
      <c r="D256" s="156" t="s">
        <v>110</v>
      </c>
      <c r="E256" s="157">
        <v>43121</v>
      </c>
      <c r="F256" s="158" t="s">
        <v>294</v>
      </c>
      <c r="G256" s="166" t="s">
        <v>126</v>
      </c>
    </row>
    <row r="257" spans="1:7" x14ac:dyDescent="0.35">
      <c r="A257" s="280">
        <v>2063</v>
      </c>
      <c r="B257" s="580" t="s">
        <v>388</v>
      </c>
      <c r="C257" s="585" t="s">
        <v>838</v>
      </c>
      <c r="D257" s="156" t="s">
        <v>111</v>
      </c>
      <c r="E257" s="578">
        <v>42304</v>
      </c>
      <c r="F257" s="358" t="s">
        <v>294</v>
      </c>
      <c r="G257" s="579" t="s">
        <v>126</v>
      </c>
    </row>
    <row r="258" spans="1:7" x14ac:dyDescent="0.35">
      <c r="A258" s="524">
        <v>4047</v>
      </c>
      <c r="B258" s="164" t="s">
        <v>765</v>
      </c>
      <c r="C258" s="165" t="s">
        <v>766</v>
      </c>
      <c r="D258" s="156" t="s">
        <v>111</v>
      </c>
      <c r="E258" s="157">
        <v>40756</v>
      </c>
      <c r="F258" s="158" t="s">
        <v>13</v>
      </c>
      <c r="G258" s="166">
        <v>500</v>
      </c>
    </row>
    <row r="259" spans="1:7" x14ac:dyDescent="0.35">
      <c r="A259" s="280">
        <v>2079</v>
      </c>
      <c r="B259" s="576" t="s">
        <v>504</v>
      </c>
      <c r="C259" s="577" t="s">
        <v>49</v>
      </c>
      <c r="D259" s="156" t="s">
        <v>111</v>
      </c>
      <c r="E259" s="578">
        <v>42221</v>
      </c>
      <c r="F259" s="358" t="s">
        <v>65</v>
      </c>
      <c r="G259" s="579" t="s">
        <v>126</v>
      </c>
    </row>
    <row r="260" spans="1:7" x14ac:dyDescent="0.35">
      <c r="A260" s="280">
        <v>3059</v>
      </c>
      <c r="B260" s="294" t="s">
        <v>201</v>
      </c>
      <c r="C260" s="294" t="s">
        <v>186</v>
      </c>
      <c r="D260" s="290" t="s">
        <v>111</v>
      </c>
      <c r="E260" s="291">
        <v>41455</v>
      </c>
      <c r="F260" s="292" t="s">
        <v>37</v>
      </c>
      <c r="G260" s="293">
        <v>500</v>
      </c>
    </row>
    <row r="261" spans="1:7" x14ac:dyDescent="0.35">
      <c r="A261" s="554">
        <v>1044</v>
      </c>
      <c r="B261" s="586" t="s">
        <v>331</v>
      </c>
      <c r="C261" s="586" t="s">
        <v>181</v>
      </c>
      <c r="D261" s="587" t="s">
        <v>111</v>
      </c>
      <c r="E261" s="291">
        <v>43033</v>
      </c>
      <c r="F261" s="292" t="s">
        <v>294</v>
      </c>
      <c r="G261" s="293" t="s">
        <v>126</v>
      </c>
    </row>
    <row r="262" spans="1:7" x14ac:dyDescent="0.35">
      <c r="A262" s="524">
        <v>4048</v>
      </c>
      <c r="B262" s="295" t="s">
        <v>145</v>
      </c>
      <c r="C262" s="295" t="s">
        <v>45</v>
      </c>
      <c r="D262" s="296" t="s">
        <v>111</v>
      </c>
      <c r="E262" s="297">
        <v>41258</v>
      </c>
      <c r="F262" s="292" t="s">
        <v>9</v>
      </c>
      <c r="G262" s="227">
        <v>840</v>
      </c>
    </row>
    <row r="263" spans="1:7" x14ac:dyDescent="0.35">
      <c r="A263" s="280">
        <v>2163</v>
      </c>
      <c r="B263" s="588" t="s">
        <v>505</v>
      </c>
      <c r="C263" s="588" t="s">
        <v>89</v>
      </c>
      <c r="D263" s="589" t="s">
        <v>111</v>
      </c>
      <c r="E263" s="297">
        <v>42088</v>
      </c>
      <c r="F263" s="314" t="s">
        <v>9</v>
      </c>
      <c r="G263" s="590">
        <v>500</v>
      </c>
    </row>
    <row r="264" spans="1:7" x14ac:dyDescent="0.35">
      <c r="A264" s="270">
        <v>3094</v>
      </c>
      <c r="B264" s="301" t="s">
        <v>269</v>
      </c>
      <c r="C264" s="301" t="s">
        <v>94</v>
      </c>
      <c r="D264" s="296" t="s">
        <v>111</v>
      </c>
      <c r="E264" s="308">
        <v>41915</v>
      </c>
      <c r="F264" s="292" t="s">
        <v>10</v>
      </c>
      <c r="G264" s="227">
        <v>500</v>
      </c>
    </row>
    <row r="265" spans="1:7" x14ac:dyDescent="0.35">
      <c r="A265" s="524">
        <v>4049</v>
      </c>
      <c r="B265" s="289" t="s">
        <v>269</v>
      </c>
      <c r="C265" s="289" t="s">
        <v>47</v>
      </c>
      <c r="D265" s="290" t="s">
        <v>111</v>
      </c>
      <c r="E265" s="291">
        <v>41202</v>
      </c>
      <c r="F265" s="292" t="s">
        <v>10</v>
      </c>
      <c r="G265" s="232">
        <v>500</v>
      </c>
    </row>
    <row r="266" spans="1:7" x14ac:dyDescent="0.35">
      <c r="A266" s="280">
        <v>3021</v>
      </c>
      <c r="B266" s="294" t="s">
        <v>683</v>
      </c>
      <c r="C266" s="294" t="s">
        <v>115</v>
      </c>
      <c r="D266" s="290" t="s">
        <v>111</v>
      </c>
      <c r="E266" s="309">
        <v>41839</v>
      </c>
      <c r="F266" s="296" t="s">
        <v>12</v>
      </c>
      <c r="G266" s="293">
        <v>500</v>
      </c>
    </row>
    <row r="267" spans="1:7" x14ac:dyDescent="0.35">
      <c r="A267" s="524">
        <v>4050</v>
      </c>
      <c r="B267" s="289" t="s">
        <v>506</v>
      </c>
      <c r="C267" s="289" t="s">
        <v>509</v>
      </c>
      <c r="D267" s="290" t="s">
        <v>111</v>
      </c>
      <c r="E267" s="291">
        <v>41202</v>
      </c>
      <c r="F267" s="292" t="s">
        <v>13</v>
      </c>
      <c r="G267" s="325" t="s">
        <v>126</v>
      </c>
    </row>
    <row r="268" spans="1:7" x14ac:dyDescent="0.35">
      <c r="A268" s="280">
        <v>2017</v>
      </c>
      <c r="B268" s="591" t="s">
        <v>506</v>
      </c>
      <c r="C268" s="591" t="s">
        <v>187</v>
      </c>
      <c r="D268" s="290" t="s">
        <v>111</v>
      </c>
      <c r="E268" s="592">
        <v>42641</v>
      </c>
      <c r="F268" s="314" t="s">
        <v>13</v>
      </c>
      <c r="G268" s="521" t="s">
        <v>126</v>
      </c>
    </row>
    <row r="269" spans="1:7" x14ac:dyDescent="0.35">
      <c r="A269" s="280">
        <v>2032</v>
      </c>
      <c r="B269" s="591" t="s">
        <v>332</v>
      </c>
      <c r="C269" s="591" t="s">
        <v>64</v>
      </c>
      <c r="D269" s="290" t="s">
        <v>111</v>
      </c>
      <c r="E269" s="592">
        <v>42499</v>
      </c>
      <c r="F269" s="314" t="s">
        <v>13</v>
      </c>
      <c r="G269" s="593" t="s">
        <v>126</v>
      </c>
    </row>
    <row r="270" spans="1:7" x14ac:dyDescent="0.35">
      <c r="A270" s="554">
        <v>1003</v>
      </c>
      <c r="B270" s="594" t="s">
        <v>332</v>
      </c>
      <c r="C270" s="594" t="s">
        <v>333</v>
      </c>
      <c r="D270" s="587" t="s">
        <v>110</v>
      </c>
      <c r="E270" s="291">
        <v>43962</v>
      </c>
      <c r="F270" s="292" t="s">
        <v>13</v>
      </c>
      <c r="G270" s="325" t="s">
        <v>126</v>
      </c>
    </row>
    <row r="271" spans="1:7" x14ac:dyDescent="0.35">
      <c r="A271" s="280">
        <v>3005</v>
      </c>
      <c r="B271" s="289" t="s">
        <v>332</v>
      </c>
      <c r="C271" s="289" t="s">
        <v>684</v>
      </c>
      <c r="D271" s="290" t="s">
        <v>111</v>
      </c>
      <c r="E271" s="291">
        <v>41979</v>
      </c>
      <c r="F271" s="292" t="s">
        <v>13</v>
      </c>
      <c r="G271" s="293">
        <v>500</v>
      </c>
    </row>
    <row r="272" spans="1:7" x14ac:dyDescent="0.35">
      <c r="A272" s="280">
        <v>2076</v>
      </c>
      <c r="B272" s="591" t="s">
        <v>507</v>
      </c>
      <c r="C272" s="591" t="s">
        <v>84</v>
      </c>
      <c r="D272" s="290" t="s">
        <v>111</v>
      </c>
      <c r="E272" s="592">
        <v>42230</v>
      </c>
      <c r="F272" s="314" t="s">
        <v>13</v>
      </c>
      <c r="G272" s="593" t="s">
        <v>623</v>
      </c>
    </row>
    <row r="273" spans="1:7" x14ac:dyDescent="0.35">
      <c r="A273" s="280">
        <v>3011</v>
      </c>
      <c r="B273" s="306" t="s">
        <v>334</v>
      </c>
      <c r="C273" s="306" t="s">
        <v>377</v>
      </c>
      <c r="D273" s="290" t="s">
        <v>111</v>
      </c>
      <c r="E273" s="291">
        <v>41927</v>
      </c>
      <c r="F273" s="315" t="s">
        <v>66</v>
      </c>
      <c r="G273" s="316">
        <v>500</v>
      </c>
    </row>
    <row r="274" spans="1:7" x14ac:dyDescent="0.35">
      <c r="A274" s="554">
        <v>1038</v>
      </c>
      <c r="B274" s="586" t="s">
        <v>334</v>
      </c>
      <c r="C274" s="586" t="s">
        <v>335</v>
      </c>
      <c r="D274" s="587" t="s">
        <v>110</v>
      </c>
      <c r="E274" s="592">
        <v>43086</v>
      </c>
      <c r="F274" s="292" t="s">
        <v>66</v>
      </c>
      <c r="G274" s="316">
        <v>500</v>
      </c>
    </row>
    <row r="275" spans="1:7" x14ac:dyDescent="0.35">
      <c r="A275" s="554">
        <v>1058</v>
      </c>
      <c r="B275" s="595" t="s">
        <v>336</v>
      </c>
      <c r="C275" s="595" t="s">
        <v>847</v>
      </c>
      <c r="D275" s="587" t="s">
        <v>110</v>
      </c>
      <c r="E275" s="291">
        <v>42820</v>
      </c>
      <c r="F275" s="292" t="s">
        <v>79</v>
      </c>
      <c r="G275" s="300">
        <v>500</v>
      </c>
    </row>
    <row r="276" spans="1:7" x14ac:dyDescent="0.35">
      <c r="A276" s="280">
        <v>2025</v>
      </c>
      <c r="B276" s="317" t="s">
        <v>508</v>
      </c>
      <c r="C276" s="318" t="s">
        <v>833</v>
      </c>
      <c r="D276" s="290" t="s">
        <v>111</v>
      </c>
      <c r="E276" s="592">
        <v>42558</v>
      </c>
      <c r="F276" s="314" t="s">
        <v>79</v>
      </c>
      <c r="G276" s="516">
        <v>500</v>
      </c>
    </row>
    <row r="277" spans="1:7" x14ac:dyDescent="0.35">
      <c r="A277" s="524">
        <v>4051</v>
      </c>
      <c r="B277" s="298" t="s">
        <v>508</v>
      </c>
      <c r="C277" s="299" t="s">
        <v>76</v>
      </c>
      <c r="D277" s="290" t="s">
        <v>111</v>
      </c>
      <c r="E277" s="291">
        <v>40905</v>
      </c>
      <c r="F277" s="292" t="s">
        <v>79</v>
      </c>
      <c r="G277" s="233">
        <v>500</v>
      </c>
    </row>
    <row r="278" spans="1:7" x14ac:dyDescent="0.35">
      <c r="A278" s="554">
        <v>1049</v>
      </c>
      <c r="B278" s="586" t="s">
        <v>389</v>
      </c>
      <c r="C278" s="586" t="s">
        <v>826</v>
      </c>
      <c r="D278" s="587" t="s">
        <v>111</v>
      </c>
      <c r="E278" s="291">
        <v>42892</v>
      </c>
      <c r="F278" s="292" t="s">
        <v>294</v>
      </c>
      <c r="G278" s="232" t="s">
        <v>126</v>
      </c>
    </row>
    <row r="279" spans="1:7" x14ac:dyDescent="0.35">
      <c r="A279" s="524">
        <v>4052</v>
      </c>
      <c r="B279" s="289" t="s">
        <v>81</v>
      </c>
      <c r="C279" s="289" t="s">
        <v>82</v>
      </c>
      <c r="D279" s="290" t="s">
        <v>111</v>
      </c>
      <c r="E279" s="291">
        <v>40069</v>
      </c>
      <c r="F279" s="292" t="s">
        <v>13</v>
      </c>
      <c r="G279" s="293">
        <v>826</v>
      </c>
    </row>
    <row r="280" spans="1:7" x14ac:dyDescent="0.35">
      <c r="A280" s="280">
        <v>3025</v>
      </c>
      <c r="B280" s="298" t="s">
        <v>685</v>
      </c>
      <c r="C280" s="299" t="s">
        <v>47</v>
      </c>
      <c r="D280" s="290" t="s">
        <v>111</v>
      </c>
      <c r="E280" s="291">
        <v>41802</v>
      </c>
      <c r="F280" s="292" t="s">
        <v>79</v>
      </c>
      <c r="G280" s="233">
        <v>500</v>
      </c>
    </row>
    <row r="281" spans="1:7" x14ac:dyDescent="0.35">
      <c r="A281" s="280">
        <v>2067</v>
      </c>
      <c r="B281" s="596" t="s">
        <v>809</v>
      </c>
      <c r="C281" s="597" t="s">
        <v>597</v>
      </c>
      <c r="D281" s="290" t="s">
        <v>111</v>
      </c>
      <c r="E281" s="592">
        <v>42282</v>
      </c>
      <c r="F281" s="314" t="s">
        <v>294</v>
      </c>
      <c r="G281" s="515" t="s">
        <v>126</v>
      </c>
    </row>
    <row r="282" spans="1:7" x14ac:dyDescent="0.35">
      <c r="A282" s="303">
        <v>3137</v>
      </c>
      <c r="B282" s="306" t="s">
        <v>686</v>
      </c>
      <c r="C282" s="307" t="s">
        <v>60</v>
      </c>
      <c r="D282" s="290" t="s">
        <v>111</v>
      </c>
      <c r="E282" s="291">
        <v>41862</v>
      </c>
      <c r="F282" s="292" t="s">
        <v>79</v>
      </c>
      <c r="G282" s="233">
        <v>500</v>
      </c>
    </row>
    <row r="283" spans="1:7" x14ac:dyDescent="0.35">
      <c r="A283" s="524">
        <v>4053</v>
      </c>
      <c r="B283" s="298" t="s">
        <v>686</v>
      </c>
      <c r="C283" s="299" t="s">
        <v>60</v>
      </c>
      <c r="D283" s="290" t="s">
        <v>111</v>
      </c>
      <c r="E283" s="291">
        <v>41185</v>
      </c>
      <c r="F283" s="292" t="s">
        <v>79</v>
      </c>
      <c r="G283" s="233">
        <v>500</v>
      </c>
    </row>
    <row r="284" spans="1:7" x14ac:dyDescent="0.35">
      <c r="A284" s="554">
        <v>1080</v>
      </c>
      <c r="B284" s="598" t="s">
        <v>337</v>
      </c>
      <c r="C284" s="598" t="s">
        <v>73</v>
      </c>
      <c r="D284" s="587" t="s">
        <v>111</v>
      </c>
      <c r="E284" s="297">
        <v>43110</v>
      </c>
      <c r="F284" s="538" t="s">
        <v>9</v>
      </c>
      <c r="G284" s="539">
        <v>500</v>
      </c>
    </row>
    <row r="285" spans="1:7" x14ac:dyDescent="0.35">
      <c r="A285" s="280">
        <v>2164</v>
      </c>
      <c r="B285" s="588" t="s">
        <v>510</v>
      </c>
      <c r="C285" s="588" t="s">
        <v>595</v>
      </c>
      <c r="D285" s="589" t="s">
        <v>111</v>
      </c>
      <c r="E285" s="297">
        <v>42281</v>
      </c>
      <c r="F285" s="314" t="s">
        <v>9</v>
      </c>
      <c r="G285" s="590">
        <v>500</v>
      </c>
    </row>
    <row r="286" spans="1:7" x14ac:dyDescent="0.35">
      <c r="A286" s="303">
        <v>3135</v>
      </c>
      <c r="B286" s="306" t="s">
        <v>687</v>
      </c>
      <c r="C286" s="321" t="s">
        <v>688</v>
      </c>
      <c r="D286" s="290" t="s">
        <v>111</v>
      </c>
      <c r="E286" s="291">
        <v>41862</v>
      </c>
      <c r="F286" s="292" t="s">
        <v>9</v>
      </c>
      <c r="G286" s="300">
        <v>500</v>
      </c>
    </row>
    <row r="287" spans="1:7" x14ac:dyDescent="0.35">
      <c r="A287" s="524">
        <v>4054</v>
      </c>
      <c r="B287" s="295" t="s">
        <v>687</v>
      </c>
      <c r="C287" s="295" t="s">
        <v>688</v>
      </c>
      <c r="D287" s="296" t="s">
        <v>111</v>
      </c>
      <c r="E287" s="297">
        <v>40750</v>
      </c>
      <c r="F287" s="292" t="s">
        <v>9</v>
      </c>
      <c r="G287" s="539">
        <v>500</v>
      </c>
    </row>
    <row r="288" spans="1:7" x14ac:dyDescent="0.35">
      <c r="A288" s="280">
        <v>3018</v>
      </c>
      <c r="B288" s="289" t="s">
        <v>689</v>
      </c>
      <c r="C288" s="289" t="s">
        <v>62</v>
      </c>
      <c r="D288" s="290" t="s">
        <v>111</v>
      </c>
      <c r="E288" s="291">
        <v>41874</v>
      </c>
      <c r="F288" s="292" t="s">
        <v>13</v>
      </c>
      <c r="G288" s="293">
        <v>500</v>
      </c>
    </row>
    <row r="289" spans="1:7" x14ac:dyDescent="0.35">
      <c r="A289" s="280">
        <v>3034</v>
      </c>
      <c r="B289" s="306" t="s">
        <v>690</v>
      </c>
      <c r="C289" s="306" t="s">
        <v>97</v>
      </c>
      <c r="D289" s="290" t="s">
        <v>111</v>
      </c>
      <c r="E289" s="291">
        <v>41742</v>
      </c>
      <c r="F289" s="315" t="s">
        <v>66</v>
      </c>
      <c r="G289" s="236">
        <v>500</v>
      </c>
    </row>
    <row r="290" spans="1:7" x14ac:dyDescent="0.35">
      <c r="A290" s="524">
        <v>4055</v>
      </c>
      <c r="B290" s="306" t="s">
        <v>767</v>
      </c>
      <c r="C290" s="306" t="s">
        <v>149</v>
      </c>
      <c r="D290" s="290" t="s">
        <v>111</v>
      </c>
      <c r="E290" s="291">
        <v>40686</v>
      </c>
      <c r="F290" s="292" t="s">
        <v>66</v>
      </c>
      <c r="G290" s="316">
        <v>879</v>
      </c>
    </row>
    <row r="291" spans="1:7" x14ac:dyDescent="0.35">
      <c r="A291" s="280">
        <v>2123</v>
      </c>
      <c r="B291" s="599" t="s">
        <v>511</v>
      </c>
      <c r="C291" s="599" t="s">
        <v>114</v>
      </c>
      <c r="D291" s="589" t="s">
        <v>111</v>
      </c>
      <c r="E291" s="327">
        <v>42106</v>
      </c>
      <c r="F291" s="314" t="s">
        <v>77</v>
      </c>
      <c r="G291" s="600">
        <v>500</v>
      </c>
    </row>
    <row r="292" spans="1:7" x14ac:dyDescent="0.35">
      <c r="A292" s="524">
        <v>4056</v>
      </c>
      <c r="B292" s="295" t="s">
        <v>338</v>
      </c>
      <c r="C292" s="295" t="s">
        <v>418</v>
      </c>
      <c r="D292" s="296" t="s">
        <v>110</v>
      </c>
      <c r="E292" s="297">
        <v>39874</v>
      </c>
      <c r="F292" s="292" t="s">
        <v>9</v>
      </c>
      <c r="G292" s="227">
        <v>500</v>
      </c>
    </row>
    <row r="293" spans="1:7" x14ac:dyDescent="0.35">
      <c r="A293" s="554">
        <v>1081</v>
      </c>
      <c r="B293" s="598" t="s">
        <v>338</v>
      </c>
      <c r="C293" s="598" t="s">
        <v>339</v>
      </c>
      <c r="D293" s="601" t="s">
        <v>110</v>
      </c>
      <c r="E293" s="297">
        <v>43081</v>
      </c>
      <c r="F293" s="538" t="s">
        <v>9</v>
      </c>
      <c r="G293" s="539">
        <v>500</v>
      </c>
    </row>
    <row r="294" spans="1:7" x14ac:dyDescent="0.35">
      <c r="A294" s="280">
        <v>2165</v>
      </c>
      <c r="B294" s="588" t="s">
        <v>217</v>
      </c>
      <c r="C294" s="588" t="s">
        <v>60</v>
      </c>
      <c r="D294" s="589" t="s">
        <v>111</v>
      </c>
      <c r="E294" s="297">
        <v>42526</v>
      </c>
      <c r="F294" s="314" t="s">
        <v>9</v>
      </c>
      <c r="G294" s="590">
        <v>501</v>
      </c>
    </row>
    <row r="295" spans="1:7" x14ac:dyDescent="0.35">
      <c r="A295" s="270">
        <v>3114</v>
      </c>
      <c r="B295" s="295" t="s">
        <v>217</v>
      </c>
      <c r="C295" s="295" t="s">
        <v>218</v>
      </c>
      <c r="D295" s="296" t="s">
        <v>111</v>
      </c>
      <c r="E295" s="297">
        <v>41730</v>
      </c>
      <c r="F295" s="292" t="s">
        <v>9</v>
      </c>
      <c r="G295" s="539">
        <v>576</v>
      </c>
    </row>
    <row r="296" spans="1:7" x14ac:dyDescent="0.35">
      <c r="A296" s="280">
        <v>2166</v>
      </c>
      <c r="B296" s="588" t="s">
        <v>217</v>
      </c>
      <c r="C296" s="588" t="s">
        <v>124</v>
      </c>
      <c r="D296" s="589" t="s">
        <v>111</v>
      </c>
      <c r="E296" s="297">
        <v>42526</v>
      </c>
      <c r="F296" s="314" t="s">
        <v>9</v>
      </c>
      <c r="G296" s="590">
        <v>548</v>
      </c>
    </row>
    <row r="297" spans="1:7" x14ac:dyDescent="0.35">
      <c r="A297" s="280">
        <v>2064</v>
      </c>
      <c r="B297" s="591" t="s">
        <v>512</v>
      </c>
      <c r="C297" s="591" t="s">
        <v>598</v>
      </c>
      <c r="D297" s="290" t="s">
        <v>111</v>
      </c>
      <c r="E297" s="592">
        <v>42290</v>
      </c>
      <c r="F297" s="314" t="s">
        <v>13</v>
      </c>
      <c r="G297" s="593" t="s">
        <v>126</v>
      </c>
    </row>
    <row r="298" spans="1:7" x14ac:dyDescent="0.35">
      <c r="A298" s="280">
        <v>2088</v>
      </c>
      <c r="B298" s="591" t="s">
        <v>233</v>
      </c>
      <c r="C298" s="591" t="s">
        <v>70</v>
      </c>
      <c r="D298" s="290" t="s">
        <v>111</v>
      </c>
      <c r="E298" s="592">
        <v>42163</v>
      </c>
      <c r="F298" s="314" t="s">
        <v>13</v>
      </c>
      <c r="G298" s="593" t="s">
        <v>126</v>
      </c>
    </row>
    <row r="299" spans="1:7" x14ac:dyDescent="0.35">
      <c r="A299" s="280">
        <v>2074</v>
      </c>
      <c r="B299" s="602" t="s">
        <v>513</v>
      </c>
      <c r="C299" s="602" t="s">
        <v>55</v>
      </c>
      <c r="D299" s="290" t="s">
        <v>111</v>
      </c>
      <c r="E299" s="592">
        <v>42242</v>
      </c>
      <c r="F299" s="314" t="s">
        <v>37</v>
      </c>
      <c r="G299" s="603">
        <v>500</v>
      </c>
    </row>
    <row r="300" spans="1:7" x14ac:dyDescent="0.35">
      <c r="A300" s="554">
        <v>1029</v>
      </c>
      <c r="B300" s="586" t="s">
        <v>340</v>
      </c>
      <c r="C300" s="586" t="s">
        <v>341</v>
      </c>
      <c r="D300" s="587" t="s">
        <v>110</v>
      </c>
      <c r="E300" s="592">
        <v>43181</v>
      </c>
      <c r="F300" s="292" t="s">
        <v>294</v>
      </c>
      <c r="G300" s="293">
        <v>500</v>
      </c>
    </row>
    <row r="301" spans="1:7" x14ac:dyDescent="0.35">
      <c r="A301" s="270">
        <v>3115</v>
      </c>
      <c r="B301" s="295" t="s">
        <v>219</v>
      </c>
      <c r="C301" s="295" t="s">
        <v>152</v>
      </c>
      <c r="D301" s="296" t="s">
        <v>111</v>
      </c>
      <c r="E301" s="297">
        <v>41800</v>
      </c>
      <c r="F301" s="292" t="s">
        <v>9</v>
      </c>
      <c r="G301" s="539">
        <v>815</v>
      </c>
    </row>
    <row r="302" spans="1:7" x14ac:dyDescent="0.35">
      <c r="A302" s="270">
        <v>3116</v>
      </c>
      <c r="B302" s="295" t="s">
        <v>691</v>
      </c>
      <c r="C302" s="295" t="s">
        <v>692</v>
      </c>
      <c r="D302" s="296" t="s">
        <v>111</v>
      </c>
      <c r="E302" s="297">
        <v>41963</v>
      </c>
      <c r="F302" s="292" t="s">
        <v>9</v>
      </c>
      <c r="G302" s="539">
        <v>500</v>
      </c>
    </row>
    <row r="303" spans="1:7" x14ac:dyDescent="0.35">
      <c r="A303" s="280">
        <v>2122</v>
      </c>
      <c r="B303" s="599" t="s">
        <v>514</v>
      </c>
      <c r="C303" s="599" t="s">
        <v>91</v>
      </c>
      <c r="D303" s="589" t="s">
        <v>111</v>
      </c>
      <c r="E303" s="535">
        <v>42437</v>
      </c>
      <c r="F303" s="314" t="s">
        <v>77</v>
      </c>
      <c r="G303" s="600">
        <v>500</v>
      </c>
    </row>
    <row r="304" spans="1:7" x14ac:dyDescent="0.35">
      <c r="A304" s="270">
        <v>3117</v>
      </c>
      <c r="B304" s="295" t="s">
        <v>170</v>
      </c>
      <c r="C304" s="295" t="s">
        <v>173</v>
      </c>
      <c r="D304" s="296" t="s">
        <v>111</v>
      </c>
      <c r="E304" s="297">
        <v>41983</v>
      </c>
      <c r="F304" s="292" t="s">
        <v>9</v>
      </c>
      <c r="G304" s="539">
        <v>500</v>
      </c>
    </row>
    <row r="305" spans="1:7" x14ac:dyDescent="0.35">
      <c r="A305" s="280">
        <v>3132</v>
      </c>
      <c r="B305" s="310" t="s">
        <v>177</v>
      </c>
      <c r="C305" s="299" t="s">
        <v>178</v>
      </c>
      <c r="D305" s="290" t="s">
        <v>111</v>
      </c>
      <c r="E305" s="311"/>
      <c r="F305" s="292" t="s">
        <v>294</v>
      </c>
      <c r="G305" s="539">
        <v>500</v>
      </c>
    </row>
    <row r="306" spans="1:7" x14ac:dyDescent="0.35">
      <c r="A306" s="280">
        <v>2081</v>
      </c>
      <c r="B306" s="596" t="s">
        <v>808</v>
      </c>
      <c r="C306" s="597" t="s">
        <v>825</v>
      </c>
      <c r="D306" s="290" t="s">
        <v>111</v>
      </c>
      <c r="E306" s="592">
        <v>42213</v>
      </c>
      <c r="F306" s="314" t="s">
        <v>294</v>
      </c>
      <c r="G306" s="603" t="s">
        <v>126</v>
      </c>
    </row>
    <row r="307" spans="1:7" x14ac:dyDescent="0.35">
      <c r="A307" s="270">
        <v>3091</v>
      </c>
      <c r="B307" s="301" t="s">
        <v>693</v>
      </c>
      <c r="C307" s="301" t="s">
        <v>52</v>
      </c>
      <c r="D307" s="296" t="s">
        <v>111</v>
      </c>
      <c r="E307" s="308">
        <v>41725</v>
      </c>
      <c r="F307" s="292" t="s">
        <v>10</v>
      </c>
      <c r="G307" s="227">
        <v>500</v>
      </c>
    </row>
    <row r="308" spans="1:7" x14ac:dyDescent="0.35">
      <c r="A308" s="524">
        <v>4057</v>
      </c>
      <c r="B308" s="301" t="s">
        <v>263</v>
      </c>
      <c r="C308" s="301" t="s">
        <v>68</v>
      </c>
      <c r="D308" s="296" t="s">
        <v>111</v>
      </c>
      <c r="E308" s="535">
        <v>40112</v>
      </c>
      <c r="F308" s="292" t="s">
        <v>11</v>
      </c>
      <c r="G308" s="300">
        <v>500</v>
      </c>
    </row>
    <row r="309" spans="1:7" x14ac:dyDescent="0.35">
      <c r="A309" s="280">
        <v>2069</v>
      </c>
      <c r="B309" s="596" t="s">
        <v>515</v>
      </c>
      <c r="C309" s="597" t="s">
        <v>152</v>
      </c>
      <c r="D309" s="290" t="s">
        <v>111</v>
      </c>
      <c r="E309" s="592">
        <v>42262</v>
      </c>
      <c r="F309" s="314" t="s">
        <v>294</v>
      </c>
      <c r="G309" s="603" t="s">
        <v>126</v>
      </c>
    </row>
    <row r="310" spans="1:7" x14ac:dyDescent="0.35">
      <c r="A310" s="280">
        <v>2167</v>
      </c>
      <c r="B310" s="588" t="s">
        <v>171</v>
      </c>
      <c r="C310" s="588" t="s">
        <v>149</v>
      </c>
      <c r="D310" s="589" t="s">
        <v>111</v>
      </c>
      <c r="E310" s="297">
        <v>42158</v>
      </c>
      <c r="F310" s="314" t="s">
        <v>9</v>
      </c>
      <c r="G310" s="590">
        <v>500</v>
      </c>
    </row>
    <row r="311" spans="1:7" x14ac:dyDescent="0.35">
      <c r="A311" s="554">
        <v>1017</v>
      </c>
      <c r="B311" s="586" t="s">
        <v>342</v>
      </c>
      <c r="C311" s="586" t="s">
        <v>822</v>
      </c>
      <c r="D311" s="587" t="s">
        <v>111</v>
      </c>
      <c r="E311" s="291">
        <v>43297</v>
      </c>
      <c r="F311" s="292" t="s">
        <v>294</v>
      </c>
      <c r="G311" s="232" t="s">
        <v>126</v>
      </c>
    </row>
    <row r="312" spans="1:7" x14ac:dyDescent="0.35">
      <c r="A312" s="524">
        <v>4058</v>
      </c>
      <c r="B312" s="301" t="s">
        <v>96</v>
      </c>
      <c r="C312" s="301" t="s">
        <v>67</v>
      </c>
      <c r="D312" s="296" t="s">
        <v>111</v>
      </c>
      <c r="E312" s="535">
        <v>40112</v>
      </c>
      <c r="F312" s="292" t="s">
        <v>77</v>
      </c>
      <c r="G312" s="300">
        <v>756</v>
      </c>
    </row>
    <row r="313" spans="1:7" x14ac:dyDescent="0.35">
      <c r="A313" s="524">
        <v>4059</v>
      </c>
      <c r="B313" s="295" t="s">
        <v>243</v>
      </c>
      <c r="C313" s="295" t="s">
        <v>244</v>
      </c>
      <c r="D313" s="296" t="s">
        <v>111</v>
      </c>
      <c r="E313" s="297">
        <v>40049</v>
      </c>
      <c r="F313" s="292" t="s">
        <v>9</v>
      </c>
      <c r="G313" s="539">
        <v>1113</v>
      </c>
    </row>
    <row r="314" spans="1:7" x14ac:dyDescent="0.35">
      <c r="A314" s="524">
        <v>4060</v>
      </c>
      <c r="B314" s="298" t="s">
        <v>197</v>
      </c>
      <c r="C314" s="299" t="s">
        <v>256</v>
      </c>
      <c r="D314" s="290" t="s">
        <v>111</v>
      </c>
      <c r="E314" s="291">
        <v>41157</v>
      </c>
      <c r="F314" s="292" t="s">
        <v>79</v>
      </c>
      <c r="G314" s="300">
        <v>619</v>
      </c>
    </row>
    <row r="315" spans="1:7" x14ac:dyDescent="0.35">
      <c r="A315" s="280">
        <v>2060</v>
      </c>
      <c r="B315" s="317" t="s">
        <v>197</v>
      </c>
      <c r="C315" s="318" t="s">
        <v>684</v>
      </c>
      <c r="D315" s="290" t="s">
        <v>111</v>
      </c>
      <c r="E315" s="592">
        <v>42323</v>
      </c>
      <c r="F315" s="314" t="s">
        <v>79</v>
      </c>
      <c r="G315" s="600">
        <v>500</v>
      </c>
    </row>
    <row r="316" spans="1:7" x14ac:dyDescent="0.35">
      <c r="A316" s="280">
        <v>2056</v>
      </c>
      <c r="B316" s="591" t="s">
        <v>516</v>
      </c>
      <c r="C316" s="591" t="s">
        <v>93</v>
      </c>
      <c r="D316" s="290" t="s">
        <v>111</v>
      </c>
      <c r="E316" s="592">
        <v>42350</v>
      </c>
      <c r="F316" s="314" t="s">
        <v>13</v>
      </c>
      <c r="G316" s="593" t="s">
        <v>126</v>
      </c>
    </row>
    <row r="317" spans="1:7" x14ac:dyDescent="0.35">
      <c r="A317" s="280">
        <v>3134</v>
      </c>
      <c r="B317" s="299" t="s">
        <v>180</v>
      </c>
      <c r="C317" s="299" t="s">
        <v>98</v>
      </c>
      <c r="D317" s="290" t="s">
        <v>111</v>
      </c>
      <c r="E317" s="309">
        <v>41455</v>
      </c>
      <c r="F317" s="292" t="s">
        <v>294</v>
      </c>
      <c r="G317" s="539">
        <v>500</v>
      </c>
    </row>
    <row r="318" spans="1:7" x14ac:dyDescent="0.35">
      <c r="A318" s="524">
        <v>4061</v>
      </c>
      <c r="B318" s="301" t="s">
        <v>768</v>
      </c>
      <c r="C318" s="301" t="s">
        <v>769</v>
      </c>
      <c r="D318" s="296" t="s">
        <v>111</v>
      </c>
      <c r="E318" s="535">
        <v>41172</v>
      </c>
      <c r="F318" s="292" t="s">
        <v>77</v>
      </c>
      <c r="G318" s="233">
        <v>500</v>
      </c>
    </row>
    <row r="319" spans="1:7" x14ac:dyDescent="0.35">
      <c r="A319" s="270">
        <v>3118</v>
      </c>
      <c r="B319" s="295" t="s">
        <v>694</v>
      </c>
      <c r="C319" s="295" t="s">
        <v>92</v>
      </c>
      <c r="D319" s="296" t="s">
        <v>111</v>
      </c>
      <c r="E319" s="297">
        <v>41435</v>
      </c>
      <c r="F319" s="292" t="s">
        <v>9</v>
      </c>
      <c r="G319" s="227">
        <v>500</v>
      </c>
    </row>
    <row r="320" spans="1:7" x14ac:dyDescent="0.35">
      <c r="A320" s="524">
        <v>4062</v>
      </c>
      <c r="B320" s="306" t="s">
        <v>770</v>
      </c>
      <c r="C320" s="319" t="s">
        <v>203</v>
      </c>
      <c r="D320" s="290" t="s">
        <v>111</v>
      </c>
      <c r="E320" s="291">
        <v>40593</v>
      </c>
      <c r="F320" s="292" t="s">
        <v>294</v>
      </c>
      <c r="G320" s="293" t="s">
        <v>126</v>
      </c>
    </row>
    <row r="321" spans="1:7" x14ac:dyDescent="0.35">
      <c r="A321" s="280">
        <v>3023</v>
      </c>
      <c r="B321" s="317" t="s">
        <v>695</v>
      </c>
      <c r="C321" s="318" t="s">
        <v>842</v>
      </c>
      <c r="D321" s="290" t="s">
        <v>111</v>
      </c>
      <c r="E321" s="291">
        <v>41828</v>
      </c>
      <c r="F321" s="292" t="s">
        <v>79</v>
      </c>
      <c r="G321" s="300">
        <v>500</v>
      </c>
    </row>
    <row r="322" spans="1:7" x14ac:dyDescent="0.35">
      <c r="A322" s="280">
        <v>3078</v>
      </c>
      <c r="B322" s="294" t="s">
        <v>696</v>
      </c>
      <c r="C322" s="294" t="s">
        <v>697</v>
      </c>
      <c r="D322" s="290" t="s">
        <v>111</v>
      </c>
      <c r="E322" s="309">
        <v>41288</v>
      </c>
      <c r="F322" s="292" t="s">
        <v>12</v>
      </c>
      <c r="G322" s="293">
        <v>500</v>
      </c>
    </row>
    <row r="323" spans="1:7" x14ac:dyDescent="0.35">
      <c r="A323" s="554">
        <v>1011</v>
      </c>
      <c r="B323" s="595" t="s">
        <v>343</v>
      </c>
      <c r="C323" s="595" t="s">
        <v>819</v>
      </c>
      <c r="D323" s="587" t="s">
        <v>111</v>
      </c>
      <c r="E323" s="291">
        <v>43438</v>
      </c>
      <c r="F323" s="292" t="s">
        <v>79</v>
      </c>
      <c r="G323" s="300">
        <v>500</v>
      </c>
    </row>
    <row r="324" spans="1:7" x14ac:dyDescent="0.35">
      <c r="A324" s="280">
        <v>3031</v>
      </c>
      <c r="B324" s="306" t="s">
        <v>698</v>
      </c>
      <c r="C324" s="319" t="s">
        <v>82</v>
      </c>
      <c r="D324" s="290" t="s">
        <v>111</v>
      </c>
      <c r="E324" s="291">
        <v>41770</v>
      </c>
      <c r="F324" s="292" t="s">
        <v>294</v>
      </c>
      <c r="G324" s="293">
        <v>500</v>
      </c>
    </row>
    <row r="325" spans="1:7" x14ac:dyDescent="0.35">
      <c r="A325" s="280">
        <v>2124</v>
      </c>
      <c r="B325" s="599" t="s">
        <v>344</v>
      </c>
      <c r="C325" s="599" t="s">
        <v>114</v>
      </c>
      <c r="D325" s="589" t="s">
        <v>111</v>
      </c>
      <c r="E325" s="604">
        <v>42116</v>
      </c>
      <c r="F325" s="314" t="s">
        <v>77</v>
      </c>
      <c r="G325" s="590">
        <v>500</v>
      </c>
    </row>
    <row r="326" spans="1:7" x14ac:dyDescent="0.35">
      <c r="A326" s="554">
        <v>1066</v>
      </c>
      <c r="B326" s="598" t="s">
        <v>344</v>
      </c>
      <c r="C326" s="598" t="s">
        <v>345</v>
      </c>
      <c r="D326" s="601" t="s">
        <v>111</v>
      </c>
      <c r="E326" s="534">
        <v>43218</v>
      </c>
      <c r="F326" s="292" t="s">
        <v>77</v>
      </c>
      <c r="G326" s="300">
        <v>500</v>
      </c>
    </row>
    <row r="327" spans="1:7" x14ac:dyDescent="0.35">
      <c r="A327" s="554">
        <v>1056</v>
      </c>
      <c r="B327" s="594" t="s">
        <v>346</v>
      </c>
      <c r="C327" s="594" t="s">
        <v>157</v>
      </c>
      <c r="D327" s="587" t="s">
        <v>111</v>
      </c>
      <c r="E327" s="291">
        <v>42826</v>
      </c>
      <c r="F327" s="292" t="s">
        <v>13</v>
      </c>
      <c r="G327" s="325" t="s">
        <v>126</v>
      </c>
    </row>
    <row r="328" spans="1:7" x14ac:dyDescent="0.35">
      <c r="A328" s="280">
        <v>2126</v>
      </c>
      <c r="B328" s="599" t="s">
        <v>399</v>
      </c>
      <c r="C328" s="599" t="s">
        <v>422</v>
      </c>
      <c r="D328" s="589" t="s">
        <v>110</v>
      </c>
      <c r="E328" s="604">
        <v>42371</v>
      </c>
      <c r="F328" s="314" t="s">
        <v>77</v>
      </c>
      <c r="G328" s="590">
        <v>500</v>
      </c>
    </row>
    <row r="329" spans="1:7" x14ac:dyDescent="0.35">
      <c r="A329" s="524">
        <v>4063</v>
      </c>
      <c r="B329" s="289" t="s">
        <v>127</v>
      </c>
      <c r="C329" s="289" t="s">
        <v>128</v>
      </c>
      <c r="D329" s="290" t="s">
        <v>111</v>
      </c>
      <c r="E329" s="291">
        <v>40815</v>
      </c>
      <c r="F329" s="292" t="s">
        <v>13</v>
      </c>
      <c r="G329" s="325" t="s">
        <v>771</v>
      </c>
    </row>
    <row r="330" spans="1:7" x14ac:dyDescent="0.35">
      <c r="A330" s="280">
        <v>3066</v>
      </c>
      <c r="B330" s="306" t="s">
        <v>699</v>
      </c>
      <c r="C330" s="319" t="s">
        <v>60</v>
      </c>
      <c r="D330" s="290" t="s">
        <v>111</v>
      </c>
      <c r="E330" s="291">
        <v>41389</v>
      </c>
      <c r="F330" s="292" t="s">
        <v>294</v>
      </c>
      <c r="G330" s="232">
        <v>500</v>
      </c>
    </row>
    <row r="331" spans="1:7" x14ac:dyDescent="0.35">
      <c r="A331" s="280">
        <v>2168</v>
      </c>
      <c r="B331" s="588" t="s">
        <v>517</v>
      </c>
      <c r="C331" s="588" t="s">
        <v>599</v>
      </c>
      <c r="D331" s="589" t="s">
        <v>111</v>
      </c>
      <c r="E331" s="297">
        <v>42449</v>
      </c>
      <c r="F331" s="314" t="s">
        <v>9</v>
      </c>
      <c r="G331" s="572">
        <v>500</v>
      </c>
    </row>
    <row r="332" spans="1:7" x14ac:dyDescent="0.35">
      <c r="A332" s="280">
        <v>2048</v>
      </c>
      <c r="B332" s="317" t="s">
        <v>518</v>
      </c>
      <c r="C332" s="318" t="s">
        <v>266</v>
      </c>
      <c r="D332" s="290" t="s">
        <v>111</v>
      </c>
      <c r="E332" s="592">
        <v>42388</v>
      </c>
      <c r="F332" s="314" t="s">
        <v>79</v>
      </c>
      <c r="G332" s="516">
        <v>500</v>
      </c>
    </row>
    <row r="333" spans="1:7" x14ac:dyDescent="0.35">
      <c r="A333" s="280">
        <v>3056</v>
      </c>
      <c r="B333" s="289" t="s">
        <v>700</v>
      </c>
      <c r="C333" s="289" t="s">
        <v>113</v>
      </c>
      <c r="D333" s="290" t="s">
        <v>111</v>
      </c>
      <c r="E333" s="291">
        <v>41471</v>
      </c>
      <c r="F333" s="292" t="s">
        <v>13</v>
      </c>
      <c r="G333" s="232">
        <v>500</v>
      </c>
    </row>
    <row r="334" spans="1:7" x14ac:dyDescent="0.35">
      <c r="A334" s="280">
        <v>2030</v>
      </c>
      <c r="B334" s="591" t="s">
        <v>519</v>
      </c>
      <c r="C334" s="591" t="s">
        <v>91</v>
      </c>
      <c r="D334" s="290" t="s">
        <v>111</v>
      </c>
      <c r="E334" s="592">
        <v>42526</v>
      </c>
      <c r="F334" s="314" t="s">
        <v>13</v>
      </c>
      <c r="G334" s="521" t="s">
        <v>126</v>
      </c>
    </row>
    <row r="335" spans="1:7" x14ac:dyDescent="0.35">
      <c r="A335" s="524">
        <v>4064</v>
      </c>
      <c r="B335" s="295" t="s">
        <v>234</v>
      </c>
      <c r="C335" s="295" t="s">
        <v>235</v>
      </c>
      <c r="D335" s="296" t="s">
        <v>110</v>
      </c>
      <c r="E335" s="297">
        <v>41135</v>
      </c>
      <c r="F335" s="292" t="s">
        <v>9</v>
      </c>
      <c r="G335" s="539">
        <v>785</v>
      </c>
    </row>
    <row r="336" spans="1:7" x14ac:dyDescent="0.35">
      <c r="A336" s="280">
        <v>2091</v>
      </c>
      <c r="B336" s="596" t="s">
        <v>520</v>
      </c>
      <c r="C336" s="596" t="s">
        <v>600</v>
      </c>
      <c r="D336" s="290" t="s">
        <v>111</v>
      </c>
      <c r="E336" s="592">
        <v>42125</v>
      </c>
      <c r="F336" s="314" t="s">
        <v>66</v>
      </c>
      <c r="G336" s="605">
        <v>500</v>
      </c>
    </row>
    <row r="337" spans="1:7" x14ac:dyDescent="0.35">
      <c r="A337" s="280">
        <v>2092</v>
      </c>
      <c r="B337" s="596" t="s">
        <v>520</v>
      </c>
      <c r="C337" s="596" t="s">
        <v>75</v>
      </c>
      <c r="D337" s="290" t="s">
        <v>111</v>
      </c>
      <c r="E337" s="592">
        <v>42125</v>
      </c>
      <c r="F337" s="314" t="s">
        <v>66</v>
      </c>
      <c r="G337" s="606">
        <v>500</v>
      </c>
    </row>
    <row r="338" spans="1:7" x14ac:dyDescent="0.35">
      <c r="A338" s="280">
        <v>2080</v>
      </c>
      <c r="B338" s="602" t="s">
        <v>521</v>
      </c>
      <c r="C338" s="602" t="s">
        <v>601</v>
      </c>
      <c r="D338" s="290" t="s">
        <v>111</v>
      </c>
      <c r="E338" s="592">
        <v>42220</v>
      </c>
      <c r="F338" s="314" t="s">
        <v>65</v>
      </c>
      <c r="G338" s="603" t="s">
        <v>126</v>
      </c>
    </row>
    <row r="339" spans="1:7" x14ac:dyDescent="0.35">
      <c r="A339" s="524">
        <v>4065</v>
      </c>
      <c r="B339" s="306" t="s">
        <v>772</v>
      </c>
      <c r="C339" s="319" t="s">
        <v>737</v>
      </c>
      <c r="D339" s="290" t="s">
        <v>111</v>
      </c>
      <c r="E339" s="291">
        <v>41176</v>
      </c>
      <c r="F339" s="292" t="s">
        <v>294</v>
      </c>
      <c r="G339" s="232" t="s">
        <v>126</v>
      </c>
    </row>
    <row r="340" spans="1:7" x14ac:dyDescent="0.35">
      <c r="A340" s="554">
        <v>1047</v>
      </c>
      <c r="B340" s="586" t="s">
        <v>347</v>
      </c>
      <c r="C340" s="586" t="s">
        <v>62</v>
      </c>
      <c r="D340" s="587" t="s">
        <v>111</v>
      </c>
      <c r="E340" s="291">
        <v>42974</v>
      </c>
      <c r="F340" s="292" t="s">
        <v>294</v>
      </c>
      <c r="G340" s="293" t="s">
        <v>126</v>
      </c>
    </row>
    <row r="341" spans="1:7" x14ac:dyDescent="0.35">
      <c r="A341" s="280">
        <v>2066</v>
      </c>
      <c r="B341" s="602" t="s">
        <v>522</v>
      </c>
      <c r="C341" s="602" t="s">
        <v>56</v>
      </c>
      <c r="D341" s="290" t="s">
        <v>111</v>
      </c>
      <c r="E341" s="592">
        <v>42283</v>
      </c>
      <c r="F341" s="314" t="s">
        <v>65</v>
      </c>
      <c r="G341" s="603" t="s">
        <v>126</v>
      </c>
    </row>
    <row r="342" spans="1:7" x14ac:dyDescent="0.35">
      <c r="A342" s="270">
        <v>3119</v>
      </c>
      <c r="B342" s="295" t="s">
        <v>390</v>
      </c>
      <c r="C342" s="295" t="s">
        <v>414</v>
      </c>
      <c r="D342" s="296" t="s">
        <v>110</v>
      </c>
      <c r="E342" s="297">
        <v>41529</v>
      </c>
      <c r="F342" s="292" t="s">
        <v>9</v>
      </c>
      <c r="G342" s="227">
        <v>500</v>
      </c>
    </row>
    <row r="343" spans="1:7" x14ac:dyDescent="0.35">
      <c r="A343" s="524">
        <v>4066</v>
      </c>
      <c r="B343" s="294" t="s">
        <v>390</v>
      </c>
      <c r="C343" s="294" t="s">
        <v>773</v>
      </c>
      <c r="D343" s="296" t="s">
        <v>111</v>
      </c>
      <c r="E343" s="309">
        <v>39191</v>
      </c>
      <c r="F343" s="292" t="s">
        <v>66</v>
      </c>
      <c r="G343" s="293">
        <v>500</v>
      </c>
    </row>
    <row r="344" spans="1:7" x14ac:dyDescent="0.35">
      <c r="A344" s="280">
        <v>2125</v>
      </c>
      <c r="B344" s="599" t="s">
        <v>200</v>
      </c>
      <c r="C344" s="599" t="s">
        <v>94</v>
      </c>
      <c r="D344" s="589" t="s">
        <v>111</v>
      </c>
      <c r="E344" s="604">
        <v>42579</v>
      </c>
      <c r="F344" s="314" t="s">
        <v>77</v>
      </c>
      <c r="G344" s="590">
        <v>500</v>
      </c>
    </row>
    <row r="345" spans="1:7" x14ac:dyDescent="0.35">
      <c r="A345" s="280">
        <v>3049</v>
      </c>
      <c r="B345" s="289" t="s">
        <v>701</v>
      </c>
      <c r="C345" s="289" t="s">
        <v>619</v>
      </c>
      <c r="D345" s="290" t="s">
        <v>111</v>
      </c>
      <c r="E345" s="291">
        <v>41650</v>
      </c>
      <c r="F345" s="292" t="s">
        <v>13</v>
      </c>
      <c r="G345" s="293">
        <v>500</v>
      </c>
    </row>
    <row r="346" spans="1:7" x14ac:dyDescent="0.35">
      <c r="A346" s="280">
        <v>2136</v>
      </c>
      <c r="B346" s="599" t="s">
        <v>806</v>
      </c>
      <c r="C346" s="599" t="s">
        <v>44</v>
      </c>
      <c r="D346" s="589" t="s">
        <v>111</v>
      </c>
      <c r="E346" s="320">
        <v>42057</v>
      </c>
      <c r="F346" s="314" t="s">
        <v>10</v>
      </c>
      <c r="G346" s="572">
        <v>513</v>
      </c>
    </row>
    <row r="347" spans="1:7" x14ac:dyDescent="0.35">
      <c r="A347" s="270">
        <v>3092</v>
      </c>
      <c r="B347" s="301" t="s">
        <v>702</v>
      </c>
      <c r="C347" s="301" t="s">
        <v>115</v>
      </c>
      <c r="D347" s="296" t="s">
        <v>111</v>
      </c>
      <c r="E347" s="308">
        <v>41793</v>
      </c>
      <c r="F347" s="292" t="s">
        <v>10</v>
      </c>
      <c r="G347" s="227">
        <v>500</v>
      </c>
    </row>
    <row r="348" spans="1:7" x14ac:dyDescent="0.35">
      <c r="A348" s="270">
        <v>3120</v>
      </c>
      <c r="B348" s="295" t="s">
        <v>703</v>
      </c>
      <c r="C348" s="295" t="s">
        <v>190</v>
      </c>
      <c r="D348" s="296" t="s">
        <v>111</v>
      </c>
      <c r="E348" s="297">
        <v>41431</v>
      </c>
      <c r="F348" s="292" t="s">
        <v>9</v>
      </c>
      <c r="G348" s="227">
        <v>500</v>
      </c>
    </row>
    <row r="349" spans="1:7" x14ac:dyDescent="0.35">
      <c r="A349" s="524">
        <v>4067</v>
      </c>
      <c r="B349" s="294" t="s">
        <v>211</v>
      </c>
      <c r="C349" s="294" t="s">
        <v>212</v>
      </c>
      <c r="D349" s="296" t="s">
        <v>111</v>
      </c>
      <c r="E349" s="309">
        <v>39191</v>
      </c>
      <c r="F349" s="292" t="s">
        <v>12</v>
      </c>
      <c r="G349" s="293">
        <v>539</v>
      </c>
    </row>
    <row r="350" spans="1:7" x14ac:dyDescent="0.35">
      <c r="A350" s="524">
        <v>4068</v>
      </c>
      <c r="B350" s="310" t="s">
        <v>774</v>
      </c>
      <c r="C350" s="310" t="s">
        <v>78</v>
      </c>
      <c r="D350" s="292" t="s">
        <v>111</v>
      </c>
      <c r="E350" s="537">
        <v>40544</v>
      </c>
      <c r="F350" s="292" t="s">
        <v>11</v>
      </c>
      <c r="G350" s="300">
        <v>500</v>
      </c>
    </row>
    <row r="351" spans="1:7" x14ac:dyDescent="0.35">
      <c r="A351" s="280">
        <v>2005</v>
      </c>
      <c r="B351" s="602" t="s">
        <v>523</v>
      </c>
      <c r="C351" s="602" t="s">
        <v>131</v>
      </c>
      <c r="D351" s="290" t="s">
        <v>111</v>
      </c>
      <c r="E351" s="592">
        <v>42710</v>
      </c>
      <c r="F351" s="314" t="s">
        <v>37</v>
      </c>
      <c r="G351" s="603">
        <v>500</v>
      </c>
    </row>
    <row r="352" spans="1:7" x14ac:dyDescent="0.35">
      <c r="A352" s="524">
        <v>4069</v>
      </c>
      <c r="B352" s="301" t="s">
        <v>206</v>
      </c>
      <c r="C352" s="301" t="s">
        <v>249</v>
      </c>
      <c r="D352" s="296" t="s">
        <v>111</v>
      </c>
      <c r="E352" s="302">
        <v>41037</v>
      </c>
      <c r="F352" s="292" t="s">
        <v>77</v>
      </c>
      <c r="G352" s="539">
        <v>606</v>
      </c>
    </row>
    <row r="353" spans="1:7" x14ac:dyDescent="0.35">
      <c r="A353" s="303">
        <v>2187</v>
      </c>
      <c r="B353" s="607" t="s">
        <v>564</v>
      </c>
      <c r="C353" s="307" t="s">
        <v>620</v>
      </c>
      <c r="D353" s="290" t="s">
        <v>111</v>
      </c>
      <c r="E353" s="608">
        <v>42123</v>
      </c>
      <c r="F353" s="314" t="s">
        <v>10</v>
      </c>
      <c r="G353" s="609"/>
    </row>
    <row r="354" spans="1:7" x14ac:dyDescent="0.35">
      <c r="A354" s="280">
        <v>2103</v>
      </c>
      <c r="B354" s="602" t="s">
        <v>270</v>
      </c>
      <c r="C354" s="602" t="s">
        <v>602</v>
      </c>
      <c r="D354" s="290" t="s">
        <v>111</v>
      </c>
      <c r="E354" s="610">
        <v>42065</v>
      </c>
      <c r="F354" s="314" t="s">
        <v>12</v>
      </c>
      <c r="G354" s="515">
        <v>500</v>
      </c>
    </row>
    <row r="355" spans="1:7" x14ac:dyDescent="0.35">
      <c r="A355" s="524">
        <v>4070</v>
      </c>
      <c r="B355" s="295" t="s">
        <v>270</v>
      </c>
      <c r="C355" s="295" t="s">
        <v>149</v>
      </c>
      <c r="D355" s="296" t="s">
        <v>111</v>
      </c>
      <c r="E355" s="297">
        <v>40048</v>
      </c>
      <c r="F355" s="292" t="s">
        <v>9</v>
      </c>
      <c r="G355" s="227">
        <v>610</v>
      </c>
    </row>
    <row r="356" spans="1:7" x14ac:dyDescent="0.35">
      <c r="A356" s="270">
        <v>3086</v>
      </c>
      <c r="B356" s="301" t="s">
        <v>704</v>
      </c>
      <c r="C356" s="301" t="s">
        <v>248</v>
      </c>
      <c r="D356" s="296" t="s">
        <v>111</v>
      </c>
      <c r="E356" s="302">
        <v>41488</v>
      </c>
      <c r="F356" s="292" t="s">
        <v>77</v>
      </c>
      <c r="G356" s="227">
        <v>500</v>
      </c>
    </row>
    <row r="357" spans="1:7" x14ac:dyDescent="0.35">
      <c r="A357" s="280">
        <v>2107</v>
      </c>
      <c r="B357" s="602" t="s">
        <v>524</v>
      </c>
      <c r="C357" s="602" t="s">
        <v>603</v>
      </c>
      <c r="D357" s="290" t="s">
        <v>111</v>
      </c>
      <c r="E357" s="592">
        <v>42044</v>
      </c>
      <c r="F357" s="314" t="s">
        <v>65</v>
      </c>
      <c r="G357" s="603" t="s">
        <v>126</v>
      </c>
    </row>
    <row r="358" spans="1:7" x14ac:dyDescent="0.35">
      <c r="A358" s="280">
        <v>2037</v>
      </c>
      <c r="B358" s="602" t="s">
        <v>525</v>
      </c>
      <c r="C358" s="602" t="s">
        <v>143</v>
      </c>
      <c r="D358" s="290" t="s">
        <v>111</v>
      </c>
      <c r="E358" s="610">
        <v>42468</v>
      </c>
      <c r="F358" s="314" t="s">
        <v>12</v>
      </c>
      <c r="G358" s="603">
        <v>500</v>
      </c>
    </row>
    <row r="359" spans="1:7" x14ac:dyDescent="0.35">
      <c r="A359" s="280">
        <v>3017</v>
      </c>
      <c r="B359" s="306" t="s">
        <v>705</v>
      </c>
      <c r="C359" s="319" t="s">
        <v>706</v>
      </c>
      <c r="D359" s="290" t="s">
        <v>111</v>
      </c>
      <c r="E359" s="291">
        <v>41875</v>
      </c>
      <c r="F359" s="292" t="s">
        <v>294</v>
      </c>
      <c r="G359" s="293">
        <v>500</v>
      </c>
    </row>
    <row r="360" spans="1:7" x14ac:dyDescent="0.35">
      <c r="A360" s="524">
        <v>4071</v>
      </c>
      <c r="B360" s="298" t="s">
        <v>199</v>
      </c>
      <c r="C360" s="299" t="s">
        <v>822</v>
      </c>
      <c r="D360" s="290" t="s">
        <v>111</v>
      </c>
      <c r="E360" s="331">
        <v>40428</v>
      </c>
      <c r="F360" s="292" t="s">
        <v>79</v>
      </c>
      <c r="G360" s="233">
        <v>500</v>
      </c>
    </row>
    <row r="361" spans="1:7" x14ac:dyDescent="0.35">
      <c r="A361" s="280">
        <v>2058</v>
      </c>
      <c r="B361" s="602" t="s">
        <v>526</v>
      </c>
      <c r="C361" s="602" t="s">
        <v>604</v>
      </c>
      <c r="D361" s="290" t="s">
        <v>111</v>
      </c>
      <c r="E361" s="610">
        <v>42344</v>
      </c>
      <c r="F361" s="314" t="s">
        <v>12</v>
      </c>
      <c r="G361" s="515">
        <v>500</v>
      </c>
    </row>
    <row r="362" spans="1:7" x14ac:dyDescent="0.35">
      <c r="A362" s="554">
        <v>1082</v>
      </c>
      <c r="B362" s="598" t="s">
        <v>348</v>
      </c>
      <c r="C362" s="598" t="s">
        <v>113</v>
      </c>
      <c r="D362" s="587" t="s">
        <v>111</v>
      </c>
      <c r="E362" s="297">
        <v>43882</v>
      </c>
      <c r="F362" s="538" t="s">
        <v>9</v>
      </c>
      <c r="G362" s="539">
        <v>500</v>
      </c>
    </row>
    <row r="363" spans="1:7" x14ac:dyDescent="0.35">
      <c r="A363" s="554">
        <v>1051</v>
      </c>
      <c r="B363" s="586" t="s">
        <v>138</v>
      </c>
      <c r="C363" s="586" t="s">
        <v>349</v>
      </c>
      <c r="D363" s="587" t="s">
        <v>111</v>
      </c>
      <c r="E363" s="291">
        <v>42878</v>
      </c>
      <c r="F363" s="292" t="s">
        <v>294</v>
      </c>
      <c r="G363" s="232" t="s">
        <v>126</v>
      </c>
    </row>
    <row r="364" spans="1:7" x14ac:dyDescent="0.35">
      <c r="A364" s="524">
        <v>4072</v>
      </c>
      <c r="B364" s="294" t="s">
        <v>138</v>
      </c>
      <c r="C364" s="294" t="s">
        <v>62</v>
      </c>
      <c r="D364" s="290" t="s">
        <v>111</v>
      </c>
      <c r="E364" s="309">
        <v>40783</v>
      </c>
      <c r="F364" s="292" t="s">
        <v>12</v>
      </c>
      <c r="G364" s="293">
        <v>816</v>
      </c>
    </row>
    <row r="365" spans="1:7" x14ac:dyDescent="0.35">
      <c r="A365" s="280">
        <v>2169</v>
      </c>
      <c r="B365" s="588" t="s">
        <v>527</v>
      </c>
      <c r="C365" s="588" t="s">
        <v>605</v>
      </c>
      <c r="D365" s="589" t="s">
        <v>111</v>
      </c>
      <c r="E365" s="297">
        <v>42268</v>
      </c>
      <c r="F365" s="314" t="s">
        <v>9</v>
      </c>
      <c r="G365" s="590">
        <v>500</v>
      </c>
    </row>
    <row r="366" spans="1:7" x14ac:dyDescent="0.35">
      <c r="A366" s="280">
        <v>2015</v>
      </c>
      <c r="B366" s="602" t="s">
        <v>528</v>
      </c>
      <c r="C366" s="602" t="s">
        <v>606</v>
      </c>
      <c r="D366" s="290" t="s">
        <v>111</v>
      </c>
      <c r="E366" s="610">
        <v>42656</v>
      </c>
      <c r="F366" s="314" t="s">
        <v>12</v>
      </c>
      <c r="G366" s="515">
        <v>500</v>
      </c>
    </row>
    <row r="367" spans="1:7" x14ac:dyDescent="0.35">
      <c r="A367" s="280">
        <v>2170</v>
      </c>
      <c r="B367" s="588" t="s">
        <v>529</v>
      </c>
      <c r="C367" s="588" t="s">
        <v>607</v>
      </c>
      <c r="D367" s="589" t="s">
        <v>111</v>
      </c>
      <c r="E367" s="297">
        <v>42583</v>
      </c>
      <c r="F367" s="314" t="s">
        <v>9</v>
      </c>
      <c r="G367" s="572">
        <v>500</v>
      </c>
    </row>
    <row r="368" spans="1:7" x14ac:dyDescent="0.35">
      <c r="A368" s="554">
        <v>1041</v>
      </c>
      <c r="B368" s="594" t="s">
        <v>350</v>
      </c>
      <c r="C368" s="594" t="s">
        <v>93</v>
      </c>
      <c r="D368" s="587" t="s">
        <v>111</v>
      </c>
      <c r="E368" s="291">
        <v>43046</v>
      </c>
      <c r="F368" s="292" t="s">
        <v>13</v>
      </c>
      <c r="G368" s="325" t="s">
        <v>126</v>
      </c>
    </row>
    <row r="369" spans="1:7" x14ac:dyDescent="0.35">
      <c r="A369" s="554">
        <v>1021</v>
      </c>
      <c r="B369" s="595" t="s">
        <v>351</v>
      </c>
      <c r="C369" s="595" t="s">
        <v>92</v>
      </c>
      <c r="D369" s="587" t="s">
        <v>111</v>
      </c>
      <c r="E369" s="331">
        <v>43236</v>
      </c>
      <c r="F369" s="292" t="s">
        <v>79</v>
      </c>
      <c r="G369" s="300">
        <v>500</v>
      </c>
    </row>
    <row r="370" spans="1:7" x14ac:dyDescent="0.35">
      <c r="A370" s="280">
        <v>2099</v>
      </c>
      <c r="B370" s="317" t="s">
        <v>351</v>
      </c>
      <c r="C370" s="318" t="s">
        <v>260</v>
      </c>
      <c r="D370" s="290" t="s">
        <v>111</v>
      </c>
      <c r="E370" s="592">
        <v>42090</v>
      </c>
      <c r="F370" s="314" t="s">
        <v>79</v>
      </c>
      <c r="G370" s="600">
        <v>500</v>
      </c>
    </row>
    <row r="371" spans="1:7" x14ac:dyDescent="0.35">
      <c r="A371" s="280">
        <v>2028</v>
      </c>
      <c r="B371" s="317" t="s">
        <v>351</v>
      </c>
      <c r="C371" s="318" t="s">
        <v>97</v>
      </c>
      <c r="D371" s="290" t="s">
        <v>111</v>
      </c>
      <c r="E371" s="592">
        <v>42538</v>
      </c>
      <c r="F371" s="314" t="s">
        <v>79</v>
      </c>
      <c r="G371" s="516">
        <v>511</v>
      </c>
    </row>
    <row r="372" spans="1:7" x14ac:dyDescent="0.35">
      <c r="A372" s="524">
        <v>4073</v>
      </c>
      <c r="B372" s="298" t="s">
        <v>351</v>
      </c>
      <c r="C372" s="299" t="s">
        <v>850</v>
      </c>
      <c r="D372" s="290" t="s">
        <v>111</v>
      </c>
      <c r="E372" s="291">
        <v>40551</v>
      </c>
      <c r="F372" s="292" t="s">
        <v>79</v>
      </c>
      <c r="G372" s="300">
        <v>500</v>
      </c>
    </row>
    <row r="373" spans="1:7" x14ac:dyDescent="0.35">
      <c r="A373" s="270">
        <v>3093</v>
      </c>
      <c r="B373" s="301" t="s">
        <v>707</v>
      </c>
      <c r="C373" s="301" t="s">
        <v>53</v>
      </c>
      <c r="D373" s="296" t="s">
        <v>111</v>
      </c>
      <c r="E373" s="308">
        <v>41667</v>
      </c>
      <c r="F373" s="292" t="s">
        <v>10</v>
      </c>
      <c r="G373" s="227">
        <v>515</v>
      </c>
    </row>
    <row r="374" spans="1:7" x14ac:dyDescent="0.35">
      <c r="A374" s="524">
        <v>4074</v>
      </c>
      <c r="B374" s="289" t="s">
        <v>775</v>
      </c>
      <c r="C374" s="289" t="s">
        <v>203</v>
      </c>
      <c r="D374" s="290" t="s">
        <v>111</v>
      </c>
      <c r="E374" s="291">
        <v>40677</v>
      </c>
      <c r="F374" s="292" t="s">
        <v>13</v>
      </c>
      <c r="G374" s="293">
        <v>500</v>
      </c>
    </row>
    <row r="375" spans="1:7" x14ac:dyDescent="0.35">
      <c r="A375" s="280">
        <v>2061</v>
      </c>
      <c r="B375" s="591" t="s">
        <v>530</v>
      </c>
      <c r="C375" s="591" t="s">
        <v>825</v>
      </c>
      <c r="D375" s="290" t="s">
        <v>111</v>
      </c>
      <c r="E375" s="592">
        <v>42322</v>
      </c>
      <c r="F375" s="314" t="s">
        <v>13</v>
      </c>
      <c r="G375" s="593" t="s">
        <v>126</v>
      </c>
    </row>
    <row r="376" spans="1:7" x14ac:dyDescent="0.35">
      <c r="A376" s="280">
        <v>3064</v>
      </c>
      <c r="B376" s="298" t="s">
        <v>708</v>
      </c>
      <c r="C376" s="299" t="s">
        <v>709</v>
      </c>
      <c r="D376" s="290" t="s">
        <v>111</v>
      </c>
      <c r="E376" s="291">
        <v>41415</v>
      </c>
      <c r="F376" s="292" t="s">
        <v>79</v>
      </c>
      <c r="G376" s="300">
        <v>500</v>
      </c>
    </row>
    <row r="377" spans="1:7" x14ac:dyDescent="0.35">
      <c r="A377" s="554">
        <v>1083</v>
      </c>
      <c r="B377" s="598" t="s">
        <v>352</v>
      </c>
      <c r="C377" s="598" t="s">
        <v>62</v>
      </c>
      <c r="D377" s="587" t="s">
        <v>111</v>
      </c>
      <c r="E377" s="297">
        <v>42961</v>
      </c>
      <c r="F377" s="538" t="s">
        <v>9</v>
      </c>
      <c r="G377" s="539">
        <v>500</v>
      </c>
    </row>
    <row r="378" spans="1:7" x14ac:dyDescent="0.35">
      <c r="A378" s="280">
        <v>2098</v>
      </c>
      <c r="B378" s="602" t="s">
        <v>531</v>
      </c>
      <c r="C378" s="602" t="s">
        <v>67</v>
      </c>
      <c r="D378" s="290" t="s">
        <v>111</v>
      </c>
      <c r="E378" s="592">
        <v>42095</v>
      </c>
      <c r="F378" s="314" t="s">
        <v>65</v>
      </c>
      <c r="G378" s="603" t="s">
        <v>126</v>
      </c>
    </row>
    <row r="379" spans="1:7" x14ac:dyDescent="0.35">
      <c r="A379" s="280">
        <v>2171</v>
      </c>
      <c r="B379" s="588" t="s">
        <v>394</v>
      </c>
      <c r="C379" s="588" t="s">
        <v>230</v>
      </c>
      <c r="D379" s="589" t="s">
        <v>110</v>
      </c>
      <c r="E379" s="297">
        <v>42697</v>
      </c>
      <c r="F379" s="314" t="s">
        <v>9</v>
      </c>
      <c r="G379" s="590">
        <v>500</v>
      </c>
    </row>
    <row r="380" spans="1:7" x14ac:dyDescent="0.35">
      <c r="A380" s="499">
        <v>3012</v>
      </c>
      <c r="B380" s="191" t="s">
        <v>710</v>
      </c>
      <c r="C380" s="192" t="s">
        <v>711</v>
      </c>
      <c r="D380" s="156" t="s">
        <v>111</v>
      </c>
      <c r="E380" s="188">
        <v>41919</v>
      </c>
      <c r="F380" s="180" t="s">
        <v>294</v>
      </c>
      <c r="G380" s="232">
        <v>500</v>
      </c>
    </row>
    <row r="381" spans="1:7" x14ac:dyDescent="0.35">
      <c r="A381" s="549">
        <v>3087</v>
      </c>
      <c r="B381" s="178" t="s">
        <v>712</v>
      </c>
      <c r="C381" s="178" t="s">
        <v>713</v>
      </c>
      <c r="D381" s="169" t="s">
        <v>111</v>
      </c>
      <c r="E381" s="184">
        <v>41715</v>
      </c>
      <c r="F381" s="180" t="s">
        <v>77</v>
      </c>
      <c r="G381" s="227">
        <v>500</v>
      </c>
    </row>
    <row r="382" spans="1:7" x14ac:dyDescent="0.35">
      <c r="A382" s="499">
        <v>2075</v>
      </c>
      <c r="B382" s="398" t="s">
        <v>532</v>
      </c>
      <c r="C382" s="398" t="s">
        <v>595</v>
      </c>
      <c r="D382" s="156" t="s">
        <v>111</v>
      </c>
      <c r="E382" s="377">
        <v>42239</v>
      </c>
      <c r="F382" s="378" t="s">
        <v>37</v>
      </c>
      <c r="G382" s="515">
        <v>500</v>
      </c>
    </row>
    <row r="383" spans="1:7" x14ac:dyDescent="0.35">
      <c r="A383" s="443">
        <v>1014</v>
      </c>
      <c r="B383" s="461" t="s">
        <v>353</v>
      </c>
      <c r="C383" s="461" t="s">
        <v>354</v>
      </c>
      <c r="D383" s="156" t="s">
        <v>110</v>
      </c>
      <c r="E383" s="153">
        <v>43409</v>
      </c>
      <c r="F383" s="180" t="s">
        <v>12</v>
      </c>
      <c r="G383" s="232">
        <v>500</v>
      </c>
    </row>
    <row r="384" spans="1:7" x14ac:dyDescent="0.35">
      <c r="A384" s="499">
        <v>2007</v>
      </c>
      <c r="B384" s="398" t="s">
        <v>353</v>
      </c>
      <c r="C384" s="398" t="s">
        <v>62</v>
      </c>
      <c r="D384" s="156" t="s">
        <v>111</v>
      </c>
      <c r="E384" s="399">
        <v>42688</v>
      </c>
      <c r="F384" s="378" t="s">
        <v>12</v>
      </c>
      <c r="G384" s="515">
        <v>500</v>
      </c>
    </row>
    <row r="385" spans="1:7" x14ac:dyDescent="0.35">
      <c r="A385" s="443">
        <v>1005</v>
      </c>
      <c r="B385" s="470" t="s">
        <v>818</v>
      </c>
      <c r="C385" s="470" t="s">
        <v>355</v>
      </c>
      <c r="D385" s="156" t="s">
        <v>110</v>
      </c>
      <c r="E385" s="188">
        <v>43818</v>
      </c>
      <c r="F385" s="180" t="s">
        <v>294</v>
      </c>
      <c r="G385" s="232" t="s">
        <v>126</v>
      </c>
    </row>
    <row r="386" spans="1:7" x14ac:dyDescent="0.35">
      <c r="A386" s="499">
        <v>3015</v>
      </c>
      <c r="B386" s="189" t="s">
        <v>714</v>
      </c>
      <c r="C386" s="189" t="s">
        <v>152</v>
      </c>
      <c r="D386" s="156" t="s">
        <v>111</v>
      </c>
      <c r="E386" s="188">
        <v>41906</v>
      </c>
      <c r="F386" s="180" t="s">
        <v>13</v>
      </c>
      <c r="G386" s="234" t="s">
        <v>126</v>
      </c>
    </row>
    <row r="387" spans="1:7" x14ac:dyDescent="0.35">
      <c r="A387" s="499">
        <v>3039</v>
      </c>
      <c r="B387" s="189" t="s">
        <v>715</v>
      </c>
      <c r="C387" s="189" t="s">
        <v>45</v>
      </c>
      <c r="D387" s="156" t="s">
        <v>111</v>
      </c>
      <c r="E387" s="188">
        <v>41711</v>
      </c>
      <c r="F387" s="180" t="s">
        <v>13</v>
      </c>
      <c r="G387" s="234" t="s">
        <v>126</v>
      </c>
    </row>
    <row r="388" spans="1:7" x14ac:dyDescent="0.35">
      <c r="A388" s="499">
        <v>2003</v>
      </c>
      <c r="B388" s="394" t="s">
        <v>533</v>
      </c>
      <c r="C388" s="394" t="s">
        <v>608</v>
      </c>
      <c r="D388" s="156" t="s">
        <v>111</v>
      </c>
      <c r="E388" s="377">
        <v>42719</v>
      </c>
      <c r="F388" s="378" t="s">
        <v>13</v>
      </c>
      <c r="G388" s="521" t="s">
        <v>126</v>
      </c>
    </row>
    <row r="389" spans="1:7" x14ac:dyDescent="0.35">
      <c r="A389" s="499">
        <v>2004</v>
      </c>
      <c r="B389" s="394" t="s">
        <v>533</v>
      </c>
      <c r="C389" s="394" t="s">
        <v>150</v>
      </c>
      <c r="D389" s="156" t="s">
        <v>111</v>
      </c>
      <c r="E389" s="377">
        <v>42719</v>
      </c>
      <c r="F389" s="378" t="s">
        <v>13</v>
      </c>
      <c r="G389" s="521" t="s">
        <v>126</v>
      </c>
    </row>
    <row r="390" spans="1:7" x14ac:dyDescent="0.35">
      <c r="A390" s="499">
        <v>2127</v>
      </c>
      <c r="B390" s="382" t="s">
        <v>396</v>
      </c>
      <c r="C390" s="382" t="s">
        <v>419</v>
      </c>
      <c r="D390" s="381" t="s">
        <v>110</v>
      </c>
      <c r="E390" s="412">
        <v>42411</v>
      </c>
      <c r="F390" s="378" t="s">
        <v>77</v>
      </c>
      <c r="G390" s="572">
        <v>500</v>
      </c>
    </row>
    <row r="391" spans="1:7" x14ac:dyDescent="0.35">
      <c r="A391" s="443">
        <v>1012</v>
      </c>
      <c r="B391" s="461" t="s">
        <v>356</v>
      </c>
      <c r="C391" s="461" t="s">
        <v>820</v>
      </c>
      <c r="D391" s="446" t="s">
        <v>111</v>
      </c>
      <c r="E391" s="188">
        <v>43425</v>
      </c>
      <c r="F391" s="180" t="s">
        <v>65</v>
      </c>
      <c r="G391" s="232" t="s">
        <v>126</v>
      </c>
    </row>
    <row r="392" spans="1:7" x14ac:dyDescent="0.35">
      <c r="A392" s="499">
        <v>2000</v>
      </c>
      <c r="B392" s="400" t="s">
        <v>812</v>
      </c>
      <c r="C392" s="400" t="s">
        <v>832</v>
      </c>
      <c r="D392" s="156" t="s">
        <v>110</v>
      </c>
      <c r="E392" s="377">
        <v>42731</v>
      </c>
      <c r="F392" s="378" t="s">
        <v>294</v>
      </c>
      <c r="G392" s="515" t="s">
        <v>126</v>
      </c>
    </row>
    <row r="393" spans="1:7" x14ac:dyDescent="0.35">
      <c r="A393" s="549">
        <v>3121</v>
      </c>
      <c r="B393" s="190" t="s">
        <v>164</v>
      </c>
      <c r="C393" s="190" t="s">
        <v>165</v>
      </c>
      <c r="D393" s="169" t="s">
        <v>111</v>
      </c>
      <c r="E393" s="193">
        <v>41745</v>
      </c>
      <c r="F393" s="180" t="s">
        <v>9</v>
      </c>
      <c r="G393" s="227">
        <v>715</v>
      </c>
    </row>
    <row r="394" spans="1:7" x14ac:dyDescent="0.35">
      <c r="A394" s="443">
        <v>1031</v>
      </c>
      <c r="B394" s="470" t="s">
        <v>357</v>
      </c>
      <c r="C394" s="470" t="s">
        <v>148</v>
      </c>
      <c r="D394" s="446" t="s">
        <v>111</v>
      </c>
      <c r="E394" s="377">
        <v>43151</v>
      </c>
      <c r="F394" s="180" t="s">
        <v>294</v>
      </c>
      <c r="G394" s="232">
        <v>500</v>
      </c>
    </row>
    <row r="395" spans="1:7" x14ac:dyDescent="0.35">
      <c r="A395" s="499">
        <v>3024</v>
      </c>
      <c r="B395" s="191" t="s">
        <v>403</v>
      </c>
      <c r="C395" s="191" t="s">
        <v>427</v>
      </c>
      <c r="D395" s="156" t="s">
        <v>110</v>
      </c>
      <c r="E395" s="188">
        <v>41828</v>
      </c>
      <c r="F395" s="180" t="s">
        <v>294</v>
      </c>
      <c r="G395" s="232">
        <v>500</v>
      </c>
    </row>
    <row r="396" spans="1:7" x14ac:dyDescent="0.35">
      <c r="A396" s="231">
        <v>4075</v>
      </c>
      <c r="B396" s="187" t="s">
        <v>169</v>
      </c>
      <c r="C396" s="187" t="s">
        <v>75</v>
      </c>
      <c r="D396" s="156" t="s">
        <v>111</v>
      </c>
      <c r="E396" s="188">
        <v>40958</v>
      </c>
      <c r="F396" s="180" t="s">
        <v>65</v>
      </c>
      <c r="G396" s="232" t="s">
        <v>776</v>
      </c>
    </row>
    <row r="397" spans="1:7" x14ac:dyDescent="0.35">
      <c r="A397" s="499">
        <v>3029</v>
      </c>
      <c r="B397" s="189" t="s">
        <v>119</v>
      </c>
      <c r="C397" s="189" t="s">
        <v>120</v>
      </c>
      <c r="D397" s="156" t="s">
        <v>110</v>
      </c>
      <c r="E397" s="188">
        <v>41772</v>
      </c>
      <c r="F397" s="180" t="s">
        <v>13</v>
      </c>
      <c r="G397" s="234" t="s">
        <v>126</v>
      </c>
    </row>
    <row r="398" spans="1:7" x14ac:dyDescent="0.35">
      <c r="A398" s="499">
        <v>3004</v>
      </c>
      <c r="B398" s="189" t="s">
        <v>716</v>
      </c>
      <c r="C398" s="189" t="s">
        <v>814</v>
      </c>
      <c r="D398" s="156" t="s">
        <v>111</v>
      </c>
      <c r="E398" s="188">
        <v>41984</v>
      </c>
      <c r="F398" s="180" t="s">
        <v>13</v>
      </c>
      <c r="G398" s="234" t="s">
        <v>126</v>
      </c>
    </row>
    <row r="399" spans="1:7" x14ac:dyDescent="0.35">
      <c r="A399" s="231">
        <v>4076</v>
      </c>
      <c r="B399" s="178" t="s">
        <v>849</v>
      </c>
      <c r="C399" s="178" t="s">
        <v>826</v>
      </c>
      <c r="D399" s="169" t="s">
        <v>111</v>
      </c>
      <c r="E399" s="179">
        <v>40624</v>
      </c>
      <c r="F399" s="180" t="s">
        <v>10</v>
      </c>
      <c r="G399" s="227">
        <v>597</v>
      </c>
    </row>
    <row r="400" spans="1:7" x14ac:dyDescent="0.35">
      <c r="A400" s="499">
        <v>2135</v>
      </c>
      <c r="B400" s="382" t="s">
        <v>841</v>
      </c>
      <c r="C400" s="382" t="s">
        <v>609</v>
      </c>
      <c r="D400" s="381" t="s">
        <v>111</v>
      </c>
      <c r="E400" s="383">
        <v>42183</v>
      </c>
      <c r="F400" s="378" t="s">
        <v>10</v>
      </c>
      <c r="G400" s="572">
        <v>500</v>
      </c>
    </row>
    <row r="401" spans="1:7" x14ac:dyDescent="0.35">
      <c r="A401" s="499">
        <v>2057</v>
      </c>
      <c r="B401" s="400" t="s">
        <v>805</v>
      </c>
      <c r="C401" s="396" t="s">
        <v>610</v>
      </c>
      <c r="D401" s="156" t="s">
        <v>111</v>
      </c>
      <c r="E401" s="377">
        <v>42350</v>
      </c>
      <c r="F401" s="378" t="s">
        <v>294</v>
      </c>
      <c r="G401" s="515" t="s">
        <v>126</v>
      </c>
    </row>
    <row r="402" spans="1:7" x14ac:dyDescent="0.35">
      <c r="A402" s="231">
        <v>4077</v>
      </c>
      <c r="B402" s="177" t="s">
        <v>777</v>
      </c>
      <c r="C402" s="186" t="s">
        <v>124</v>
      </c>
      <c r="D402" s="180" t="s">
        <v>111</v>
      </c>
      <c r="E402" s="152">
        <v>40544</v>
      </c>
      <c r="F402" s="180" t="s">
        <v>11</v>
      </c>
      <c r="G402" s="233">
        <v>500</v>
      </c>
    </row>
    <row r="403" spans="1:7" x14ac:dyDescent="0.35">
      <c r="A403" s="443">
        <v>1037</v>
      </c>
      <c r="B403" s="461" t="s">
        <v>358</v>
      </c>
      <c r="C403" s="461" t="s">
        <v>50</v>
      </c>
      <c r="D403" s="446" t="s">
        <v>111</v>
      </c>
      <c r="E403" s="153">
        <v>43090</v>
      </c>
      <c r="F403" s="180" t="s">
        <v>12</v>
      </c>
      <c r="G403" s="232">
        <v>500</v>
      </c>
    </row>
    <row r="404" spans="1:7" x14ac:dyDescent="0.35">
      <c r="A404" s="499">
        <v>2065</v>
      </c>
      <c r="B404" s="394" t="s">
        <v>534</v>
      </c>
      <c r="C404" s="394" t="s">
        <v>611</v>
      </c>
      <c r="D404" s="156" t="s">
        <v>111</v>
      </c>
      <c r="E404" s="377">
        <v>42284</v>
      </c>
      <c r="F404" s="378" t="s">
        <v>13</v>
      </c>
      <c r="G404" s="521" t="s">
        <v>126</v>
      </c>
    </row>
    <row r="405" spans="1:7" x14ac:dyDescent="0.35">
      <c r="A405" s="499">
        <v>2073</v>
      </c>
      <c r="B405" s="398" t="s">
        <v>535</v>
      </c>
      <c r="C405" s="398" t="s">
        <v>67</v>
      </c>
      <c r="D405" s="156" t="s">
        <v>111</v>
      </c>
      <c r="E405" s="377">
        <v>42249</v>
      </c>
      <c r="F405" s="378" t="s">
        <v>65</v>
      </c>
      <c r="G405" s="515" t="s">
        <v>126</v>
      </c>
    </row>
    <row r="406" spans="1:7" x14ac:dyDescent="0.35">
      <c r="A406" s="499">
        <v>2090</v>
      </c>
      <c r="B406" s="398" t="s">
        <v>536</v>
      </c>
      <c r="C406" s="398" t="s">
        <v>612</v>
      </c>
      <c r="D406" s="156" t="s">
        <v>111</v>
      </c>
      <c r="E406" s="399">
        <v>42154</v>
      </c>
      <c r="F406" s="378" t="s">
        <v>12</v>
      </c>
      <c r="G406" s="515">
        <v>500</v>
      </c>
    </row>
    <row r="407" spans="1:7" x14ac:dyDescent="0.35">
      <c r="A407" s="231">
        <v>4078</v>
      </c>
      <c r="B407" s="189" t="s">
        <v>257</v>
      </c>
      <c r="C407" s="189" t="s">
        <v>64</v>
      </c>
      <c r="D407" s="156" t="s">
        <v>111</v>
      </c>
      <c r="E407" s="188">
        <v>40522</v>
      </c>
      <c r="F407" s="180" t="s">
        <v>13</v>
      </c>
      <c r="G407" s="234" t="s">
        <v>126</v>
      </c>
    </row>
    <row r="408" spans="1:7" x14ac:dyDescent="0.35">
      <c r="A408" s="231">
        <v>4079</v>
      </c>
      <c r="B408" s="178" t="s">
        <v>778</v>
      </c>
      <c r="C408" s="178" t="s">
        <v>416</v>
      </c>
      <c r="D408" s="169" t="s">
        <v>110</v>
      </c>
      <c r="E408" s="179">
        <v>39279</v>
      </c>
      <c r="F408" s="180" t="s">
        <v>10</v>
      </c>
      <c r="G408" s="227">
        <v>500</v>
      </c>
    </row>
    <row r="409" spans="1:7" x14ac:dyDescent="0.35">
      <c r="A409" s="549">
        <v>3131</v>
      </c>
      <c r="B409" s="408" t="s">
        <v>160</v>
      </c>
      <c r="C409" s="408" t="s">
        <v>85</v>
      </c>
      <c r="D409" s="156" t="s">
        <v>111</v>
      </c>
      <c r="E409" s="611">
        <v>41627</v>
      </c>
      <c r="F409" s="378" t="s">
        <v>10</v>
      </c>
      <c r="G409" s="233">
        <v>500</v>
      </c>
    </row>
    <row r="410" spans="1:7" x14ac:dyDescent="0.35">
      <c r="A410" s="499">
        <v>2046</v>
      </c>
      <c r="B410" s="398" t="s">
        <v>537</v>
      </c>
      <c r="C410" s="398" t="s">
        <v>48</v>
      </c>
      <c r="D410" s="156" t="s">
        <v>111</v>
      </c>
      <c r="E410" s="377">
        <v>42399</v>
      </c>
      <c r="F410" s="378" t="s">
        <v>65</v>
      </c>
      <c r="G410" s="515" t="s">
        <v>126</v>
      </c>
    </row>
    <row r="411" spans="1:7" x14ac:dyDescent="0.35">
      <c r="A411" s="500">
        <v>3136</v>
      </c>
      <c r="B411" s="405" t="s">
        <v>717</v>
      </c>
      <c r="C411" s="405" t="s">
        <v>62</v>
      </c>
      <c r="D411" s="156" t="s">
        <v>111</v>
      </c>
      <c r="E411" s="188">
        <v>41862</v>
      </c>
      <c r="F411" s="180" t="s">
        <v>79</v>
      </c>
      <c r="G411" s="233">
        <v>500</v>
      </c>
    </row>
    <row r="412" spans="1:7" x14ac:dyDescent="0.35">
      <c r="A412" s="231">
        <v>4080</v>
      </c>
      <c r="B412" s="194" t="s">
        <v>779</v>
      </c>
      <c r="C412" s="186" t="s">
        <v>62</v>
      </c>
      <c r="D412" s="156" t="s">
        <v>111</v>
      </c>
      <c r="E412" s="188">
        <v>41273</v>
      </c>
      <c r="F412" s="180" t="s">
        <v>79</v>
      </c>
      <c r="G412" s="233">
        <v>500</v>
      </c>
    </row>
    <row r="413" spans="1:7" x14ac:dyDescent="0.35">
      <c r="A413" s="499">
        <v>3060</v>
      </c>
      <c r="B413" s="194" t="s">
        <v>538</v>
      </c>
      <c r="C413" s="186" t="s">
        <v>187</v>
      </c>
      <c r="D413" s="156" t="s">
        <v>111</v>
      </c>
      <c r="E413" s="188">
        <v>41435</v>
      </c>
      <c r="F413" s="180" t="s">
        <v>79</v>
      </c>
      <c r="G413" s="233">
        <v>500</v>
      </c>
    </row>
    <row r="414" spans="1:7" x14ac:dyDescent="0.35">
      <c r="A414" s="499">
        <v>2002</v>
      </c>
      <c r="B414" s="241" t="s">
        <v>538</v>
      </c>
      <c r="C414" s="242" t="s">
        <v>813</v>
      </c>
      <c r="D414" s="156" t="s">
        <v>111</v>
      </c>
      <c r="E414" s="377">
        <v>42720</v>
      </c>
      <c r="F414" s="378" t="s">
        <v>79</v>
      </c>
      <c r="G414" s="516">
        <v>500</v>
      </c>
    </row>
    <row r="415" spans="1:7" x14ac:dyDescent="0.35">
      <c r="A415" s="499">
        <v>2041</v>
      </c>
      <c r="B415" s="398" t="s">
        <v>539</v>
      </c>
      <c r="C415" s="398" t="s">
        <v>152</v>
      </c>
      <c r="D415" s="156" t="s">
        <v>111</v>
      </c>
      <c r="E415" s="377">
        <v>42444</v>
      </c>
      <c r="F415" s="378" t="s">
        <v>65</v>
      </c>
      <c r="G415" s="515" t="s">
        <v>126</v>
      </c>
    </row>
    <row r="416" spans="1:7" x14ac:dyDescent="0.35">
      <c r="A416" s="499">
        <v>2083</v>
      </c>
      <c r="B416" s="398" t="s">
        <v>359</v>
      </c>
      <c r="C416" s="398" t="s">
        <v>115</v>
      </c>
      <c r="D416" s="156" t="s">
        <v>111</v>
      </c>
      <c r="E416" s="377">
        <v>42205</v>
      </c>
      <c r="F416" s="378" t="s">
        <v>65</v>
      </c>
      <c r="G416" s="515" t="s">
        <v>126</v>
      </c>
    </row>
    <row r="417" spans="1:7" x14ac:dyDescent="0.35">
      <c r="A417" s="443">
        <v>1060</v>
      </c>
      <c r="B417" s="461" t="s">
        <v>359</v>
      </c>
      <c r="C417" s="461" t="s">
        <v>360</v>
      </c>
      <c r="D417" s="446" t="s">
        <v>111</v>
      </c>
      <c r="E417" s="377">
        <v>42802</v>
      </c>
      <c r="F417" s="180" t="s">
        <v>65</v>
      </c>
      <c r="G417" s="232">
        <v>500</v>
      </c>
    </row>
    <row r="418" spans="1:7" x14ac:dyDescent="0.35">
      <c r="A418" s="499">
        <v>2140</v>
      </c>
      <c r="B418" s="382" t="s">
        <v>540</v>
      </c>
      <c r="C418" s="382" t="s">
        <v>124</v>
      </c>
      <c r="D418" s="381" t="s">
        <v>111</v>
      </c>
      <c r="E418" s="383">
        <v>42072</v>
      </c>
      <c r="F418" s="378" t="s">
        <v>10</v>
      </c>
      <c r="G418" s="572">
        <v>500</v>
      </c>
    </row>
    <row r="419" spans="1:7" x14ac:dyDescent="0.35">
      <c r="A419" s="499">
        <v>2055</v>
      </c>
      <c r="B419" s="400" t="s">
        <v>174</v>
      </c>
      <c r="C419" s="396" t="s">
        <v>91</v>
      </c>
      <c r="D419" s="156" t="s">
        <v>111</v>
      </c>
      <c r="E419" s="377">
        <v>42351</v>
      </c>
      <c r="F419" s="378" t="s">
        <v>294</v>
      </c>
      <c r="G419" s="515" t="s">
        <v>126</v>
      </c>
    </row>
    <row r="420" spans="1:7" x14ac:dyDescent="0.35">
      <c r="A420" s="499">
        <v>3047</v>
      </c>
      <c r="B420" s="189" t="s">
        <v>718</v>
      </c>
      <c r="C420" s="189" t="s">
        <v>719</v>
      </c>
      <c r="D420" s="156" t="s">
        <v>111</v>
      </c>
      <c r="E420" s="188">
        <v>41652</v>
      </c>
      <c r="F420" s="180" t="s">
        <v>13</v>
      </c>
      <c r="G420" s="234" t="s">
        <v>126</v>
      </c>
    </row>
    <row r="421" spans="1:7" x14ac:dyDescent="0.35">
      <c r="A421" s="231">
        <v>4081</v>
      </c>
      <c r="B421" s="189" t="s">
        <v>780</v>
      </c>
      <c r="C421" s="189" t="s">
        <v>256</v>
      </c>
      <c r="D421" s="156" t="s">
        <v>111</v>
      </c>
      <c r="E421" s="188">
        <v>41009</v>
      </c>
      <c r="F421" s="180" t="s">
        <v>13</v>
      </c>
      <c r="G421" s="234" t="s">
        <v>126</v>
      </c>
    </row>
    <row r="422" spans="1:7" x14ac:dyDescent="0.35">
      <c r="A422" s="231">
        <v>4082</v>
      </c>
      <c r="B422" s="190" t="s">
        <v>541</v>
      </c>
      <c r="C422" s="190" t="s">
        <v>202</v>
      </c>
      <c r="D422" s="169" t="s">
        <v>111</v>
      </c>
      <c r="E422" s="193">
        <v>40909</v>
      </c>
      <c r="F422" s="180" t="s">
        <v>9</v>
      </c>
      <c r="G422" s="227">
        <v>500</v>
      </c>
    </row>
    <row r="423" spans="1:7" x14ac:dyDescent="0.35">
      <c r="A423" s="499">
        <v>2172</v>
      </c>
      <c r="B423" s="391" t="s">
        <v>541</v>
      </c>
      <c r="C423" s="391" t="s">
        <v>62</v>
      </c>
      <c r="D423" s="381" t="s">
        <v>111</v>
      </c>
      <c r="E423" s="193">
        <v>42256</v>
      </c>
      <c r="F423" s="378" t="s">
        <v>9</v>
      </c>
      <c r="G423" s="572">
        <v>500</v>
      </c>
    </row>
    <row r="424" spans="1:7" x14ac:dyDescent="0.35">
      <c r="A424" s="549">
        <v>3088</v>
      </c>
      <c r="B424" s="178" t="s">
        <v>258</v>
      </c>
      <c r="C424" s="178" t="s">
        <v>844</v>
      </c>
      <c r="D424" s="169" t="s">
        <v>111</v>
      </c>
      <c r="E424" s="184">
        <v>41855</v>
      </c>
      <c r="F424" s="180" t="s">
        <v>77</v>
      </c>
      <c r="G424" s="227">
        <v>500</v>
      </c>
    </row>
    <row r="425" spans="1:7" x14ac:dyDescent="0.35">
      <c r="A425" s="443">
        <v>1045</v>
      </c>
      <c r="B425" s="461" t="s">
        <v>361</v>
      </c>
      <c r="C425" s="461" t="s">
        <v>362</v>
      </c>
      <c r="D425" s="446" t="s">
        <v>111</v>
      </c>
      <c r="E425" s="377">
        <v>43031</v>
      </c>
      <c r="F425" s="180" t="s">
        <v>37</v>
      </c>
      <c r="G425" s="232">
        <v>500</v>
      </c>
    </row>
    <row r="426" spans="1:7" x14ac:dyDescent="0.35">
      <c r="A426" s="499">
        <v>2173</v>
      </c>
      <c r="B426" s="391" t="s">
        <v>542</v>
      </c>
      <c r="C426" s="391" t="s">
        <v>613</v>
      </c>
      <c r="D426" s="381" t="s">
        <v>111</v>
      </c>
      <c r="E426" s="193">
        <v>42087</v>
      </c>
      <c r="F426" s="378" t="s">
        <v>9</v>
      </c>
      <c r="G426" s="572">
        <v>500</v>
      </c>
    </row>
    <row r="427" spans="1:7" x14ac:dyDescent="0.35">
      <c r="A427" s="443">
        <v>1008</v>
      </c>
      <c r="B427" s="460" t="s">
        <v>363</v>
      </c>
      <c r="C427" s="460" t="s">
        <v>339</v>
      </c>
      <c r="D427" s="446" t="s">
        <v>110</v>
      </c>
      <c r="E427" s="188">
        <v>43645</v>
      </c>
      <c r="F427" s="180" t="s">
        <v>13</v>
      </c>
      <c r="G427" s="234" t="s">
        <v>126</v>
      </c>
    </row>
    <row r="428" spans="1:7" x14ac:dyDescent="0.35">
      <c r="A428" s="231">
        <v>4083</v>
      </c>
      <c r="B428" s="187" t="s">
        <v>406</v>
      </c>
      <c r="C428" s="187" t="s">
        <v>431</v>
      </c>
      <c r="D428" s="156" t="s">
        <v>110</v>
      </c>
      <c r="E428" s="153">
        <v>41269</v>
      </c>
      <c r="F428" s="180" t="s">
        <v>12</v>
      </c>
      <c r="G428" s="232">
        <v>500</v>
      </c>
    </row>
    <row r="429" spans="1:7" x14ac:dyDescent="0.35">
      <c r="A429" s="443">
        <v>1067</v>
      </c>
      <c r="B429" s="454" t="s">
        <v>364</v>
      </c>
      <c r="C429" s="454" t="s">
        <v>365</v>
      </c>
      <c r="D429" s="478" t="s">
        <v>110</v>
      </c>
      <c r="E429" s="349">
        <v>43332</v>
      </c>
      <c r="F429" s="181" t="s">
        <v>77</v>
      </c>
      <c r="G429" s="227">
        <v>500</v>
      </c>
    </row>
    <row r="430" spans="1:7" x14ac:dyDescent="0.35">
      <c r="A430" s="443">
        <v>1052</v>
      </c>
      <c r="B430" s="470" t="s">
        <v>827</v>
      </c>
      <c r="C430" s="470" t="s">
        <v>366</v>
      </c>
      <c r="D430" s="446" t="s">
        <v>110</v>
      </c>
      <c r="E430" s="188">
        <v>42878</v>
      </c>
      <c r="F430" s="180" t="s">
        <v>294</v>
      </c>
      <c r="G430" s="232" t="s">
        <v>126</v>
      </c>
    </row>
    <row r="431" spans="1:7" x14ac:dyDescent="0.35">
      <c r="A431" s="499">
        <v>3133</v>
      </c>
      <c r="B431" s="186" t="s">
        <v>175</v>
      </c>
      <c r="C431" s="190" t="s">
        <v>152</v>
      </c>
      <c r="D431" s="156" t="s">
        <v>111</v>
      </c>
      <c r="E431" s="153">
        <v>41823</v>
      </c>
      <c r="F431" s="180" t="s">
        <v>294</v>
      </c>
      <c r="G431" s="227">
        <v>500</v>
      </c>
    </row>
    <row r="432" spans="1:7" x14ac:dyDescent="0.35">
      <c r="A432" s="499">
        <v>2087</v>
      </c>
      <c r="B432" s="394" t="s">
        <v>543</v>
      </c>
      <c r="C432" s="394" t="s">
        <v>614</v>
      </c>
      <c r="D432" s="156" t="s">
        <v>111</v>
      </c>
      <c r="E432" s="377">
        <v>42183</v>
      </c>
      <c r="F432" s="378" t="s">
        <v>13</v>
      </c>
      <c r="G432" s="521" t="s">
        <v>126</v>
      </c>
    </row>
    <row r="433" spans="1:7" x14ac:dyDescent="0.35">
      <c r="A433" s="499">
        <v>2062</v>
      </c>
      <c r="B433" s="398" t="s">
        <v>544</v>
      </c>
      <c r="C433" s="398" t="s">
        <v>615</v>
      </c>
      <c r="D433" s="156" t="s">
        <v>111</v>
      </c>
      <c r="E433" s="377">
        <v>42306</v>
      </c>
      <c r="F433" s="378" t="s">
        <v>65</v>
      </c>
      <c r="G433" s="515" t="s">
        <v>126</v>
      </c>
    </row>
    <row r="434" spans="1:7" x14ac:dyDescent="0.35">
      <c r="A434" s="499">
        <v>2027</v>
      </c>
      <c r="B434" s="400" t="s">
        <v>810</v>
      </c>
      <c r="C434" s="396" t="s">
        <v>61</v>
      </c>
      <c r="D434" s="156" t="s">
        <v>111</v>
      </c>
      <c r="E434" s="377">
        <v>42550</v>
      </c>
      <c r="F434" s="378" t="s">
        <v>294</v>
      </c>
      <c r="G434" s="515" t="s">
        <v>126</v>
      </c>
    </row>
    <row r="435" spans="1:7" x14ac:dyDescent="0.35">
      <c r="A435" s="499">
        <v>2045</v>
      </c>
      <c r="B435" s="241" t="s">
        <v>545</v>
      </c>
      <c r="C435" s="242" t="s">
        <v>94</v>
      </c>
      <c r="D435" s="156" t="s">
        <v>111</v>
      </c>
      <c r="E435" s="377">
        <v>42408</v>
      </c>
      <c r="F435" s="378" t="s">
        <v>79</v>
      </c>
      <c r="G435" s="516">
        <v>500</v>
      </c>
    </row>
    <row r="436" spans="1:7" x14ac:dyDescent="0.35">
      <c r="A436" s="231">
        <v>4084</v>
      </c>
      <c r="B436" s="190" t="s">
        <v>221</v>
      </c>
      <c r="C436" s="190" t="s">
        <v>98</v>
      </c>
      <c r="D436" s="169" t="s">
        <v>111</v>
      </c>
      <c r="E436" s="193">
        <v>39896</v>
      </c>
      <c r="F436" s="180" t="s">
        <v>9</v>
      </c>
      <c r="G436" s="227">
        <v>1146</v>
      </c>
    </row>
    <row r="437" spans="1:7" x14ac:dyDescent="0.35">
      <c r="A437" s="499">
        <v>2174</v>
      </c>
      <c r="B437" s="190" t="s">
        <v>221</v>
      </c>
      <c r="C437" s="391" t="s">
        <v>222</v>
      </c>
      <c r="D437" s="446" t="s">
        <v>110</v>
      </c>
      <c r="E437" s="193">
        <v>42288</v>
      </c>
      <c r="F437" s="378" t="s">
        <v>9</v>
      </c>
      <c r="G437" s="572">
        <v>500</v>
      </c>
    </row>
    <row r="438" spans="1:7" x14ac:dyDescent="0.35">
      <c r="A438" s="443">
        <v>1084</v>
      </c>
      <c r="B438" s="454" t="s">
        <v>367</v>
      </c>
      <c r="C438" s="454" t="s">
        <v>85</v>
      </c>
      <c r="D438" s="446" t="s">
        <v>111</v>
      </c>
      <c r="E438" s="193">
        <v>43371</v>
      </c>
      <c r="F438" s="181" t="s">
        <v>9</v>
      </c>
      <c r="G438" s="227">
        <v>500</v>
      </c>
    </row>
    <row r="439" spans="1:7" x14ac:dyDescent="0.35">
      <c r="A439" s="499">
        <v>2094</v>
      </c>
      <c r="B439" s="241" t="s">
        <v>546</v>
      </c>
      <c r="C439" s="242" t="s">
        <v>73</v>
      </c>
      <c r="D439" s="156" t="s">
        <v>111</v>
      </c>
      <c r="E439" s="377">
        <v>42118</v>
      </c>
      <c r="F439" s="378" t="s">
        <v>79</v>
      </c>
      <c r="G439" s="516">
        <v>500</v>
      </c>
    </row>
    <row r="440" spans="1:7" x14ac:dyDescent="0.35">
      <c r="A440" s="549">
        <v>3097</v>
      </c>
      <c r="B440" s="178" t="s">
        <v>720</v>
      </c>
      <c r="C440" s="178" t="s">
        <v>721</v>
      </c>
      <c r="D440" s="169" t="s">
        <v>111</v>
      </c>
      <c r="E440" s="179">
        <v>41639</v>
      </c>
      <c r="F440" s="180" t="s">
        <v>10</v>
      </c>
      <c r="G440" s="227">
        <v>500</v>
      </c>
    </row>
    <row r="441" spans="1:7" x14ac:dyDescent="0.35">
      <c r="A441" s="231">
        <v>4085</v>
      </c>
      <c r="B441" s="190" t="s">
        <v>240</v>
      </c>
      <c r="C441" s="190" t="s">
        <v>241</v>
      </c>
      <c r="D441" s="169" t="s">
        <v>111</v>
      </c>
      <c r="E441" s="193">
        <v>40207</v>
      </c>
      <c r="F441" s="180" t="s">
        <v>9</v>
      </c>
      <c r="G441" s="227">
        <v>967</v>
      </c>
    </row>
    <row r="442" spans="1:7" x14ac:dyDescent="0.35">
      <c r="A442" s="499">
        <v>3044</v>
      </c>
      <c r="B442" s="191" t="s">
        <v>547</v>
      </c>
      <c r="C442" s="191" t="s">
        <v>70</v>
      </c>
      <c r="D442" s="156" t="s">
        <v>111</v>
      </c>
      <c r="E442" s="188">
        <v>41660</v>
      </c>
      <c r="F442" s="197" t="s">
        <v>66</v>
      </c>
      <c r="G442" s="236">
        <v>500</v>
      </c>
    </row>
    <row r="443" spans="1:7" x14ac:dyDescent="0.35">
      <c r="A443" s="499">
        <v>2011</v>
      </c>
      <c r="B443" s="400" t="s">
        <v>547</v>
      </c>
      <c r="C443" s="400" t="s">
        <v>816</v>
      </c>
      <c r="D443" s="156" t="s">
        <v>111</v>
      </c>
      <c r="E443" s="377">
        <v>42669</v>
      </c>
      <c r="F443" s="378" t="s">
        <v>66</v>
      </c>
      <c r="G443" s="606">
        <v>500</v>
      </c>
    </row>
    <row r="444" spans="1:7" x14ac:dyDescent="0.35">
      <c r="A444" s="549">
        <v>3089</v>
      </c>
      <c r="B444" s="178" t="s">
        <v>722</v>
      </c>
      <c r="C444" s="178" t="s">
        <v>82</v>
      </c>
      <c r="D444" s="169" t="s">
        <v>111</v>
      </c>
      <c r="E444" s="184">
        <v>41313</v>
      </c>
      <c r="F444" s="180" t="s">
        <v>77</v>
      </c>
      <c r="G444" s="227">
        <v>500</v>
      </c>
    </row>
    <row r="445" spans="1:7" x14ac:dyDescent="0.35">
      <c r="A445" s="549">
        <v>3122</v>
      </c>
      <c r="B445" s="190" t="s">
        <v>236</v>
      </c>
      <c r="C445" s="190" t="s">
        <v>47</v>
      </c>
      <c r="D445" s="169" t="s">
        <v>111</v>
      </c>
      <c r="E445" s="193">
        <v>41375</v>
      </c>
      <c r="F445" s="180" t="s">
        <v>9</v>
      </c>
      <c r="G445" s="227">
        <v>512</v>
      </c>
    </row>
    <row r="446" spans="1:7" x14ac:dyDescent="0.35">
      <c r="A446" s="499">
        <v>3009</v>
      </c>
      <c r="B446" s="191" t="s">
        <v>723</v>
      </c>
      <c r="C446" s="192" t="s">
        <v>724</v>
      </c>
      <c r="D446" s="156" t="s">
        <v>111</v>
      </c>
      <c r="E446" s="188">
        <v>41949</v>
      </c>
      <c r="F446" s="180" t="s">
        <v>294</v>
      </c>
      <c r="G446" s="232" t="s">
        <v>126</v>
      </c>
    </row>
    <row r="447" spans="1:7" x14ac:dyDescent="0.35">
      <c r="A447" s="499">
        <v>3065</v>
      </c>
      <c r="B447" s="189" t="s">
        <v>725</v>
      </c>
      <c r="C447" s="189" t="s">
        <v>726</v>
      </c>
      <c r="D447" s="156" t="s">
        <v>111</v>
      </c>
      <c r="E447" s="188">
        <v>41404</v>
      </c>
      <c r="F447" s="180" t="s">
        <v>13</v>
      </c>
      <c r="G447" s="232">
        <v>500</v>
      </c>
    </row>
    <row r="448" spans="1:7" x14ac:dyDescent="0.35">
      <c r="A448" s="499">
        <v>3000</v>
      </c>
      <c r="B448" s="189" t="s">
        <v>727</v>
      </c>
      <c r="C448" s="189" t="s">
        <v>728</v>
      </c>
      <c r="D448" s="156" t="s">
        <v>111</v>
      </c>
      <c r="E448" s="188">
        <v>42003</v>
      </c>
      <c r="F448" s="180" t="s">
        <v>13</v>
      </c>
      <c r="G448" s="232" t="s">
        <v>126</v>
      </c>
    </row>
    <row r="449" spans="1:7" x14ac:dyDescent="0.35">
      <c r="A449" s="499">
        <v>2014</v>
      </c>
      <c r="B449" s="398" t="s">
        <v>548</v>
      </c>
      <c r="C449" s="398" t="s">
        <v>173</v>
      </c>
      <c r="D449" s="156" t="s">
        <v>111</v>
      </c>
      <c r="E449" s="377">
        <v>42660</v>
      </c>
      <c r="F449" s="378" t="s">
        <v>65</v>
      </c>
      <c r="G449" s="515" t="s">
        <v>126</v>
      </c>
    </row>
    <row r="450" spans="1:7" x14ac:dyDescent="0.35">
      <c r="A450" s="499">
        <v>3067</v>
      </c>
      <c r="B450" s="191" t="s">
        <v>729</v>
      </c>
      <c r="C450" s="191" t="s">
        <v>320</v>
      </c>
      <c r="D450" s="156" t="s">
        <v>111</v>
      </c>
      <c r="E450" s="188">
        <v>41378</v>
      </c>
      <c r="F450" s="197" t="s">
        <v>66</v>
      </c>
      <c r="G450" s="236">
        <v>500</v>
      </c>
    </row>
    <row r="451" spans="1:7" x14ac:dyDescent="0.35">
      <c r="A451" s="499">
        <v>2133</v>
      </c>
      <c r="B451" s="382" t="s">
        <v>549</v>
      </c>
      <c r="C451" s="382" t="s">
        <v>220</v>
      </c>
      <c r="D451" s="381" t="s">
        <v>111</v>
      </c>
      <c r="E451" s="383">
        <v>42141</v>
      </c>
      <c r="F451" s="378" t="s">
        <v>10</v>
      </c>
      <c r="G451" s="572">
        <v>526</v>
      </c>
    </row>
    <row r="452" spans="1:7" x14ac:dyDescent="0.35">
      <c r="A452" s="443">
        <v>1001</v>
      </c>
      <c r="B452" s="460" t="s">
        <v>368</v>
      </c>
      <c r="C452" s="460" t="s">
        <v>153</v>
      </c>
      <c r="D452" s="446" t="s">
        <v>111</v>
      </c>
      <c r="E452" s="188">
        <v>44497</v>
      </c>
      <c r="F452" s="180" t="s">
        <v>13</v>
      </c>
      <c r="G452" s="234" t="s">
        <v>126</v>
      </c>
    </row>
    <row r="453" spans="1:7" x14ac:dyDescent="0.35">
      <c r="A453" s="443">
        <v>1085</v>
      </c>
      <c r="B453" s="454" t="s">
        <v>369</v>
      </c>
      <c r="C453" s="454" t="s">
        <v>370</v>
      </c>
      <c r="D453" s="446" t="s">
        <v>111</v>
      </c>
      <c r="E453" s="193">
        <v>43268</v>
      </c>
      <c r="F453" s="181" t="s">
        <v>9</v>
      </c>
      <c r="G453" s="227">
        <v>500</v>
      </c>
    </row>
    <row r="454" spans="1:7" x14ac:dyDescent="0.35">
      <c r="A454" s="549">
        <v>3123</v>
      </c>
      <c r="B454" s="190" t="s">
        <v>237</v>
      </c>
      <c r="C454" s="190" t="s">
        <v>238</v>
      </c>
      <c r="D454" s="169" t="s">
        <v>111</v>
      </c>
      <c r="E454" s="193">
        <v>41509</v>
      </c>
      <c r="F454" s="180" t="s">
        <v>9</v>
      </c>
      <c r="G454" s="227">
        <v>500</v>
      </c>
    </row>
    <row r="455" spans="1:7" x14ac:dyDescent="0.35">
      <c r="A455" s="499">
        <v>3028</v>
      </c>
      <c r="B455" s="189" t="s">
        <v>129</v>
      </c>
      <c r="C455" s="189" t="s">
        <v>130</v>
      </c>
      <c r="D455" s="156" t="s">
        <v>111</v>
      </c>
      <c r="E455" s="188">
        <v>41773</v>
      </c>
      <c r="F455" s="180" t="s">
        <v>13</v>
      </c>
      <c r="G455" s="232">
        <v>619</v>
      </c>
    </row>
    <row r="456" spans="1:7" x14ac:dyDescent="0.35">
      <c r="A456" s="499">
        <v>2051</v>
      </c>
      <c r="B456" s="394" t="s">
        <v>550</v>
      </c>
      <c r="C456" s="394" t="s">
        <v>152</v>
      </c>
      <c r="D456" s="156" t="s">
        <v>111</v>
      </c>
      <c r="E456" s="377">
        <v>42382</v>
      </c>
      <c r="F456" s="378" t="s">
        <v>13</v>
      </c>
      <c r="G456" s="521" t="s">
        <v>624</v>
      </c>
    </row>
    <row r="457" spans="1:7" x14ac:dyDescent="0.35">
      <c r="A457" s="499">
        <v>3069</v>
      </c>
      <c r="B457" s="191" t="s">
        <v>730</v>
      </c>
      <c r="C457" s="192" t="s">
        <v>320</v>
      </c>
      <c r="D457" s="156" t="s">
        <v>111</v>
      </c>
      <c r="E457" s="188">
        <v>41373</v>
      </c>
      <c r="F457" s="180" t="s">
        <v>294</v>
      </c>
      <c r="G457" s="232">
        <v>500</v>
      </c>
    </row>
    <row r="458" spans="1:7" x14ac:dyDescent="0.35">
      <c r="A458" s="499">
        <v>2077</v>
      </c>
      <c r="B458" s="394" t="s">
        <v>371</v>
      </c>
      <c r="C458" s="394" t="s">
        <v>839</v>
      </c>
      <c r="D458" s="156" t="s">
        <v>111</v>
      </c>
      <c r="E458" s="377">
        <v>42229</v>
      </c>
      <c r="F458" s="378" t="s">
        <v>13</v>
      </c>
      <c r="G458" s="521" t="s">
        <v>126</v>
      </c>
    </row>
    <row r="459" spans="1:7" x14ac:dyDescent="0.35">
      <c r="A459" s="443">
        <v>1026</v>
      </c>
      <c r="B459" s="460" t="s">
        <v>371</v>
      </c>
      <c r="C459" s="460" t="s">
        <v>372</v>
      </c>
      <c r="D459" s="446" t="s">
        <v>111</v>
      </c>
      <c r="E459" s="188">
        <v>43218</v>
      </c>
      <c r="F459" s="180" t="s">
        <v>13</v>
      </c>
      <c r="G459" s="234" t="s">
        <v>126</v>
      </c>
    </row>
    <row r="460" spans="1:7" x14ac:dyDescent="0.35">
      <c r="A460" s="499">
        <v>2008</v>
      </c>
      <c r="B460" s="398" t="s">
        <v>551</v>
      </c>
      <c r="C460" s="398" t="s">
        <v>52</v>
      </c>
      <c r="D460" s="156" t="s">
        <v>111</v>
      </c>
      <c r="E460" s="399">
        <v>42688</v>
      </c>
      <c r="F460" s="378" t="s">
        <v>12</v>
      </c>
      <c r="G460" s="515">
        <v>500</v>
      </c>
    </row>
    <row r="461" spans="1:7" x14ac:dyDescent="0.35">
      <c r="A461" s="500">
        <v>2186</v>
      </c>
      <c r="B461" s="495" t="s">
        <v>565</v>
      </c>
      <c r="C461" s="408" t="s">
        <v>47</v>
      </c>
      <c r="D461" s="156" t="s">
        <v>111</v>
      </c>
      <c r="E461" s="409">
        <v>42050</v>
      </c>
      <c r="F461" s="378" t="s">
        <v>66</v>
      </c>
      <c r="G461" s="609"/>
    </row>
    <row r="462" spans="1:7" x14ac:dyDescent="0.35">
      <c r="A462" s="549">
        <v>3124</v>
      </c>
      <c r="B462" s="190" t="s">
        <v>373</v>
      </c>
      <c r="C462" s="190" t="s">
        <v>843</v>
      </c>
      <c r="D462" s="169" t="s">
        <v>110</v>
      </c>
      <c r="E462" s="193">
        <v>41809</v>
      </c>
      <c r="F462" s="180" t="s">
        <v>9</v>
      </c>
      <c r="G462" s="227">
        <v>500</v>
      </c>
    </row>
    <row r="463" spans="1:7" x14ac:dyDescent="0.35">
      <c r="A463" s="443">
        <v>1086</v>
      </c>
      <c r="B463" s="454" t="s">
        <v>373</v>
      </c>
      <c r="C463" s="454" t="s">
        <v>62</v>
      </c>
      <c r="D463" s="446" t="s">
        <v>111</v>
      </c>
      <c r="E463" s="193">
        <v>42820</v>
      </c>
      <c r="F463" s="181" t="s">
        <v>9</v>
      </c>
      <c r="G463" s="227">
        <v>501</v>
      </c>
    </row>
    <row r="464" spans="1:7" x14ac:dyDescent="0.35">
      <c r="A464" s="499">
        <v>3072</v>
      </c>
      <c r="B464" s="191" t="s">
        <v>731</v>
      </c>
      <c r="C464" s="192" t="s">
        <v>595</v>
      </c>
      <c r="D464" s="156" t="s">
        <v>111</v>
      </c>
      <c r="E464" s="188">
        <v>41345</v>
      </c>
      <c r="F464" s="180" t="s">
        <v>294</v>
      </c>
      <c r="G464" s="232" t="s">
        <v>126</v>
      </c>
    </row>
    <row r="465" spans="1:7" x14ac:dyDescent="0.35">
      <c r="A465" s="443">
        <v>1042</v>
      </c>
      <c r="B465" s="470" t="s">
        <v>374</v>
      </c>
      <c r="C465" s="470" t="s">
        <v>64</v>
      </c>
      <c r="D465" s="446" t="s">
        <v>111</v>
      </c>
      <c r="E465" s="377">
        <v>43037</v>
      </c>
      <c r="F465" s="180" t="s">
        <v>294</v>
      </c>
      <c r="G465" s="232">
        <v>500</v>
      </c>
    </row>
    <row r="466" spans="1:7" x14ac:dyDescent="0.35">
      <c r="A466" s="499">
        <v>2097</v>
      </c>
      <c r="B466" s="394" t="s">
        <v>552</v>
      </c>
      <c r="C466" s="394" t="s">
        <v>113</v>
      </c>
      <c r="D466" s="156" t="s">
        <v>111</v>
      </c>
      <c r="E466" s="377">
        <v>42104</v>
      </c>
      <c r="F466" s="378" t="s">
        <v>13</v>
      </c>
      <c r="G466" s="521" t="s">
        <v>126</v>
      </c>
    </row>
    <row r="467" spans="1:7" x14ac:dyDescent="0.35">
      <c r="A467" s="443">
        <v>1039</v>
      </c>
      <c r="B467" s="461" t="s">
        <v>375</v>
      </c>
      <c r="C467" s="461" t="s">
        <v>181</v>
      </c>
      <c r="D467" s="446" t="s">
        <v>111</v>
      </c>
      <c r="E467" s="399">
        <v>43081</v>
      </c>
      <c r="F467" s="180" t="s">
        <v>12</v>
      </c>
      <c r="G467" s="232">
        <v>500</v>
      </c>
    </row>
    <row r="468" spans="1:7" x14ac:dyDescent="0.35">
      <c r="A468" s="231">
        <v>4086</v>
      </c>
      <c r="B468" s="191" t="s">
        <v>848</v>
      </c>
      <c r="C468" s="192" t="s">
        <v>50</v>
      </c>
      <c r="D468" s="156" t="s">
        <v>111</v>
      </c>
      <c r="E468" s="188">
        <v>40610</v>
      </c>
      <c r="F468" s="180" t="s">
        <v>294</v>
      </c>
      <c r="G468" s="232" t="s">
        <v>126</v>
      </c>
    </row>
    <row r="469" spans="1:7" x14ac:dyDescent="0.35">
      <c r="A469" s="499">
        <v>3062</v>
      </c>
      <c r="B469" s="189" t="s">
        <v>254</v>
      </c>
      <c r="C469" s="189" t="s">
        <v>732</v>
      </c>
      <c r="D469" s="156" t="s">
        <v>111</v>
      </c>
      <c r="E469" s="188">
        <v>41422</v>
      </c>
      <c r="F469" s="180" t="s">
        <v>13</v>
      </c>
      <c r="G469" s="232" t="s">
        <v>126</v>
      </c>
    </row>
    <row r="470" spans="1:7" x14ac:dyDescent="0.35">
      <c r="A470" s="612">
        <v>2023</v>
      </c>
      <c r="B470" s="613" t="s">
        <v>254</v>
      </c>
      <c r="C470" s="614" t="s">
        <v>183</v>
      </c>
      <c r="D470" s="615" t="s">
        <v>111</v>
      </c>
      <c r="E470" s="616">
        <v>42570</v>
      </c>
      <c r="F470" s="378" t="s">
        <v>13</v>
      </c>
      <c r="G470" s="617" t="s">
        <v>625</v>
      </c>
    </row>
    <row r="471" spans="1:7" x14ac:dyDescent="0.35">
      <c r="A471" s="231">
        <v>4087</v>
      </c>
      <c r="B471" s="186" t="s">
        <v>184</v>
      </c>
      <c r="C471" s="186" t="s">
        <v>88</v>
      </c>
      <c r="D471" s="156" t="s">
        <v>111</v>
      </c>
      <c r="E471" s="153">
        <v>40479</v>
      </c>
      <c r="F471" s="180" t="s">
        <v>294</v>
      </c>
      <c r="G471" s="227">
        <v>500</v>
      </c>
    </row>
    <row r="472" spans="1:7" x14ac:dyDescent="0.35">
      <c r="A472" s="443">
        <v>1087</v>
      </c>
      <c r="B472" s="454" t="s">
        <v>376</v>
      </c>
      <c r="C472" s="454" t="s">
        <v>377</v>
      </c>
      <c r="D472" s="446" t="s">
        <v>111</v>
      </c>
      <c r="E472" s="193">
        <v>43406</v>
      </c>
      <c r="F472" s="181" t="s">
        <v>9</v>
      </c>
      <c r="G472" s="227">
        <v>500</v>
      </c>
    </row>
    <row r="473" spans="1:7" x14ac:dyDescent="0.35">
      <c r="A473" s="499">
        <v>2175</v>
      </c>
      <c r="B473" s="391" t="s">
        <v>553</v>
      </c>
      <c r="C473" s="391" t="s">
        <v>50</v>
      </c>
      <c r="D473" s="381" t="s">
        <v>111</v>
      </c>
      <c r="E473" s="193">
        <v>42408</v>
      </c>
      <c r="F473" s="378" t="s">
        <v>9</v>
      </c>
      <c r="G473" s="572">
        <v>500</v>
      </c>
    </row>
    <row r="474" spans="1:7" x14ac:dyDescent="0.35">
      <c r="A474" s="499">
        <v>3040</v>
      </c>
      <c r="B474" s="189" t="s">
        <v>733</v>
      </c>
      <c r="C474" s="189" t="s">
        <v>684</v>
      </c>
      <c r="D474" s="156" t="s">
        <v>111</v>
      </c>
      <c r="E474" s="188">
        <v>41705</v>
      </c>
      <c r="F474" s="180" t="s">
        <v>13</v>
      </c>
      <c r="G474" s="232" t="s">
        <v>126</v>
      </c>
    </row>
    <row r="475" spans="1:7" x14ac:dyDescent="0.35">
      <c r="A475" s="499">
        <v>3002</v>
      </c>
      <c r="B475" s="191" t="s">
        <v>734</v>
      </c>
      <c r="C475" s="191" t="s">
        <v>735</v>
      </c>
      <c r="D475" s="156" t="s">
        <v>111</v>
      </c>
      <c r="E475" s="188">
        <v>41986</v>
      </c>
      <c r="F475" s="197" t="s">
        <v>66</v>
      </c>
      <c r="G475" s="236">
        <v>563</v>
      </c>
    </row>
    <row r="476" spans="1:7" x14ac:dyDescent="0.35">
      <c r="A476" s="231">
        <v>4089</v>
      </c>
      <c r="B476" s="189" t="s">
        <v>133</v>
      </c>
      <c r="C476" s="189" t="s">
        <v>781</v>
      </c>
      <c r="D476" s="156" t="s">
        <v>111</v>
      </c>
      <c r="E476" s="188">
        <v>41117</v>
      </c>
      <c r="F476" s="180" t="s">
        <v>13</v>
      </c>
      <c r="G476" s="234" t="s">
        <v>126</v>
      </c>
    </row>
    <row r="477" spans="1:7" x14ac:dyDescent="0.35">
      <c r="A477" s="231">
        <v>4088</v>
      </c>
      <c r="B477" s="189" t="s">
        <v>133</v>
      </c>
      <c r="C477" s="189" t="s">
        <v>301</v>
      </c>
      <c r="D477" s="156" t="s">
        <v>111</v>
      </c>
      <c r="E477" s="188">
        <v>40050</v>
      </c>
      <c r="F477" s="180" t="s">
        <v>13</v>
      </c>
      <c r="G477" s="234" t="s">
        <v>126</v>
      </c>
    </row>
    <row r="478" spans="1:7" x14ac:dyDescent="0.35">
      <c r="A478" s="499">
        <v>2131</v>
      </c>
      <c r="B478" s="382" t="s">
        <v>807</v>
      </c>
      <c r="C478" s="382" t="s">
        <v>616</v>
      </c>
      <c r="D478" s="381" t="s">
        <v>111</v>
      </c>
      <c r="E478" s="383">
        <v>42033</v>
      </c>
      <c r="F478" s="378" t="s">
        <v>10</v>
      </c>
      <c r="G478" s="572">
        <v>500</v>
      </c>
    </row>
    <row r="479" spans="1:7" x14ac:dyDescent="0.35">
      <c r="A479" s="231">
        <v>4090</v>
      </c>
      <c r="B479" s="187" t="s">
        <v>168</v>
      </c>
      <c r="C479" s="187" t="s">
        <v>94</v>
      </c>
      <c r="D479" s="156" t="s">
        <v>111</v>
      </c>
      <c r="E479" s="188">
        <v>40991</v>
      </c>
      <c r="F479" s="180" t="s">
        <v>65</v>
      </c>
      <c r="G479" s="232">
        <v>500</v>
      </c>
    </row>
    <row r="480" spans="1:7" x14ac:dyDescent="0.35">
      <c r="A480" s="499">
        <v>2134</v>
      </c>
      <c r="B480" s="382" t="s">
        <v>554</v>
      </c>
      <c r="C480" s="382" t="s">
        <v>45</v>
      </c>
      <c r="D480" s="381" t="s">
        <v>111</v>
      </c>
      <c r="E480" s="383">
        <v>42095</v>
      </c>
      <c r="F480" s="378" t="s">
        <v>10</v>
      </c>
      <c r="G480" s="572">
        <v>500</v>
      </c>
    </row>
    <row r="481" spans="1:7" x14ac:dyDescent="0.35">
      <c r="A481" s="499">
        <v>3033</v>
      </c>
      <c r="B481" s="189" t="s">
        <v>736</v>
      </c>
      <c r="C481" s="189" t="s">
        <v>737</v>
      </c>
      <c r="D481" s="156" t="s">
        <v>111</v>
      </c>
      <c r="E481" s="188">
        <v>41762</v>
      </c>
      <c r="F481" s="180" t="s">
        <v>13</v>
      </c>
      <c r="G481" s="232" t="s">
        <v>126</v>
      </c>
    </row>
    <row r="482" spans="1:7" x14ac:dyDescent="0.35">
      <c r="A482" s="231">
        <v>4091</v>
      </c>
      <c r="B482" s="185" t="s">
        <v>782</v>
      </c>
      <c r="C482" s="186" t="s">
        <v>70</v>
      </c>
      <c r="D482" s="180" t="s">
        <v>111</v>
      </c>
      <c r="E482" s="152">
        <v>40544</v>
      </c>
      <c r="F482" s="180" t="s">
        <v>11</v>
      </c>
      <c r="G482" s="233">
        <v>500</v>
      </c>
    </row>
    <row r="483" spans="1:7" x14ac:dyDescent="0.35">
      <c r="A483" s="443">
        <v>1088</v>
      </c>
      <c r="B483" s="454" t="s">
        <v>378</v>
      </c>
      <c r="C483" s="454" t="s">
        <v>814</v>
      </c>
      <c r="D483" s="446" t="s">
        <v>111</v>
      </c>
      <c r="E483" s="193">
        <v>43180</v>
      </c>
      <c r="F483" s="181" t="s">
        <v>9</v>
      </c>
      <c r="G483" s="227">
        <v>500</v>
      </c>
    </row>
    <row r="484" spans="1:7" x14ac:dyDescent="0.35">
      <c r="A484" s="231">
        <v>4092</v>
      </c>
      <c r="B484" s="178" t="s">
        <v>412</v>
      </c>
      <c r="C484" s="178" t="s">
        <v>414</v>
      </c>
      <c r="D484" s="169" t="s">
        <v>110</v>
      </c>
      <c r="E484" s="184">
        <v>40185</v>
      </c>
      <c r="F484" s="180" t="s">
        <v>77</v>
      </c>
      <c r="G484" s="227">
        <v>500</v>
      </c>
    </row>
    <row r="485" spans="1:7" x14ac:dyDescent="0.35">
      <c r="A485" s="499">
        <v>3053</v>
      </c>
      <c r="B485" s="187" t="s">
        <v>167</v>
      </c>
      <c r="C485" s="187" t="s">
        <v>73</v>
      </c>
      <c r="D485" s="156" t="s">
        <v>111</v>
      </c>
      <c r="E485" s="188">
        <v>41540</v>
      </c>
      <c r="F485" s="180" t="s">
        <v>65</v>
      </c>
      <c r="G485" s="232" t="s">
        <v>126</v>
      </c>
    </row>
    <row r="486" spans="1:7" x14ac:dyDescent="0.35">
      <c r="A486" s="443">
        <v>1059</v>
      </c>
      <c r="B486" s="461" t="s">
        <v>379</v>
      </c>
      <c r="C486" s="461" t="s">
        <v>246</v>
      </c>
      <c r="D486" s="446" t="s">
        <v>111</v>
      </c>
      <c r="E486" s="399">
        <v>42816</v>
      </c>
      <c r="F486" s="180" t="s">
        <v>12</v>
      </c>
      <c r="G486" s="232">
        <v>500</v>
      </c>
    </row>
    <row r="487" spans="1:7" x14ac:dyDescent="0.35">
      <c r="A487" s="231">
        <v>4093</v>
      </c>
      <c r="B487" s="178" t="s">
        <v>267</v>
      </c>
      <c r="C487" s="178" t="s">
        <v>268</v>
      </c>
      <c r="D487" s="169" t="s">
        <v>111</v>
      </c>
      <c r="E487" s="179">
        <v>41207</v>
      </c>
      <c r="F487" s="180" t="s">
        <v>10</v>
      </c>
      <c r="G487" s="227">
        <v>561</v>
      </c>
    </row>
    <row r="488" spans="1:7" x14ac:dyDescent="0.35">
      <c r="A488" s="499">
        <v>2013</v>
      </c>
      <c r="B488" s="394" t="s">
        <v>555</v>
      </c>
      <c r="C488" s="394" t="s">
        <v>617</v>
      </c>
      <c r="D488" s="156" t="s">
        <v>111</v>
      </c>
      <c r="E488" s="377">
        <v>42664</v>
      </c>
      <c r="F488" s="378" t="s">
        <v>13</v>
      </c>
      <c r="G488" s="521" t="s">
        <v>126</v>
      </c>
    </row>
    <row r="489" spans="1:7" x14ac:dyDescent="0.35">
      <c r="A489" s="499">
        <v>2029</v>
      </c>
      <c r="B489" s="398" t="s">
        <v>556</v>
      </c>
      <c r="C489" s="398" t="s">
        <v>94</v>
      </c>
      <c r="D489" s="156" t="s">
        <v>111</v>
      </c>
      <c r="E489" s="377">
        <v>42536</v>
      </c>
      <c r="F489" s="378" t="s">
        <v>65</v>
      </c>
      <c r="G489" s="515" t="s">
        <v>126</v>
      </c>
    </row>
    <row r="490" spans="1:7" x14ac:dyDescent="0.35">
      <c r="A490" s="231">
        <v>4094</v>
      </c>
      <c r="B490" s="189" t="s">
        <v>783</v>
      </c>
      <c r="C490" s="189" t="s">
        <v>152</v>
      </c>
      <c r="D490" s="156" t="s">
        <v>111</v>
      </c>
      <c r="E490" s="188">
        <v>41191</v>
      </c>
      <c r="F490" s="180" t="s">
        <v>13</v>
      </c>
      <c r="G490" s="232">
        <v>500</v>
      </c>
    </row>
    <row r="491" spans="1:7" x14ac:dyDescent="0.35">
      <c r="A491" s="231">
        <v>4095</v>
      </c>
      <c r="B491" s="191" t="s">
        <v>784</v>
      </c>
      <c r="C491" s="192" t="s">
        <v>595</v>
      </c>
      <c r="D491" s="156" t="s">
        <v>111</v>
      </c>
      <c r="E491" s="188">
        <v>41197</v>
      </c>
      <c r="F491" s="180" t="s">
        <v>294</v>
      </c>
      <c r="G491" s="232" t="s">
        <v>126</v>
      </c>
    </row>
    <row r="492" spans="1:7" x14ac:dyDescent="0.35">
      <c r="A492" s="499">
        <v>2176</v>
      </c>
      <c r="B492" s="391" t="s">
        <v>557</v>
      </c>
      <c r="C492" s="391" t="s">
        <v>91</v>
      </c>
      <c r="D492" s="381" t="s">
        <v>111</v>
      </c>
      <c r="E492" s="193">
        <v>42502</v>
      </c>
      <c r="F492" s="378" t="s">
        <v>9</v>
      </c>
      <c r="G492" s="572">
        <v>500</v>
      </c>
    </row>
    <row r="493" spans="1:7" x14ac:dyDescent="0.35">
      <c r="A493" s="549">
        <v>3125</v>
      </c>
      <c r="B493" s="190" t="s">
        <v>223</v>
      </c>
      <c r="C493" s="190" t="s">
        <v>45</v>
      </c>
      <c r="D493" s="169" t="s">
        <v>111</v>
      </c>
      <c r="E493" s="193">
        <v>41967</v>
      </c>
      <c r="F493" s="180" t="s">
        <v>9</v>
      </c>
      <c r="G493" s="227">
        <v>617</v>
      </c>
    </row>
    <row r="494" spans="1:7" x14ac:dyDescent="0.35">
      <c r="A494" s="231">
        <v>4096</v>
      </c>
      <c r="B494" s="189" t="s">
        <v>785</v>
      </c>
      <c r="C494" s="189" t="s">
        <v>786</v>
      </c>
      <c r="D494" s="156" t="s">
        <v>111</v>
      </c>
      <c r="E494" s="188">
        <v>40378</v>
      </c>
      <c r="F494" s="180" t="s">
        <v>13</v>
      </c>
      <c r="G494" s="234" t="s">
        <v>126</v>
      </c>
    </row>
    <row r="495" spans="1:7" x14ac:dyDescent="0.35">
      <c r="A495" s="499">
        <v>2071</v>
      </c>
      <c r="B495" s="394" t="s">
        <v>558</v>
      </c>
      <c r="C495" s="394" t="s">
        <v>148</v>
      </c>
      <c r="D495" s="156" t="s">
        <v>111</v>
      </c>
      <c r="E495" s="377">
        <v>42258</v>
      </c>
      <c r="F495" s="378" t="s">
        <v>13</v>
      </c>
      <c r="G495" s="521" t="s">
        <v>126</v>
      </c>
    </row>
    <row r="496" spans="1:7" x14ac:dyDescent="0.35">
      <c r="A496" s="499">
        <v>2104</v>
      </c>
      <c r="B496" s="394" t="s">
        <v>559</v>
      </c>
      <c r="C496" s="394" t="s">
        <v>618</v>
      </c>
      <c r="D496" s="156" t="s">
        <v>111</v>
      </c>
      <c r="E496" s="377">
        <v>42065</v>
      </c>
      <c r="F496" s="378" t="s">
        <v>13</v>
      </c>
      <c r="G496" s="521" t="s">
        <v>126</v>
      </c>
    </row>
    <row r="497" spans="1:7" x14ac:dyDescent="0.35">
      <c r="A497" s="499">
        <v>3048</v>
      </c>
      <c r="B497" s="191" t="s">
        <v>738</v>
      </c>
      <c r="C497" s="192" t="s">
        <v>89</v>
      </c>
      <c r="D497" s="156" t="s">
        <v>111</v>
      </c>
      <c r="E497" s="188">
        <v>41651</v>
      </c>
      <c r="F497" s="180" t="s">
        <v>294</v>
      </c>
      <c r="G497" s="232">
        <v>500</v>
      </c>
    </row>
    <row r="498" spans="1:7" x14ac:dyDescent="0.35">
      <c r="A498" s="549">
        <v>3126</v>
      </c>
      <c r="B498" s="190" t="s">
        <v>224</v>
      </c>
      <c r="C498" s="190" t="s">
        <v>225</v>
      </c>
      <c r="D498" s="169" t="s">
        <v>111</v>
      </c>
      <c r="E498" s="193">
        <v>41975</v>
      </c>
      <c r="F498" s="180" t="s">
        <v>9</v>
      </c>
      <c r="G498" s="227">
        <v>636</v>
      </c>
    </row>
    <row r="499" spans="1:7" x14ac:dyDescent="0.35">
      <c r="A499" s="231">
        <v>4097</v>
      </c>
      <c r="B499" s="187" t="s">
        <v>209</v>
      </c>
      <c r="C499" s="187" t="s">
        <v>87</v>
      </c>
      <c r="D499" s="156" t="s">
        <v>111</v>
      </c>
      <c r="E499" s="153">
        <v>40290</v>
      </c>
      <c r="F499" s="180" t="s">
        <v>12</v>
      </c>
      <c r="G499" s="232">
        <v>487</v>
      </c>
    </row>
    <row r="500" spans="1:7" x14ac:dyDescent="0.35">
      <c r="A500" s="549">
        <v>3127</v>
      </c>
      <c r="B500" s="190" t="s">
        <v>739</v>
      </c>
      <c r="C500" s="190" t="s">
        <v>63</v>
      </c>
      <c r="D500" s="169" t="s">
        <v>111</v>
      </c>
      <c r="E500" s="193">
        <v>41696</v>
      </c>
      <c r="F500" s="180" t="s">
        <v>9</v>
      </c>
      <c r="G500" s="227">
        <v>500</v>
      </c>
    </row>
    <row r="501" spans="1:7" x14ac:dyDescent="0.35">
      <c r="A501" s="231">
        <v>4098</v>
      </c>
      <c r="B501" s="190" t="s">
        <v>226</v>
      </c>
      <c r="C501" s="190" t="s">
        <v>203</v>
      </c>
      <c r="D501" s="169" t="s">
        <v>111</v>
      </c>
      <c r="E501" s="193">
        <v>40501</v>
      </c>
      <c r="F501" s="180" t="s">
        <v>9</v>
      </c>
      <c r="G501" s="227">
        <v>500</v>
      </c>
    </row>
    <row r="502" spans="1:7" x14ac:dyDescent="0.35">
      <c r="A502" s="443">
        <v>1020</v>
      </c>
      <c r="B502" s="461" t="s">
        <v>380</v>
      </c>
      <c r="C502" s="461" t="s">
        <v>55</v>
      </c>
      <c r="D502" s="446" t="s">
        <v>111</v>
      </c>
      <c r="E502" s="188">
        <v>43290</v>
      </c>
      <c r="F502" s="180" t="s">
        <v>65</v>
      </c>
      <c r="G502" s="232" t="s">
        <v>126</v>
      </c>
    </row>
    <row r="503" spans="1:7" x14ac:dyDescent="0.35">
      <c r="A503" s="231">
        <v>4099</v>
      </c>
      <c r="B503" s="187" t="s">
        <v>161</v>
      </c>
      <c r="C503" s="187" t="s">
        <v>362</v>
      </c>
      <c r="D503" s="156" t="s">
        <v>111</v>
      </c>
      <c r="E503" s="188">
        <v>41158</v>
      </c>
      <c r="F503" s="180" t="s">
        <v>65</v>
      </c>
      <c r="G503" s="232">
        <v>500</v>
      </c>
    </row>
    <row r="504" spans="1:7" x14ac:dyDescent="0.35">
      <c r="A504" s="499">
        <v>2072</v>
      </c>
      <c r="B504" s="394" t="s">
        <v>560</v>
      </c>
      <c r="C504" s="394" t="s">
        <v>172</v>
      </c>
      <c r="D504" s="156" t="s">
        <v>111</v>
      </c>
      <c r="E504" s="377">
        <v>42253</v>
      </c>
      <c r="F504" s="378" t="s">
        <v>13</v>
      </c>
      <c r="G504" s="521" t="s">
        <v>126</v>
      </c>
    </row>
    <row r="505" spans="1:7" x14ac:dyDescent="0.35">
      <c r="A505" s="231">
        <v>4100</v>
      </c>
      <c r="B505" s="178" t="s">
        <v>787</v>
      </c>
      <c r="C505" s="178" t="s">
        <v>95</v>
      </c>
      <c r="D505" s="169" t="s">
        <v>111</v>
      </c>
      <c r="E505" s="179">
        <v>41084</v>
      </c>
      <c r="F505" s="180" t="s">
        <v>10</v>
      </c>
      <c r="G505" s="227">
        <v>654</v>
      </c>
    </row>
    <row r="506" spans="1:7" x14ac:dyDescent="0.35">
      <c r="A506" s="499">
        <v>2129</v>
      </c>
      <c r="B506" s="382" t="s">
        <v>561</v>
      </c>
      <c r="C506" s="382" t="s">
        <v>831</v>
      </c>
      <c r="D506" s="381" t="s">
        <v>111</v>
      </c>
      <c r="E506" s="383">
        <v>42217</v>
      </c>
      <c r="F506" s="378" t="s">
        <v>10</v>
      </c>
      <c r="G506" s="572">
        <v>521</v>
      </c>
    </row>
    <row r="507" spans="1:7" x14ac:dyDescent="0.35">
      <c r="A507" s="499">
        <v>2054</v>
      </c>
      <c r="B507" s="394" t="s">
        <v>74</v>
      </c>
      <c r="C507" s="394" t="s">
        <v>62</v>
      </c>
      <c r="D507" s="156" t="s">
        <v>111</v>
      </c>
      <c r="E507" s="377">
        <v>42358</v>
      </c>
      <c r="F507" s="378" t="s">
        <v>13</v>
      </c>
      <c r="G507" s="521" t="s">
        <v>126</v>
      </c>
    </row>
    <row r="508" spans="1:7" x14ac:dyDescent="0.35">
      <c r="A508" s="231">
        <v>4101</v>
      </c>
      <c r="B508" s="189" t="s">
        <v>74</v>
      </c>
      <c r="C508" s="189" t="s">
        <v>117</v>
      </c>
      <c r="D508" s="156" t="s">
        <v>111</v>
      </c>
      <c r="E508" s="188">
        <v>40654</v>
      </c>
      <c r="F508" s="180" t="s">
        <v>13</v>
      </c>
      <c r="G508" s="234" t="s">
        <v>788</v>
      </c>
    </row>
    <row r="509" spans="1:7" x14ac:dyDescent="0.35">
      <c r="A509" s="443">
        <v>1033</v>
      </c>
      <c r="B509" s="461" t="s">
        <v>381</v>
      </c>
      <c r="C509" s="461" t="s">
        <v>382</v>
      </c>
      <c r="D509" s="446" t="s">
        <v>110</v>
      </c>
      <c r="E509" s="153">
        <v>43120</v>
      </c>
      <c r="F509" s="180" t="s">
        <v>12</v>
      </c>
      <c r="G509" s="232">
        <v>500</v>
      </c>
    </row>
    <row r="510" spans="1:7" x14ac:dyDescent="0.35">
      <c r="A510" s="499">
        <v>2108</v>
      </c>
      <c r="B510" s="241" t="s">
        <v>562</v>
      </c>
      <c r="C510" s="242" t="s">
        <v>370</v>
      </c>
      <c r="D510" s="156" t="s">
        <v>111</v>
      </c>
      <c r="E510" s="377">
        <v>42040</v>
      </c>
      <c r="F510" s="378" t="s">
        <v>79</v>
      </c>
      <c r="G510" s="516">
        <v>500</v>
      </c>
    </row>
    <row r="511" spans="1:7" x14ac:dyDescent="0.35">
      <c r="A511" s="499">
        <v>3063</v>
      </c>
      <c r="B511" s="189" t="s">
        <v>740</v>
      </c>
      <c r="C511" s="189" t="s">
        <v>741</v>
      </c>
      <c r="D511" s="156" t="s">
        <v>111</v>
      </c>
      <c r="E511" s="188">
        <v>41418</v>
      </c>
      <c r="F511" s="180" t="s">
        <v>13</v>
      </c>
      <c r="G511" s="232" t="s">
        <v>126</v>
      </c>
    </row>
    <row r="512" spans="1:7" x14ac:dyDescent="0.35">
      <c r="A512" s="231">
        <v>4102</v>
      </c>
      <c r="B512" s="189" t="s">
        <v>259</v>
      </c>
      <c r="C512" s="189" t="s">
        <v>140</v>
      </c>
      <c r="D512" s="156" t="s">
        <v>111</v>
      </c>
      <c r="E512" s="188">
        <v>40154</v>
      </c>
      <c r="F512" s="180" t="s">
        <v>13</v>
      </c>
      <c r="G512" s="232">
        <v>656</v>
      </c>
    </row>
    <row r="513" spans="1:7" x14ac:dyDescent="0.35">
      <c r="A513" s="231">
        <v>4103</v>
      </c>
      <c r="B513" s="241" t="s">
        <v>410</v>
      </c>
      <c r="C513" s="242" t="s">
        <v>851</v>
      </c>
      <c r="D513" s="156" t="s">
        <v>110</v>
      </c>
      <c r="E513" s="188">
        <v>40861</v>
      </c>
      <c r="F513" s="180" t="s">
        <v>79</v>
      </c>
      <c r="G513" s="233">
        <v>500</v>
      </c>
    </row>
    <row r="514" spans="1:7" x14ac:dyDescent="0.35">
      <c r="A514" s="499">
        <v>3079</v>
      </c>
      <c r="B514" s="191" t="s">
        <v>176</v>
      </c>
      <c r="C514" s="192" t="s">
        <v>46</v>
      </c>
      <c r="D514" s="156" t="s">
        <v>111</v>
      </c>
      <c r="E514" s="188">
        <v>41286</v>
      </c>
      <c r="F514" s="180" t="s">
        <v>294</v>
      </c>
      <c r="G514" s="232" t="s">
        <v>126</v>
      </c>
    </row>
    <row r="515" spans="1:7" x14ac:dyDescent="0.35">
      <c r="A515" s="231">
        <v>4104</v>
      </c>
      <c r="B515" s="241" t="s">
        <v>789</v>
      </c>
      <c r="C515" s="242" t="s">
        <v>52</v>
      </c>
      <c r="D515" s="156" t="s">
        <v>111</v>
      </c>
      <c r="E515" s="188">
        <v>40763</v>
      </c>
      <c r="F515" s="180" t="s">
        <v>79</v>
      </c>
      <c r="G515" s="233">
        <v>514</v>
      </c>
    </row>
    <row r="516" spans="1:7" x14ac:dyDescent="0.35">
      <c r="A516" s="549">
        <v>3128</v>
      </c>
      <c r="B516" s="190" t="s">
        <v>742</v>
      </c>
      <c r="C516" s="190" t="s">
        <v>743</v>
      </c>
      <c r="D516" s="169" t="s">
        <v>111</v>
      </c>
      <c r="E516" s="193">
        <v>41678</v>
      </c>
      <c r="F516" s="180" t="s">
        <v>9</v>
      </c>
      <c r="G516" s="227">
        <v>500</v>
      </c>
    </row>
    <row r="517" spans="1:7" x14ac:dyDescent="0.35">
      <c r="A517" s="443">
        <v>1024</v>
      </c>
      <c r="B517" s="479" t="s">
        <v>383</v>
      </c>
      <c r="C517" s="480" t="s">
        <v>824</v>
      </c>
      <c r="D517" s="446" t="s">
        <v>111</v>
      </c>
      <c r="E517" s="188">
        <v>43231</v>
      </c>
      <c r="F517" s="180" t="s">
        <v>79</v>
      </c>
      <c r="G517" s="233">
        <v>500</v>
      </c>
    </row>
    <row r="518" spans="1:7" x14ac:dyDescent="0.35">
      <c r="A518" s="499">
        <v>3001</v>
      </c>
      <c r="B518" s="241" t="s">
        <v>383</v>
      </c>
      <c r="C518" s="242" t="s">
        <v>208</v>
      </c>
      <c r="D518" s="156" t="s">
        <v>111</v>
      </c>
      <c r="E518" s="188">
        <v>41992</v>
      </c>
      <c r="F518" s="180" t="s">
        <v>79</v>
      </c>
      <c r="G518" s="233">
        <v>500</v>
      </c>
    </row>
    <row r="519" spans="1:7" x14ac:dyDescent="0.35">
      <c r="A519" s="499">
        <v>2177</v>
      </c>
      <c r="B519" s="391" t="s">
        <v>397</v>
      </c>
      <c r="C519" s="391" t="s">
        <v>420</v>
      </c>
      <c r="D519" s="381" t="s">
        <v>110</v>
      </c>
      <c r="E519" s="193">
        <v>42406</v>
      </c>
      <c r="F519" s="378" t="s">
        <v>9</v>
      </c>
      <c r="G519" s="572">
        <v>500</v>
      </c>
    </row>
    <row r="520" spans="1:7" x14ac:dyDescent="0.35">
      <c r="A520" s="443">
        <v>1002</v>
      </c>
      <c r="B520" s="460" t="s">
        <v>384</v>
      </c>
      <c r="C520" s="460" t="s">
        <v>385</v>
      </c>
      <c r="D520" s="446" t="s">
        <v>110</v>
      </c>
      <c r="E520" s="188">
        <v>43983</v>
      </c>
      <c r="F520" s="180" t="s">
        <v>13</v>
      </c>
      <c r="G520" s="234" t="s">
        <v>126</v>
      </c>
    </row>
    <row r="521" spans="1:7" x14ac:dyDescent="0.35">
      <c r="A521" s="443">
        <v>1025</v>
      </c>
      <c r="B521" s="460" t="s">
        <v>384</v>
      </c>
      <c r="C521" s="460" t="s">
        <v>386</v>
      </c>
      <c r="D521" s="446" t="s">
        <v>110</v>
      </c>
      <c r="E521" s="188">
        <v>43226</v>
      </c>
      <c r="F521" s="180" t="s">
        <v>13</v>
      </c>
      <c r="G521" s="234" t="s">
        <v>126</v>
      </c>
    </row>
    <row r="522" spans="1:7" x14ac:dyDescent="0.35">
      <c r="A522" s="499">
        <v>3020</v>
      </c>
      <c r="B522" s="189" t="s">
        <v>744</v>
      </c>
      <c r="C522" s="189" t="s">
        <v>94</v>
      </c>
      <c r="D522" s="156" t="s">
        <v>111</v>
      </c>
      <c r="E522" s="188">
        <v>41862</v>
      </c>
      <c r="F522" s="180" t="s">
        <v>13</v>
      </c>
      <c r="G522" s="232">
        <v>500</v>
      </c>
    </row>
  </sheetData>
  <autoFilter ref="A1:G522" xr:uid="{1092D711-F60A-4E80-8872-700CD384F59C}"/>
  <sortState xmlns:xlrd2="http://schemas.microsoft.com/office/spreadsheetml/2017/richdata2" ref="A2:G522">
    <sortCondition ref="B2:B522"/>
    <sortCondition ref="C2:C522"/>
  </sortState>
  <conditionalFormatting sqref="A1:A1048576">
    <cfRule type="duplicateValues" dxfId="101" priority="2"/>
  </conditionalFormatting>
  <conditionalFormatting sqref="A103">
    <cfRule type="duplicateValues" dxfId="100" priority="117"/>
    <cfRule type="duplicateValues" dxfId="99" priority="116"/>
    <cfRule type="duplicateValues" dxfId="98" priority="115"/>
    <cfRule type="duplicateValues" dxfId="97" priority="114"/>
  </conditionalFormatting>
  <conditionalFormatting sqref="A104:A249 A90:A102">
    <cfRule type="duplicateValues" dxfId="96" priority="2434"/>
  </conditionalFormatting>
  <conditionalFormatting sqref="A196:A198 A90:A96">
    <cfRule type="duplicateValues" dxfId="95" priority="119"/>
  </conditionalFormatting>
  <conditionalFormatting sqref="A199:A222">
    <cfRule type="duplicateValues" dxfId="94" priority="2379"/>
  </conditionalFormatting>
  <conditionalFormatting sqref="A223:A249">
    <cfRule type="duplicateValues" dxfId="93" priority="2405"/>
  </conditionalFormatting>
  <conditionalFormatting sqref="A260:A379">
    <cfRule type="duplicateValues" dxfId="92" priority="2859"/>
  </conditionalFormatting>
  <conditionalFormatting sqref="A332:A349">
    <cfRule type="duplicateValues" dxfId="91" priority="2857"/>
  </conditionalFormatting>
  <conditionalFormatting sqref="A350:A378">
    <cfRule type="duplicateValues" dxfId="90" priority="86"/>
  </conditionalFormatting>
  <conditionalFormatting sqref="A379">
    <cfRule type="duplicateValues" dxfId="89" priority="83"/>
  </conditionalFormatting>
  <conditionalFormatting sqref="A380:A469">
    <cfRule type="duplicateValues" dxfId="88" priority="3253"/>
  </conditionalFormatting>
  <conditionalFormatting sqref="A433:A444">
    <cfRule type="duplicateValues" dxfId="87" priority="3232"/>
  </conditionalFormatting>
  <conditionalFormatting sqref="A445:A462">
    <cfRule type="duplicateValues" dxfId="86" priority="1693"/>
  </conditionalFormatting>
  <conditionalFormatting sqref="A463:A469">
    <cfRule type="duplicateValues" dxfId="85" priority="54"/>
  </conditionalFormatting>
  <conditionalFormatting sqref="A471:A479">
    <cfRule type="duplicateValues" dxfId="84" priority="45"/>
  </conditionalFormatting>
  <conditionalFormatting sqref="A471:A494">
    <cfRule type="duplicateValues" dxfId="83" priority="1707"/>
  </conditionalFormatting>
  <conditionalFormatting sqref="A480:A512">
    <cfRule type="duplicateValues" dxfId="82" priority="1730"/>
  </conditionalFormatting>
  <conditionalFormatting sqref="A495:A504">
    <cfRule type="duplicateValues" dxfId="81" priority="43"/>
  </conditionalFormatting>
  <conditionalFormatting sqref="A513:A522">
    <cfRule type="duplicateValues" dxfId="80" priority="1766"/>
  </conditionalFormatting>
  <conditionalFormatting sqref="A523:A1048576 A1:A379">
    <cfRule type="duplicateValues" dxfId="79" priority="72"/>
  </conditionalFormatting>
  <conditionalFormatting sqref="B1:B1048576">
    <cfRule type="duplicateValues" dxfId="78" priority="1"/>
  </conditionalFormatting>
  <conditionalFormatting sqref="B103">
    <cfRule type="duplicateValues" dxfId="77" priority="111"/>
    <cfRule type="duplicateValues" dxfId="76" priority="107"/>
    <cfRule type="duplicateValues" dxfId="75" priority="108"/>
    <cfRule type="duplicateValues" dxfId="74" priority="109"/>
    <cfRule type="duplicateValues" dxfId="73" priority="110"/>
    <cfRule type="duplicateValues" dxfId="72" priority="106"/>
    <cfRule type="duplicateValues" dxfId="71" priority="105"/>
  </conditionalFormatting>
  <conditionalFormatting sqref="B104:B249 B90:B102">
    <cfRule type="duplicateValues" dxfId="70" priority="2437"/>
  </conditionalFormatting>
  <conditionalFormatting sqref="B196:B198 B90:B96">
    <cfRule type="duplicateValues" dxfId="69" priority="112"/>
  </conditionalFormatting>
  <conditionalFormatting sqref="B196:B198 B92:B96 B90">
    <cfRule type="duplicateValues" dxfId="68" priority="113"/>
  </conditionalFormatting>
  <conditionalFormatting sqref="B260:B345">
    <cfRule type="duplicateValues" dxfId="67" priority="2861"/>
  </conditionalFormatting>
  <conditionalFormatting sqref="B346">
    <cfRule type="duplicateValues" dxfId="66" priority="73"/>
    <cfRule type="duplicateValues" dxfId="65" priority="74"/>
    <cfRule type="duplicateValues" dxfId="64" priority="75"/>
  </conditionalFormatting>
  <conditionalFormatting sqref="B347:B379 B260:B345">
    <cfRule type="duplicateValues" dxfId="63" priority="79"/>
  </conditionalFormatting>
  <conditionalFormatting sqref="B380:B469">
    <cfRule type="duplicateValues" dxfId="62" priority="3251"/>
  </conditionalFormatting>
  <conditionalFormatting sqref="B433:B444">
    <cfRule type="duplicateValues" dxfId="61" priority="3234"/>
  </conditionalFormatting>
  <conditionalFormatting sqref="B441:B444 B433:B439">
    <cfRule type="duplicateValues" dxfId="60" priority="63"/>
  </conditionalFormatting>
  <conditionalFormatting sqref="B471:B504">
    <cfRule type="duplicateValues" dxfId="59" priority="1711"/>
  </conditionalFormatting>
  <conditionalFormatting sqref="B523:B1048576 B1:B379">
    <cfRule type="duplicateValues" dxfId="58" priority="71"/>
  </conditionalFormatting>
  <conditionalFormatting sqref="B472:C474">
    <cfRule type="expression" dxfId="57" priority="38">
      <formula>#REF!=$E$5</formula>
    </cfRule>
  </conditionalFormatting>
  <conditionalFormatting sqref="B82:D83 B84:C85 B86:D89">
    <cfRule type="expression" dxfId="56" priority="122" stopIfTrue="1">
      <formula>#REF!=$E$5</formula>
    </cfRule>
  </conditionalFormatting>
  <conditionalFormatting sqref="B82:G83 B84:C85 B86:G89 B250:G255 B256:C256 B257:G259 E84:G85 E256:G256 F380:F387">
    <cfRule type="expression" dxfId="55" priority="121" stopIfTrue="1">
      <formula>$F82=$E$5</formula>
    </cfRule>
  </conditionalFormatting>
  <conditionalFormatting sqref="D2:D81 B8:C71 B380:E382 B383:C383 B384:E384 B385:C385 B386:E387 G380:G387 E383 E385">
    <cfRule type="expression" dxfId="54" priority="140">
      <formula>$F2=$E$5</formula>
    </cfRule>
  </conditionalFormatting>
  <conditionalFormatting sqref="D84:D85">
    <cfRule type="expression" dxfId="53" priority="4">
      <formula>$F84=$E$5</formula>
    </cfRule>
    <cfRule type="cellIs" dxfId="52" priority="3" operator="equal">
      <formula>"F"</formula>
    </cfRule>
  </conditionalFormatting>
  <conditionalFormatting sqref="D90:D102 D104:D249 D260:D345 D388:D408 D443:D469">
    <cfRule type="expression" dxfId="51" priority="102">
      <formula>#REF!=$E$5</formula>
    </cfRule>
  </conditionalFormatting>
  <conditionalFormatting sqref="D90:D102 D104:D249 D260:D379 D388:D419 D443:D469 D471:D522 D2:D81">
    <cfRule type="cellIs" dxfId="50" priority="139" operator="equal">
      <formula>"F"</formula>
    </cfRule>
  </conditionalFormatting>
  <conditionalFormatting sqref="D103">
    <cfRule type="expression" dxfId="49" priority="96">
      <formula>$F103=#REF!</formula>
    </cfRule>
    <cfRule type="cellIs" dxfId="48" priority="94" operator="equal">
      <formula>"F"</formula>
    </cfRule>
    <cfRule type="expression" dxfId="47" priority="95">
      <formula>#REF!=#REF!</formula>
    </cfRule>
  </conditionalFormatting>
  <conditionalFormatting sqref="D199:D203">
    <cfRule type="expression" dxfId="46" priority="2476">
      <formula>$F262=$E$5</formula>
    </cfRule>
  </conditionalFormatting>
  <conditionalFormatting sqref="D204:D206">
    <cfRule type="expression" dxfId="45" priority="2433">
      <formula>$F268=$E$5</formula>
    </cfRule>
  </conditionalFormatting>
  <conditionalFormatting sqref="D256">
    <cfRule type="expression" dxfId="44" priority="15">
      <formula>#REF!=$E$5</formula>
    </cfRule>
    <cfRule type="cellIs" dxfId="43" priority="17" operator="equal">
      <formula>"F"</formula>
    </cfRule>
  </conditionalFormatting>
  <conditionalFormatting sqref="D346 F346">
    <cfRule type="expression" dxfId="42" priority="78">
      <formula>$F346=#REF!</formula>
    </cfRule>
  </conditionalFormatting>
  <conditionalFormatting sqref="D346">
    <cfRule type="expression" dxfId="41" priority="76">
      <formula>#REF!=#REF!</formula>
    </cfRule>
  </conditionalFormatting>
  <conditionalFormatting sqref="D347:D378">
    <cfRule type="expression" dxfId="40" priority="84">
      <formula>#REF!=$E$5</formula>
    </cfRule>
  </conditionalFormatting>
  <conditionalFormatting sqref="D379 D409">
    <cfRule type="expression" dxfId="39" priority="81">
      <formula>#REF!=$E$5</formula>
    </cfRule>
    <cfRule type="expression" dxfId="38" priority="82">
      <formula>$F379=$E$5</formula>
    </cfRule>
  </conditionalFormatting>
  <conditionalFormatting sqref="D383">
    <cfRule type="expression" dxfId="37" priority="12">
      <formula>#REF!=$E$5</formula>
    </cfRule>
    <cfRule type="cellIs" dxfId="36" priority="14" operator="equal">
      <formula>"F"</formula>
    </cfRule>
  </conditionalFormatting>
  <conditionalFormatting sqref="D385">
    <cfRule type="expression" dxfId="35" priority="9">
      <formula>#REF!=$E$5</formula>
    </cfRule>
    <cfRule type="cellIs" dxfId="34" priority="11" operator="equal">
      <formula>"F"</formula>
    </cfRule>
  </conditionalFormatting>
  <conditionalFormatting sqref="D410:D419">
    <cfRule type="expression" dxfId="33" priority="59">
      <formula>#REF!=$E$5</formula>
    </cfRule>
  </conditionalFormatting>
  <conditionalFormatting sqref="D421:D432">
    <cfRule type="expression" dxfId="32" priority="58">
      <formula>#REF!=$E$5</formula>
    </cfRule>
    <cfRule type="cellIs" dxfId="31" priority="57" operator="equal">
      <formula>"F"</formula>
    </cfRule>
  </conditionalFormatting>
  <conditionalFormatting sqref="D421:D469 B472:C474 F2:F81 G59:G60 D90:D102 F90:F102 D104:D198 F104:F249 D260:D345 F260:F345 D347:D378 F347:F378 D388:D408 F388:F512 D410:D419 G471:G474">
    <cfRule type="expression" dxfId="30" priority="134">
      <formula>$F2=$E$5</formula>
    </cfRule>
  </conditionalFormatting>
  <conditionalFormatting sqref="D435:D437">
    <cfRule type="cellIs" dxfId="29" priority="7" operator="equal">
      <formula>"F"</formula>
    </cfRule>
    <cfRule type="expression" dxfId="28" priority="8">
      <formula>#REF!=$E$5</formula>
    </cfRule>
  </conditionalFormatting>
  <conditionalFormatting sqref="D471">
    <cfRule type="expression" dxfId="27" priority="25">
      <formula>#REF!=$E$5</formula>
    </cfRule>
    <cfRule type="expression" dxfId="26" priority="26">
      <formula>$F471=$E$5</formula>
    </cfRule>
    <cfRule type="cellIs" dxfId="25" priority="24" operator="equal">
      <formula>"F"</formula>
    </cfRule>
  </conditionalFormatting>
  <conditionalFormatting sqref="D471:D522">
    <cfRule type="expression" dxfId="24" priority="30">
      <formula>#REF!=$E$5</formula>
    </cfRule>
    <cfRule type="expression" dxfId="23" priority="31">
      <formula>$F471=$E$5</formula>
    </cfRule>
  </conditionalFormatting>
  <conditionalFormatting sqref="D488 F488">
    <cfRule type="expression" dxfId="22" priority="36">
      <formula>$F494=$E$4</formula>
    </cfRule>
  </conditionalFormatting>
  <conditionalFormatting sqref="D488:D489">
    <cfRule type="cellIs" dxfId="21" priority="29" operator="equal">
      <formula>"F"</formula>
    </cfRule>
    <cfRule type="expression" dxfId="20" priority="32">
      <formula>#REF!=$E$4</formula>
    </cfRule>
  </conditionalFormatting>
  <conditionalFormatting sqref="D489 F489">
    <cfRule type="expression" dxfId="19" priority="37">
      <formula>$F494=$E$4</formula>
    </cfRule>
  </conditionalFormatting>
  <conditionalFormatting sqref="E22:E23">
    <cfRule type="cellIs" dxfId="18" priority="138" operator="equal">
      <formula>""" """</formula>
    </cfRule>
    <cfRule type="containsText" dxfId="17" priority="137" operator="containsText" text=" ">
      <formula>NOT(ISERROR(SEARCH(" ",E22)))</formula>
    </cfRule>
    <cfRule type="cellIs" dxfId="16" priority="135" operator="equal">
      <formula>0</formula>
    </cfRule>
    <cfRule type="cellIs" dxfId="15" priority="136" operator="equal">
      <formula>""" """</formula>
    </cfRule>
  </conditionalFormatting>
  <conditionalFormatting sqref="F103">
    <cfRule type="expression" dxfId="14" priority="92">
      <formula>$F103=#REF!</formula>
    </cfRule>
  </conditionalFormatting>
  <conditionalFormatting sqref="G2">
    <cfRule type="cellIs" dxfId="13" priority="130" operator="equal">
      <formula>"LV"</formula>
    </cfRule>
  </conditionalFormatting>
  <conditionalFormatting sqref="G2:G37 G480:G490 G505:G512">
    <cfRule type="cellIs" dxfId="12" priority="131" operator="equal">
      <formula>"NL"</formula>
    </cfRule>
  </conditionalFormatting>
  <conditionalFormatting sqref="G3:G37 G481:G490 G506:G512">
    <cfRule type="cellIs" dxfId="11" priority="132" operator="equal">
      <formula>"LL"</formula>
    </cfRule>
  </conditionalFormatting>
  <conditionalFormatting sqref="G480">
    <cfRule type="cellIs" dxfId="10" priority="18" operator="equal">
      <formula>"LV"</formula>
    </cfRule>
  </conditionalFormatting>
  <conditionalFormatting sqref="G505">
    <cfRule type="cellIs" dxfId="9" priority="20" operator="equal">
      <formula>"LV"</formula>
    </cfRule>
  </conditionalFormatting>
  <dataValidations count="6">
    <dataValidation type="list" allowBlank="1" showErrorMessage="1" sqref="D2 D250 D79:D85" xr:uid="{EBD469F0-C163-4825-9384-121925AFC493}">
      <formula1>"F,M"</formula1>
    </dataValidation>
    <dataValidation type="list" allowBlank="1" showInputMessage="1" showErrorMessage="1" sqref="D3:D40 D51:D78 D86:D89 D257:D259 D251:D255 D380:D382 D384 D386:D387" xr:uid="{CC526E8C-17C0-4BB1-A4A3-F2E1B0622238}">
      <formula1>"F,M"</formula1>
    </dataValidation>
    <dataValidation type="list" allowBlank="1" showErrorMessage="1" sqref="D91 D471" xr:uid="{37147F17-EC09-40F4-B1F3-33A927638F79}">
      <formula1>"F,M"</formula1>
      <formula2>0</formula2>
    </dataValidation>
    <dataValidation type="list" allowBlank="1" showInputMessage="1" showErrorMessage="1" sqref="D90 D480:D522 D92:D195 D199:D249 D260:D379 D256 D383 D385 D388:D419 D421:D469" xr:uid="{39A0E693-258A-4F25-9FBF-7ECE5C6AD023}">
      <formula1>"F,M"</formula1>
      <formula2>0</formula2>
    </dataValidation>
    <dataValidation type="list" allowBlank="1" showErrorMessage="1" sqref="F89 F259 F387" xr:uid="{02710088-FC0E-450B-8650-1116B7AA9446}">
      <formula1>"API,ASM,ASV,CAO,CC2,COS,COU,TTJ-BUC,USBY,USP,VAU"</formula1>
    </dataValidation>
    <dataValidation type="list" allowBlank="1" showErrorMessage="1" sqref="F82:F88 F250:F258 F380:F386" xr:uid="{A5B96687-3645-4848-8B10-07CFC9B509E2}">
      <formula1>"API,ASM,ASV,CAO,CC2,COS,COU,JOUY,TTJ-BUC,USBY,USP,VAU"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13</vt:i4>
      </vt:variant>
    </vt:vector>
  </HeadingPairs>
  <TitlesOfParts>
    <vt:vector size="22" baseType="lpstr">
      <vt:lpstr>Synthèse</vt:lpstr>
      <vt:lpstr>Poussins</vt:lpstr>
      <vt:lpstr>Minimes</vt:lpstr>
      <vt:lpstr>Benjamins</vt:lpstr>
      <vt:lpstr>Cadets-Juniors</vt:lpstr>
      <vt:lpstr>Feminines</vt:lpstr>
      <vt:lpstr>Tableaux Croisés</vt:lpstr>
      <vt:lpstr>Clubs-Classements</vt:lpstr>
      <vt:lpstr>Dossard</vt:lpstr>
      <vt:lpstr>Benjamins!Impression_des_titres</vt:lpstr>
      <vt:lpstr>'Cadets-Juniors'!Impression_des_titres</vt:lpstr>
      <vt:lpstr>Feminines!Impression_des_titres</vt:lpstr>
      <vt:lpstr>Minimes!Impression_des_titres</vt:lpstr>
      <vt:lpstr>Poussins!Impression_des_titres</vt:lpstr>
      <vt:lpstr>Liste_Clubs</vt:lpstr>
      <vt:lpstr>VAU</vt:lpstr>
      <vt:lpstr>Benjamins!Zone_d_impression</vt:lpstr>
      <vt:lpstr>'Cadets-Juniors'!Zone_d_impression</vt:lpstr>
      <vt:lpstr>Feminines!Zone_d_impression</vt:lpstr>
      <vt:lpstr>Minimes!Zone_d_impression</vt:lpstr>
      <vt:lpstr>Poussins!Zone_d_impression</vt:lpstr>
      <vt:lpstr>'Tableaux Croisés'!Zone_d_impression</vt:lpstr>
    </vt:vector>
  </TitlesOfParts>
  <Company>Cytomics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dthomas</dc:creator>
  <cp:lastModifiedBy>Sandra LAURANDELLE</cp:lastModifiedBy>
  <cp:lastPrinted>2023-02-11T15:24:59Z</cp:lastPrinted>
  <dcterms:created xsi:type="dcterms:W3CDTF">2004-11-20T10:30:08Z</dcterms:created>
  <dcterms:modified xsi:type="dcterms:W3CDTF">2026-03-22T11:37:20Z</dcterms:modified>
</cp:coreProperties>
</file>