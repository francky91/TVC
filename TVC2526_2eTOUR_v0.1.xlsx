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ossards" sheetId="1" state="visible" r:id="rId3"/>
    <sheet name="Poussins" sheetId="2" state="visible" r:id="rId4"/>
    <sheet name="Benjamins" sheetId="3" state="visible" r:id="rId5"/>
    <sheet name="Minimes" sheetId="4" state="visible" r:id="rId6"/>
    <sheet name="Cadets-Juniors" sheetId="5" state="visible" r:id="rId7"/>
    <sheet name="Feminines" sheetId="6" state="visible" r:id="rId8"/>
    <sheet name="LISTTOUS" sheetId="7" state="hidden" r:id="rId9"/>
    <sheet name="LISTFEMININES" sheetId="8" state="hidden" r:id="rId10"/>
    <sheet name="TCD" sheetId="9" state="visible" r:id="rId11"/>
  </sheets>
  <externalReferences>
    <externalReference r:id="rId12"/>
  </externalReferences>
  <definedNames>
    <definedName function="false" hidden="false" localSheetId="2" name="_xlnm.Print_Area" vbProcedure="false">Benjamins!$B$1:$P$211</definedName>
    <definedName function="false" hidden="false" localSheetId="2" name="_xlnm.Print_Titles" vbProcedure="false">Benjamins!$1:$7</definedName>
    <definedName function="false" hidden="true" localSheetId="2" name="_xlnm._FilterDatabase" vbProcedure="false">Benjamins!$B$7:$P$212</definedName>
    <definedName function="false" hidden="false" localSheetId="4" name="_xlnm.Print_Area" vbProcedure="false">'Cadets-Juniors'!$B$1:$P$147</definedName>
    <definedName function="false" hidden="false" localSheetId="4" name="_xlnm.Print_Titles" vbProcedure="false">'Cadets-Juniors'!$1:$7</definedName>
    <definedName function="false" hidden="true" localSheetId="4" name="_xlnm._FilterDatabase" vbProcedure="false">'Cadets-Juniors'!$A$7:$P$147</definedName>
    <definedName function="false" hidden="true" localSheetId="0" name="_xlnm._FilterDatabase" vbProcedure="false">Dossards!$A$1:$F$1037</definedName>
    <definedName function="false" hidden="false" localSheetId="5" name="_xlnm.Print_Area" vbProcedure="false">Feminines!$B$1:$P$100</definedName>
    <definedName function="false" hidden="false" localSheetId="5" name="_xlnm.Print_Titles" vbProcedure="false">Feminines!$1:$7</definedName>
    <definedName function="false" hidden="true" localSheetId="5" name="_xlnm._FilterDatabase" vbProcedure="false">Feminines!$A$7:$P$102</definedName>
    <definedName function="false" hidden="false" localSheetId="6" name="_xlnm.Print_Area" vbProcedure="false">LISTTOUS!$A$1:$F$653</definedName>
    <definedName function="false" hidden="true" localSheetId="6" name="_xlnm._FilterDatabase" vbProcedure="false">LISTTOUS!$A$1:$F$653</definedName>
    <definedName function="false" hidden="false" localSheetId="3" name="_xlnm.Print_Area" vbProcedure="false">Minimes!$A$1:$P$185</definedName>
    <definedName function="false" hidden="false" localSheetId="3" name="_xlnm.Print_Titles" vbProcedure="false">Minimes!$1:$7</definedName>
    <definedName function="false" hidden="true" localSheetId="3" name="_xlnm._FilterDatabase" vbProcedure="false">Minimes!$A$7:$P$184</definedName>
    <definedName function="false" hidden="false" localSheetId="1" name="_xlnm.Print_Area" vbProcedure="false">Poussins!$B$1:$P$153</definedName>
    <definedName function="false" hidden="false" localSheetId="1" name="_xlnm.Print_Titles" vbProcedure="false">Poussins!$1:$7</definedName>
    <definedName function="false" hidden="true" localSheetId="1" name="_xlnm._FilterDatabase" vbProcedure="false">Poussins!$B$7:$P$154</definedName>
    <definedName function="false" hidden="false" name="DBenjamin" vbProcedure="false">[1]Feuil2!$B$3</definedName>
    <definedName function="false" hidden="false" name="DCadet" vbProcedure="false">[1]Feuil2!$B$5</definedName>
    <definedName function="false" hidden="false" name="DJunior" vbProcedure="false">[1]Feuil2!$B$6</definedName>
    <definedName function="false" hidden="false" name="DMinime" vbProcedure="false">[1]Feuil2!$B$4</definedName>
    <definedName function="false" hidden="false" name="DPoussin" vbProcedure="false">[1]Feuil2!$B$2</definedName>
    <definedName function="false" hidden="false" name="Liste_Clubs" vbProcedure="false">#REF!</definedName>
    <definedName function="false" hidden="false" name="VAU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<sst xmlns="http://schemas.openxmlformats.org/spreadsheetml/2006/main" count="10644" uniqueCount="1498">
  <si>
    <t xml:space="preserve">Dossard</t>
  </si>
  <si>
    <t xml:space="preserve">NOM</t>
  </si>
  <si>
    <t xml:space="preserve">PRENOM</t>
  </si>
  <si>
    <t xml:space="preserve">Sexe</t>
  </si>
  <si>
    <t xml:space="preserve"> Naiss</t>
  </si>
  <si>
    <t xml:space="preserve">Club</t>
  </si>
  <si>
    <t xml:space="preserve">Abbadi</t>
  </si>
  <si>
    <t xml:space="preserve">Neil</t>
  </si>
  <si>
    <t xml:space="preserve">M</t>
  </si>
  <si>
    <t xml:space="preserve">USP</t>
  </si>
  <si>
    <t xml:space="preserve">ACQUART</t>
  </si>
  <si>
    <t xml:space="preserve">LILIAN</t>
  </si>
  <si>
    <t xml:space="preserve">CAO</t>
  </si>
  <si>
    <t xml:space="preserve">Acremann</t>
  </si>
  <si>
    <t xml:space="preserve">Gabriel</t>
  </si>
  <si>
    <t xml:space="preserve">ADOUE</t>
  </si>
  <si>
    <t xml:space="preserve">Théo</t>
  </si>
  <si>
    <t xml:space="preserve">VAU</t>
  </si>
  <si>
    <t xml:space="preserve">AGUIAR</t>
  </si>
  <si>
    <t xml:space="preserve">Nuno</t>
  </si>
  <si>
    <t xml:space="preserve">COU</t>
  </si>
  <si>
    <t xml:space="preserve">AKGUL-TERRIER</t>
  </si>
  <si>
    <t xml:space="preserve">Evan</t>
  </si>
  <si>
    <t xml:space="preserve">Matéo</t>
  </si>
  <si>
    <t xml:space="preserve">ALAUME</t>
  </si>
  <si>
    <t xml:space="preserve">LOUISE</t>
  </si>
  <si>
    <t xml:space="preserve">F</t>
  </si>
  <si>
    <t xml:space="preserve">ALAUZET</t>
  </si>
  <si>
    <t xml:space="preserve">LUCA</t>
  </si>
  <si>
    <t xml:space="preserve">TTJ-BUC</t>
  </si>
  <si>
    <t xml:space="preserve">Alcide</t>
  </si>
  <si>
    <t xml:space="preserve">Ethan</t>
  </si>
  <si>
    <t xml:space="preserve">ALINE</t>
  </si>
  <si>
    <t xml:space="preserve">Calie</t>
  </si>
  <si>
    <t xml:space="preserve">API</t>
  </si>
  <si>
    <t xml:space="preserve">Milan</t>
  </si>
  <si>
    <t xml:space="preserve">ALVES</t>
  </si>
  <si>
    <t xml:space="preserve">Liam</t>
  </si>
  <si>
    <t xml:space="preserve">AMIAUD</t>
  </si>
  <si>
    <t xml:space="preserve">Nils</t>
  </si>
  <si>
    <t xml:space="preserve">AMMAR KHODJA</t>
  </si>
  <si>
    <t xml:space="preserve">Yanis</t>
  </si>
  <si>
    <t xml:space="preserve">AMOURETTE</t>
  </si>
  <si>
    <t xml:space="preserve">Léo</t>
  </si>
  <si>
    <t xml:space="preserve">Andrieux</t>
  </si>
  <si>
    <t xml:space="preserve">Laora</t>
  </si>
  <si>
    <t xml:space="preserve">Leelouane</t>
  </si>
  <si>
    <t xml:space="preserve">Timéo</t>
  </si>
  <si>
    <t xml:space="preserve">ANOKHIN</t>
  </si>
  <si>
    <t xml:space="preserve">Franck</t>
  </si>
  <si>
    <t xml:space="preserve">ARCHAMBAUD</t>
  </si>
  <si>
    <t xml:space="preserve">Laura</t>
  </si>
  <si>
    <t xml:space="preserve">CC2</t>
  </si>
  <si>
    <t xml:space="preserve">AREVALO</t>
  </si>
  <si>
    <t xml:space="preserve">Mathias</t>
  </si>
  <si>
    <t xml:space="preserve">ARIS</t>
  </si>
  <si>
    <t xml:space="preserve">Amayas</t>
  </si>
  <si>
    <t xml:space="preserve">ARJOUNIN</t>
  </si>
  <si>
    <t xml:space="preserve">LIAM</t>
  </si>
  <si>
    <t xml:space="preserve">NOAH</t>
  </si>
  <si>
    <t xml:space="preserve">ARMAND</t>
  </si>
  <si>
    <t xml:space="preserve">Arthur</t>
  </si>
  <si>
    <t xml:space="preserve">ARTUS</t>
  </si>
  <si>
    <t xml:space="preserve">Clément</t>
  </si>
  <si>
    <t xml:space="preserve">ASLAN</t>
  </si>
  <si>
    <t xml:space="preserve">Merwan</t>
  </si>
  <si>
    <t xml:space="preserve">AUBERGER</t>
  </si>
  <si>
    <t xml:space="preserve">Julien</t>
  </si>
  <si>
    <t xml:space="preserve">Aubert</t>
  </si>
  <si>
    <t xml:space="preserve">Lucie</t>
  </si>
  <si>
    <t xml:space="preserve">500</t>
  </si>
  <si>
    <t xml:space="preserve">AUBERT GUENIA</t>
  </si>
  <si>
    <t xml:space="preserve">AUBRY</t>
  </si>
  <si>
    <t xml:space="preserve">GABRIEL</t>
  </si>
  <si>
    <t xml:space="preserve">AUDE</t>
  </si>
  <si>
    <t xml:space="preserve">Jules</t>
  </si>
  <si>
    <t xml:space="preserve">Paul</t>
  </si>
  <si>
    <t xml:space="preserve">AUDISIO</t>
  </si>
  <si>
    <t xml:space="preserve">Alexandre</t>
  </si>
  <si>
    <t xml:space="preserve">Julian</t>
  </si>
  <si>
    <t xml:space="preserve">AUGUSTE</t>
  </si>
  <si>
    <t xml:space="preserve">David</t>
  </si>
  <si>
    <t xml:space="preserve">AUXOUX</t>
  </si>
  <si>
    <t xml:space="preserve">Sacha</t>
  </si>
  <si>
    <t xml:space="preserve">AYADI</t>
  </si>
  <si>
    <t xml:space="preserve">Elyes</t>
  </si>
  <si>
    <t xml:space="preserve">AYRAULT</t>
  </si>
  <si>
    <t xml:space="preserve">Elio</t>
  </si>
  <si>
    <t xml:space="preserve">Mathéïs</t>
  </si>
  <si>
    <t xml:space="preserve">AZAMBOURG</t>
  </si>
  <si>
    <t xml:space="preserve">Hadrien</t>
  </si>
  <si>
    <t xml:space="preserve">BABAUD</t>
  </si>
  <si>
    <t xml:space="preserve">Sévan</t>
  </si>
  <si>
    <t xml:space="preserve">BADUEL</t>
  </si>
  <si>
    <t xml:space="preserve">Edgar</t>
  </si>
  <si>
    <t xml:space="preserve">Bajard</t>
  </si>
  <si>
    <t xml:space="preserve">BALAGURA</t>
  </si>
  <si>
    <t xml:space="preserve">Michel</t>
  </si>
  <si>
    <t xml:space="preserve">BALIGAND</t>
  </si>
  <si>
    <t xml:space="preserve">CORENTIN</t>
  </si>
  <si>
    <t xml:space="preserve">BALLEREAU</t>
  </si>
  <si>
    <t xml:space="preserve">BALOCHE FERNOUX</t>
  </si>
  <si>
    <t xml:space="preserve">BAMBA</t>
  </si>
  <si>
    <t xml:space="preserve">Mohamed-Adams</t>
  </si>
  <si>
    <t xml:space="preserve">BAMHAMMED</t>
  </si>
  <si>
    <t xml:space="preserve">Adil</t>
  </si>
  <si>
    <t xml:space="preserve">BANU</t>
  </si>
  <si>
    <t xml:space="preserve">Luca</t>
  </si>
  <si>
    <t xml:space="preserve">BARBAR</t>
  </si>
  <si>
    <t xml:space="preserve">Jeanne</t>
  </si>
  <si>
    <t xml:space="preserve">BARBIER</t>
  </si>
  <si>
    <t xml:space="preserve">BARRAUD</t>
  </si>
  <si>
    <t xml:space="preserve">Louis</t>
  </si>
  <si>
    <t xml:space="preserve">BASSET</t>
  </si>
  <si>
    <t xml:space="preserve">THEO</t>
  </si>
  <si>
    <t xml:space="preserve">BASSIR</t>
  </si>
  <si>
    <t xml:space="preserve">Ryan</t>
  </si>
  <si>
    <t xml:space="preserve">BAUDOU</t>
  </si>
  <si>
    <t xml:space="preserve">Ilyan</t>
  </si>
  <si>
    <t xml:space="preserve">ASM</t>
  </si>
  <si>
    <t xml:space="preserve">BAUDRY JAMINET</t>
  </si>
  <si>
    <t xml:space="preserve">Mattéo</t>
  </si>
  <si>
    <t xml:space="preserve">BEAUFILS</t>
  </si>
  <si>
    <t xml:space="preserve">Tom</t>
  </si>
  <si>
    <t xml:space="preserve">BEAUJOT</t>
  </si>
  <si>
    <t xml:space="preserve">Jean</t>
  </si>
  <si>
    <t xml:space="preserve">BEAUMONT</t>
  </si>
  <si>
    <t xml:space="preserve">Axel</t>
  </si>
  <si>
    <t xml:space="preserve">BEAUVINEAU</t>
  </si>
  <si>
    <t xml:space="preserve">USBY</t>
  </si>
  <si>
    <t xml:space="preserve">BECAM</t>
  </si>
  <si>
    <t xml:space="preserve">BECQUEREL </t>
  </si>
  <si>
    <t xml:space="preserve">Nathan</t>
  </si>
  <si>
    <t xml:space="preserve">BEGDOUCHE</t>
  </si>
  <si>
    <t xml:space="preserve">Erwan</t>
  </si>
  <si>
    <t xml:space="preserve">BEGIS</t>
  </si>
  <si>
    <t xml:space="preserve">Roméo</t>
  </si>
  <si>
    <t xml:space="preserve">BELHOUARI</t>
  </si>
  <si>
    <t xml:space="preserve">Sami</t>
  </si>
  <si>
    <t xml:space="preserve">BELKHICHANE</t>
  </si>
  <si>
    <t xml:space="preserve">Ilian</t>
  </si>
  <si>
    <t xml:space="preserve">BELLAHOUEL</t>
  </si>
  <si>
    <t xml:space="preserve">Sophia</t>
  </si>
  <si>
    <t xml:space="preserve">ASV</t>
  </si>
  <si>
    <t xml:space="preserve">BELLENGER</t>
  </si>
  <si>
    <t xml:space="preserve">BELLIER</t>
  </si>
  <si>
    <t xml:space="preserve">BELLIL NASCIET</t>
  </si>
  <si>
    <t xml:space="preserve">Nora</t>
  </si>
  <si>
    <t xml:space="preserve">BEN ABDALLAH</t>
  </si>
  <si>
    <t xml:space="preserve">Jude</t>
  </si>
  <si>
    <t xml:space="preserve">BEN GHORBAL</t>
  </si>
  <si>
    <t xml:space="preserve">Mohamed Awess</t>
  </si>
  <si>
    <t xml:space="preserve">BENAISSA</t>
  </si>
  <si>
    <t xml:space="preserve">Elias</t>
  </si>
  <si>
    <t xml:space="preserve">BENAZERAF</t>
  </si>
  <si>
    <t xml:space="preserve">Ely</t>
  </si>
  <si>
    <t xml:space="preserve">BENFDILA</t>
  </si>
  <si>
    <t xml:space="preserve">Amir</t>
  </si>
  <si>
    <t xml:space="preserve">BENHAMOU</t>
  </si>
  <si>
    <t xml:space="preserve">Ilan</t>
  </si>
  <si>
    <t xml:space="preserve">benjamin marcoussis</t>
  </si>
  <si>
    <t xml:space="preserve">??</t>
  </si>
  <si>
    <t xml:space="preserve">BENOIT</t>
  </si>
  <si>
    <t xml:space="preserve">VALENTIN</t>
  </si>
  <si>
    <t xml:space="preserve">BENTEGHEROUIT</t>
  </si>
  <si>
    <t xml:space="preserve">Adam</t>
  </si>
  <si>
    <t xml:space="preserve">BERENBACH</t>
  </si>
  <si>
    <t xml:space="preserve">Fabian</t>
  </si>
  <si>
    <t xml:space="preserve">BEREZIAT</t>
  </si>
  <si>
    <t xml:space="preserve">Zachary</t>
  </si>
  <si>
    <t xml:space="preserve">BERNARD AUBIN</t>
  </si>
  <si>
    <t xml:space="preserve">Côme</t>
  </si>
  <si>
    <t xml:space="preserve">BERNUCHON</t>
  </si>
  <si>
    <t xml:space="preserve">BERTAUX</t>
  </si>
  <si>
    <t xml:space="preserve">BERTON MACIA</t>
  </si>
  <si>
    <t xml:space="preserve">BESSON DRUI</t>
  </si>
  <si>
    <t xml:space="preserve">Basile</t>
  </si>
  <si>
    <t xml:space="preserve">Salomé</t>
  </si>
  <si>
    <t xml:space="preserve">BETORED</t>
  </si>
  <si>
    <t xml:space="preserve">Maxim</t>
  </si>
  <si>
    <t xml:space="preserve">BEUVELET</t>
  </si>
  <si>
    <t xml:space="preserve">BENJAMIN</t>
  </si>
  <si>
    <t xml:space="preserve">BEYER</t>
  </si>
  <si>
    <t xml:space="preserve">Clothilde</t>
  </si>
  <si>
    <t xml:space="preserve">BHATTI</t>
  </si>
  <si>
    <t xml:space="preserve">Issa</t>
  </si>
  <si>
    <t xml:space="preserve">Bhatti</t>
  </si>
  <si>
    <t xml:space="preserve">Moussa</t>
  </si>
  <si>
    <t xml:space="preserve">BICHON-KOUACHI</t>
  </si>
  <si>
    <t xml:space="preserve">Joseph</t>
  </si>
  <si>
    <t xml:space="preserve">BIÉLANDE</t>
  </si>
  <si>
    <t xml:space="preserve">Emmy</t>
  </si>
  <si>
    <t xml:space="preserve">BIENVENU</t>
  </si>
  <si>
    <t xml:space="preserve">Anatole</t>
  </si>
  <si>
    <t xml:space="preserve">BIRYUKOV</t>
  </si>
  <si>
    <t xml:space="preserve">Aleksandr</t>
  </si>
  <si>
    <t xml:space="preserve">BITAN</t>
  </si>
  <si>
    <t xml:space="preserve">COS</t>
  </si>
  <si>
    <t xml:space="preserve">BITTOUN</t>
  </si>
  <si>
    <t xml:space="preserve">Thomas</t>
  </si>
  <si>
    <t xml:space="preserve">Bizou</t>
  </si>
  <si>
    <t xml:space="preserve">Gabin</t>
  </si>
  <si>
    <t xml:space="preserve">BLANLUET</t>
  </si>
  <si>
    <t xml:space="preserve">Constance</t>
  </si>
  <si>
    <t xml:space="preserve">Blond Berger</t>
  </si>
  <si>
    <t xml:space="preserve">Andrew</t>
  </si>
  <si>
    <t xml:space="preserve">BOECKMAN</t>
  </si>
  <si>
    <t xml:space="preserve">JULIAN</t>
  </si>
  <si>
    <t xml:space="preserve">BOECKMANN</t>
  </si>
  <si>
    <t xml:space="preserve">BOENTE MENARD</t>
  </si>
  <si>
    <t xml:space="preserve">Gaspard</t>
  </si>
  <si>
    <t xml:space="preserve">BOIZETTE</t>
  </si>
  <si>
    <t xml:space="preserve">BOLLENGIER</t>
  </si>
  <si>
    <t xml:space="preserve">BOLLIG</t>
  </si>
  <si>
    <t xml:space="preserve">Lucas</t>
  </si>
  <si>
    <t xml:space="preserve">Maxime</t>
  </si>
  <si>
    <t xml:space="preserve">BON</t>
  </si>
  <si>
    <t xml:space="preserve">Hugo</t>
  </si>
  <si>
    <t xml:space="preserve">BONNISSEAU</t>
  </si>
  <si>
    <t xml:space="preserve">Tanguy</t>
  </si>
  <si>
    <t xml:space="preserve">BORDY-LACHEZE</t>
  </si>
  <si>
    <t xml:space="preserve">Elie</t>
  </si>
  <si>
    <t xml:space="preserve">Samuel</t>
  </si>
  <si>
    <t xml:space="preserve">BOREL</t>
  </si>
  <si>
    <t xml:space="preserve">Rose</t>
  </si>
  <si>
    <t xml:space="preserve">BORNE</t>
  </si>
  <si>
    <t xml:space="preserve">Aïden</t>
  </si>
  <si>
    <t xml:space="preserve">BORY</t>
  </si>
  <si>
    <t xml:space="preserve">Mathis</t>
  </si>
  <si>
    <t xml:space="preserve">BOSC-VIRTON</t>
  </si>
  <si>
    <t xml:space="preserve">BOSCHET MARECHAL</t>
  </si>
  <si>
    <t xml:space="preserve">BOUBILE-LALUCQ</t>
  </si>
  <si>
    <t xml:space="preserve">BOUCHET</t>
  </si>
  <si>
    <t xml:space="preserve">Etienne</t>
  </si>
  <si>
    <t xml:space="preserve">BOUDGUIGA</t>
  </si>
  <si>
    <t xml:space="preserve">Amine</t>
  </si>
  <si>
    <t xml:space="preserve">BOULILA</t>
  </si>
  <si>
    <t xml:space="preserve">Mohamed</t>
  </si>
  <si>
    <t xml:space="preserve">BOULLEE</t>
  </si>
  <si>
    <t xml:space="preserve">BAPTISTE</t>
  </si>
  <si>
    <t xml:space="preserve">BOURDEL</t>
  </si>
  <si>
    <t xml:space="preserve">Baptiste</t>
  </si>
  <si>
    <t xml:space="preserve">Baptiste </t>
  </si>
  <si>
    <t xml:space="preserve">BOURGEOIS</t>
  </si>
  <si>
    <t xml:space="preserve">Benjamin</t>
  </si>
  <si>
    <t xml:space="preserve">BOURGEONNIER</t>
  </si>
  <si>
    <t xml:space="preserve">Raphaël</t>
  </si>
  <si>
    <t xml:space="preserve">BOUSSUGE</t>
  </si>
  <si>
    <t xml:space="preserve">BOUVET</t>
  </si>
  <si>
    <t xml:space="preserve">BOVET</t>
  </si>
  <si>
    <t xml:space="preserve">Adrien</t>
  </si>
  <si>
    <t xml:space="preserve">BOYER</t>
  </si>
  <si>
    <t xml:space="preserve">Noam</t>
  </si>
  <si>
    <t xml:space="preserve">BRAHMI</t>
  </si>
  <si>
    <t xml:space="preserve">Aghilas</t>
  </si>
  <si>
    <t xml:space="preserve">BRANLE</t>
  </si>
  <si>
    <t xml:space="preserve">BRAULT</t>
  </si>
  <si>
    <t xml:space="preserve">Auxane</t>
  </si>
  <si>
    <t xml:space="preserve">BRETTEVILLE</t>
  </si>
  <si>
    <t xml:space="preserve">Timothee</t>
  </si>
  <si>
    <t xml:space="preserve">Timothée</t>
  </si>
  <si>
    <t xml:space="preserve">BROCQ</t>
  </si>
  <si>
    <t xml:space="preserve">BROUARD</t>
  </si>
  <si>
    <t xml:space="preserve">Kristen</t>
  </si>
  <si>
    <t xml:space="preserve">BROUILLON</t>
  </si>
  <si>
    <t xml:space="preserve">Shanèsia</t>
  </si>
  <si>
    <t xml:space="preserve">BRUGEILLES</t>
  </si>
  <si>
    <t xml:space="preserve">Noé</t>
  </si>
  <si>
    <t xml:space="preserve">BRUNEL</t>
  </si>
  <si>
    <t xml:space="preserve">Andréa</t>
  </si>
  <si>
    <t xml:space="preserve">BRUNI</t>
  </si>
  <si>
    <t xml:space="preserve">Charlie</t>
  </si>
  <si>
    <t xml:space="preserve">BUGUET</t>
  </si>
  <si>
    <t xml:space="preserve">Adryan</t>
  </si>
  <si>
    <t xml:space="preserve">BULFAY-TAVARES</t>
  </si>
  <si>
    <t xml:space="preserve">MAXIME</t>
  </si>
  <si>
    <t xml:space="preserve">BUSSIERE</t>
  </si>
  <si>
    <t xml:space="preserve">BUTAUD</t>
  </si>
  <si>
    <t xml:space="preserve">Victor</t>
  </si>
  <si>
    <t xml:space="preserve">CADERE ROEHRIG</t>
  </si>
  <si>
    <t xml:space="preserve">Emma</t>
  </si>
  <si>
    <t xml:space="preserve">CAHNE HADJAF</t>
  </si>
  <si>
    <t xml:space="preserve">CAILLERIE</t>
  </si>
  <si>
    <t xml:space="preserve">ANTOINE</t>
  </si>
  <si>
    <t xml:space="preserve">MARIE</t>
  </si>
  <si>
    <t xml:space="preserve">CALECA</t>
  </si>
  <si>
    <t xml:space="preserve">Manon</t>
  </si>
  <si>
    <t xml:space="preserve">CANARD</t>
  </si>
  <si>
    <t xml:space="preserve">LAURA</t>
  </si>
  <si>
    <t xml:space="preserve">CARDON</t>
  </si>
  <si>
    <t xml:space="preserve">Antoine</t>
  </si>
  <si>
    <t xml:space="preserve">CARPENTIER</t>
  </si>
  <si>
    <t xml:space="preserve">Carpentier</t>
  </si>
  <si>
    <t xml:space="preserve">CARRE</t>
  </si>
  <si>
    <t xml:space="preserve">Enoah</t>
  </si>
  <si>
    <t xml:space="preserve">CASTAGNE</t>
  </si>
  <si>
    <t xml:space="preserve">CASTET DE BIAUGUE</t>
  </si>
  <si>
    <t xml:space="preserve">Arsène</t>
  </si>
  <si>
    <t xml:space="preserve">CATHERIN</t>
  </si>
  <si>
    <t xml:space="preserve">Alice</t>
  </si>
  <si>
    <t xml:space="preserve">Julie</t>
  </si>
  <si>
    <t xml:space="preserve">CAUD</t>
  </si>
  <si>
    <t xml:space="preserve">Nael</t>
  </si>
  <si>
    <t xml:space="preserve">Naël</t>
  </si>
  <si>
    <t xml:space="preserve">CAUSSE</t>
  </si>
  <si>
    <t xml:space="preserve">CAZAUBON</t>
  </si>
  <si>
    <t xml:space="preserve">CELMA CHAPOT</t>
  </si>
  <si>
    <t xml:space="preserve">Nattan</t>
  </si>
  <si>
    <t xml:space="preserve">CHANAL</t>
  </si>
  <si>
    <t xml:space="preserve">CHANTREAU</t>
  </si>
  <si>
    <t xml:space="preserve">Chappert</t>
  </si>
  <si>
    <t xml:space="preserve">William</t>
  </si>
  <si>
    <t xml:space="preserve">CHAPPUIS</t>
  </si>
  <si>
    <t xml:space="preserve">CHARINI</t>
  </si>
  <si>
    <t xml:space="preserve">Maël</t>
  </si>
  <si>
    <t xml:space="preserve">CHARLES</t>
  </si>
  <si>
    <t xml:space="preserve">Dorian</t>
  </si>
  <si>
    <t xml:space="preserve">CHARLÈS</t>
  </si>
  <si>
    <t xml:space="preserve">Loan</t>
  </si>
  <si>
    <t xml:space="preserve">CHARMILLON</t>
  </si>
  <si>
    <t xml:space="preserve">CHARROUD</t>
  </si>
  <si>
    <t xml:space="preserve">Ivan</t>
  </si>
  <si>
    <t xml:space="preserve">CHAUVIN</t>
  </si>
  <si>
    <t xml:space="preserve">Marceau</t>
  </si>
  <si>
    <t xml:space="preserve">Chauvin</t>
  </si>
  <si>
    <t xml:space="preserve">CHAVEPEYER</t>
  </si>
  <si>
    <t xml:space="preserve">Mako</t>
  </si>
  <si>
    <t xml:space="preserve">Niko</t>
  </si>
  <si>
    <t xml:space="preserve">Chen</t>
  </si>
  <si>
    <t xml:space="preserve">CHEN</t>
  </si>
  <si>
    <t xml:space="preserve">Iris-Xiya</t>
  </si>
  <si>
    <t xml:space="preserve">CHÉRY</t>
  </si>
  <si>
    <t xml:space="preserve">CHIKH</t>
  </si>
  <si>
    <t xml:space="preserve">Racim</t>
  </si>
  <si>
    <t xml:space="preserve">CHIKI</t>
  </si>
  <si>
    <t xml:space="preserve">Nayel</t>
  </si>
  <si>
    <t xml:space="preserve">CHOFFRUT</t>
  </si>
  <si>
    <t xml:space="preserve">Camille</t>
  </si>
  <si>
    <t xml:space="preserve">CHOTTE-FATRAS</t>
  </si>
  <si>
    <t xml:space="preserve">CHOURAQUI</t>
  </si>
  <si>
    <t xml:space="preserve">CICCOLI</t>
  </si>
  <si>
    <t xml:space="preserve">COLLIN</t>
  </si>
  <si>
    <t xml:space="preserve">CONSTANT</t>
  </si>
  <si>
    <t xml:space="preserve">Inès</t>
  </si>
  <si>
    <t xml:space="preserve">CONTRERAS</t>
  </si>
  <si>
    <t xml:space="preserve">Mathieu</t>
  </si>
  <si>
    <t xml:space="preserve">CORDE</t>
  </si>
  <si>
    <t xml:space="preserve">Corlaix</t>
  </si>
  <si>
    <t xml:space="preserve">CORNIER</t>
  </si>
  <si>
    <t xml:space="preserve">Djani</t>
  </si>
  <si>
    <t xml:space="preserve">CORREIA</t>
  </si>
  <si>
    <t xml:space="preserve">EMMY</t>
  </si>
  <si>
    <t xml:space="preserve">CORTES</t>
  </si>
  <si>
    <t xml:space="preserve">Rafael</t>
  </si>
  <si>
    <t xml:space="preserve">COUFFIGNAL</t>
  </si>
  <si>
    <t xml:space="preserve">Romain</t>
  </si>
  <si>
    <t xml:space="preserve">COULAIS NOZUE</t>
  </si>
  <si>
    <t xml:space="preserve">Yuzuki</t>
  </si>
  <si>
    <t xml:space="preserve">COULIBALY</t>
  </si>
  <si>
    <t xml:space="preserve">Noham</t>
  </si>
  <si>
    <t xml:space="preserve">COULIN DEDENON</t>
  </si>
  <si>
    <t xml:space="preserve">Kilian</t>
  </si>
  <si>
    <t xml:space="preserve">COURAULT</t>
  </si>
  <si>
    <t xml:space="preserve">COURBIN</t>
  </si>
  <si>
    <t xml:space="preserve">Armand</t>
  </si>
  <si>
    <t xml:space="preserve">COUSSEMENT</t>
  </si>
  <si>
    <t xml:space="preserve">COUVAL</t>
  </si>
  <si>
    <t xml:space="preserve">CUIGNET</t>
  </si>
  <si>
    <t xml:space="preserve">Augustin</t>
  </si>
  <si>
    <t xml:space="preserve">CUNHA</t>
  </si>
  <si>
    <t xml:space="preserve">Mateo</t>
  </si>
  <si>
    <t xml:space="preserve">CURTI</t>
  </si>
  <si>
    <t xml:space="preserve">Come</t>
  </si>
  <si>
    <t xml:space="preserve">Curti</t>
  </si>
  <si>
    <t xml:space="preserve">D'HUART</t>
  </si>
  <si>
    <t xml:space="preserve">Elouann</t>
  </si>
  <si>
    <t xml:space="preserve">Gaetan</t>
  </si>
  <si>
    <t xml:space="preserve">D’HUART</t>
  </si>
  <si>
    <t xml:space="preserve">Kyliann</t>
  </si>
  <si>
    <t xml:space="preserve">Dagostino Bourras</t>
  </si>
  <si>
    <t xml:space="preserve">Nail</t>
  </si>
  <si>
    <t xml:space="preserve">DALHEM</t>
  </si>
  <si>
    <t xml:space="preserve">Ayoub</t>
  </si>
  <si>
    <t xml:space="preserve">DALLERAC</t>
  </si>
  <si>
    <t xml:space="preserve">Caelan</t>
  </si>
  <si>
    <t xml:space="preserve">DALLONI NIVET</t>
  </si>
  <si>
    <t xml:space="preserve">Tibo</t>
  </si>
  <si>
    <t xml:space="preserve">DAOUD</t>
  </si>
  <si>
    <t xml:space="preserve">Edem</t>
  </si>
  <si>
    <t xml:space="preserve">DARNIEAUD</t>
  </si>
  <si>
    <t xml:space="preserve">Florent</t>
  </si>
  <si>
    <t xml:space="preserve">Yoann</t>
  </si>
  <si>
    <t xml:space="preserve">DE BAENE</t>
  </si>
  <si>
    <t xml:space="preserve">Maxence</t>
  </si>
  <si>
    <t xml:space="preserve">DE OLIVEIRA</t>
  </si>
  <si>
    <t xml:space="preserve">DEBIENNE</t>
  </si>
  <si>
    <t xml:space="preserve">DEBSKI</t>
  </si>
  <si>
    <t xml:space="preserve">DECOCK</t>
  </si>
  <si>
    <t xml:space="preserve">Mathys</t>
  </si>
  <si>
    <t xml:space="preserve">DECODTS</t>
  </si>
  <si>
    <t xml:space="preserve">Amaury</t>
  </si>
  <si>
    <t xml:space="preserve">DEFAIX</t>
  </si>
  <si>
    <t xml:space="preserve">DEJONC</t>
  </si>
  <si>
    <t xml:space="preserve">DELACOTTE</t>
  </si>
  <si>
    <t xml:space="preserve">Sandro</t>
  </si>
  <si>
    <t xml:space="preserve">DELAMARRE CERQUEIRA</t>
  </si>
  <si>
    <t xml:space="preserve">Valentin</t>
  </si>
  <si>
    <t xml:space="preserve">DELAYE MOCQUARD</t>
  </si>
  <si>
    <t xml:space="preserve">Evangeline</t>
  </si>
  <si>
    <t xml:space="preserve">Joscelin</t>
  </si>
  <si>
    <t xml:space="preserve">DELETRAIN</t>
  </si>
  <si>
    <t xml:space="preserve">Emerys</t>
  </si>
  <si>
    <t xml:space="preserve">DELETRE</t>
  </si>
  <si>
    <t xml:space="preserve">Nessia</t>
  </si>
  <si>
    <t xml:space="preserve">DELFOSSE</t>
  </si>
  <si>
    <t xml:space="preserve">Delfosse</t>
  </si>
  <si>
    <t xml:space="preserve">DELORME AMARAL</t>
  </si>
  <si>
    <t xml:space="preserve">Eliott</t>
  </si>
  <si>
    <t xml:space="preserve">DELTHEIL</t>
  </si>
  <si>
    <t xml:space="preserve">Gauvin</t>
  </si>
  <si>
    <t xml:space="preserve">Ombeline</t>
  </si>
  <si>
    <t xml:space="preserve">DEMOISSON NARIYAMA</t>
  </si>
  <si>
    <t xml:space="preserve">Sasha</t>
  </si>
  <si>
    <t xml:space="preserve">DEMOULIN LECOLE</t>
  </si>
  <si>
    <t xml:space="preserve">Hector</t>
  </si>
  <si>
    <t xml:space="preserve">DEPLAIX</t>
  </si>
  <si>
    <t xml:space="preserve">DERIVE</t>
  </si>
  <si>
    <t xml:space="preserve">Guillaume</t>
  </si>
  <si>
    <t xml:space="preserve">DERKAOUI</t>
  </si>
  <si>
    <t xml:space="preserve">Aymane</t>
  </si>
  <si>
    <t xml:space="preserve">DESBOUVRIES</t>
  </si>
  <si>
    <t xml:space="preserve">DESPLOS</t>
  </si>
  <si>
    <t xml:space="preserve">DESPRIN</t>
  </si>
  <si>
    <t xml:space="preserve">Lya</t>
  </si>
  <si>
    <t xml:space="preserve">DESRETTES</t>
  </si>
  <si>
    <t xml:space="preserve">DIALLO</t>
  </si>
  <si>
    <t xml:space="preserve">Hadi</t>
  </si>
  <si>
    <t xml:space="preserve">Noah</t>
  </si>
  <si>
    <t xml:space="preserve">DIDELOT</t>
  </si>
  <si>
    <t xml:space="preserve">DILLARD</t>
  </si>
  <si>
    <t xml:space="preserve">Charlotte</t>
  </si>
  <si>
    <t xml:space="preserve">DIOT</t>
  </si>
  <si>
    <t xml:space="preserve">MATHIEU</t>
  </si>
  <si>
    <t xml:space="preserve">DIZAMBOURG--OGER</t>
  </si>
  <si>
    <t xml:space="preserve">Maé</t>
  </si>
  <si>
    <t xml:space="preserve">DOKHAN</t>
  </si>
  <si>
    <t xml:space="preserve">DOLGOROUKY</t>
  </si>
  <si>
    <t xml:space="preserve">ARTHUR</t>
  </si>
  <si>
    <t xml:space="preserve">MELANIE</t>
  </si>
  <si>
    <t xml:space="preserve">Dos Santos</t>
  </si>
  <si>
    <t xml:space="preserve">Lenzo</t>
  </si>
  <si>
    <t xml:space="preserve">DOS SANTOS</t>
  </si>
  <si>
    <t xml:space="preserve">DOS SANTOS LEMOS</t>
  </si>
  <si>
    <t xml:space="preserve">DOSME</t>
  </si>
  <si>
    <t xml:space="preserve">ANTONIN</t>
  </si>
  <si>
    <t xml:space="preserve">Antonin</t>
  </si>
  <si>
    <t xml:space="preserve">DOUARCHE</t>
  </si>
  <si>
    <t xml:space="preserve">LUC</t>
  </si>
  <si>
    <t xml:space="preserve">DOUBLET DECABRAS</t>
  </si>
  <si>
    <t xml:space="preserve">Pierre</t>
  </si>
  <si>
    <t xml:space="preserve">DRAME</t>
  </si>
  <si>
    <t xml:space="preserve">Ibrahim</t>
  </si>
  <si>
    <t xml:space="preserve">DRAY</t>
  </si>
  <si>
    <t xml:space="preserve">DREANO PERSON</t>
  </si>
  <si>
    <t xml:space="preserve">Maloïs</t>
  </si>
  <si>
    <t xml:space="preserve">DREUX</t>
  </si>
  <si>
    <t xml:space="preserve">DUBOIS</t>
  </si>
  <si>
    <t xml:space="preserve">AXEL</t>
  </si>
  <si>
    <t xml:space="preserve">PAUL</t>
  </si>
  <si>
    <t xml:space="preserve">Timoé</t>
  </si>
  <si>
    <t xml:space="preserve">DUJARRIER MOY</t>
  </si>
  <si>
    <t xml:space="preserve">Elsa</t>
  </si>
  <si>
    <t xml:space="preserve">Dumas</t>
  </si>
  <si>
    <t xml:space="preserve">DUMAS-BELEYRIAN</t>
  </si>
  <si>
    <t xml:space="preserve">Margot</t>
  </si>
  <si>
    <t xml:space="preserve">DUMOUTIER</t>
  </si>
  <si>
    <t xml:space="preserve">DUPE RODRIGUES</t>
  </si>
  <si>
    <t xml:space="preserve">DUPERRET</t>
  </si>
  <si>
    <t xml:space="preserve">DUPUY</t>
  </si>
  <si>
    <t xml:space="preserve">DURAND</t>
  </si>
  <si>
    <t xml:space="preserve">DURVILLE</t>
  </si>
  <si>
    <t xml:space="preserve">DUSSAUX COLLO</t>
  </si>
  <si>
    <t xml:space="preserve">Raphaëlle</t>
  </si>
  <si>
    <t xml:space="preserve">DUTARTRE</t>
  </si>
  <si>
    <t xml:space="preserve">AYMERIC</t>
  </si>
  <si>
    <t xml:space="preserve">DUVAL</t>
  </si>
  <si>
    <t xml:space="preserve">Alessio</t>
  </si>
  <si>
    <t xml:space="preserve">EHLINGER</t>
  </si>
  <si>
    <t xml:space="preserve">EHONGO</t>
  </si>
  <si>
    <t xml:space="preserve">Lorenzo</t>
  </si>
  <si>
    <t xml:space="preserve">EL AKOUM</t>
  </si>
  <si>
    <t xml:space="preserve">Samir</t>
  </si>
  <si>
    <t xml:space="preserve">EL BARNOUSSI</t>
  </si>
  <si>
    <t xml:space="preserve">Ayman</t>
  </si>
  <si>
    <t xml:space="preserve">EL KHARRATE</t>
  </si>
  <si>
    <t xml:space="preserve">Sonia</t>
  </si>
  <si>
    <t xml:space="preserve">EL MATOUI</t>
  </si>
  <si>
    <t xml:space="preserve">Younes</t>
  </si>
  <si>
    <t xml:space="preserve">ELLAHI</t>
  </si>
  <si>
    <t xml:space="preserve">Mohammad Hannan</t>
  </si>
  <si>
    <t xml:space="preserve">EMERY RODIER</t>
  </si>
  <si>
    <t xml:space="preserve">Noë</t>
  </si>
  <si>
    <t xml:space="preserve">ENJARY</t>
  </si>
  <si>
    <t xml:space="preserve">EON</t>
  </si>
  <si>
    <t xml:space="preserve">ESSID</t>
  </si>
  <si>
    <t xml:space="preserve">Mehdi</t>
  </si>
  <si>
    <t xml:space="preserve">FABRY</t>
  </si>
  <si>
    <t xml:space="preserve">FACON</t>
  </si>
  <si>
    <t xml:space="preserve">Valentine</t>
  </si>
  <si>
    <t xml:space="preserve">FAICHE</t>
  </si>
  <si>
    <t xml:space="preserve">Selma</t>
  </si>
  <si>
    <t xml:space="preserve">FAIVRE</t>
  </si>
  <si>
    <t xml:space="preserve">FALINOWER</t>
  </si>
  <si>
    <t xml:space="preserve">Saël</t>
  </si>
  <si>
    <t xml:space="preserve">FALL</t>
  </si>
  <si>
    <t xml:space="preserve">Noa</t>
  </si>
  <si>
    <t xml:space="preserve">Ouali</t>
  </si>
  <si>
    <t xml:space="preserve">FAUX</t>
  </si>
  <si>
    <t xml:space="preserve">Juliann</t>
  </si>
  <si>
    <t xml:space="preserve">FAVA LOPEZ</t>
  </si>
  <si>
    <t xml:space="preserve">Enzo</t>
  </si>
  <si>
    <t xml:space="preserve">Pablo</t>
  </si>
  <si>
    <t xml:space="preserve">FAVORSKIY</t>
  </si>
  <si>
    <t xml:space="preserve">FAYE </t>
  </si>
  <si>
    <t xml:space="preserve">FEDRONIE</t>
  </si>
  <si>
    <t xml:space="preserve">Hayden</t>
  </si>
  <si>
    <t xml:space="preserve">FELDMANN</t>
  </si>
  <si>
    <t xml:space="preserve">Oscar</t>
  </si>
  <si>
    <t xml:space="preserve">FELLOUS</t>
  </si>
  <si>
    <t xml:space="preserve">Jonah</t>
  </si>
  <si>
    <t xml:space="preserve">FERNANDES</t>
  </si>
  <si>
    <t xml:space="preserve">Eva</t>
  </si>
  <si>
    <t xml:space="preserve">FERREIRA GALVAO</t>
  </si>
  <si>
    <t xml:space="preserve">Capucine</t>
  </si>
  <si>
    <t xml:space="preserve">FEVER</t>
  </si>
  <si>
    <t xml:space="preserve">FICHET</t>
  </si>
  <si>
    <t xml:space="preserve">Lysandre</t>
  </si>
  <si>
    <t xml:space="preserve">FILLEAU</t>
  </si>
  <si>
    <t xml:space="preserve">FILLON</t>
  </si>
  <si>
    <t xml:space="preserve">Kaiss</t>
  </si>
  <si>
    <t xml:space="preserve">FLAMENT</t>
  </si>
  <si>
    <t xml:space="preserve">Corentin</t>
  </si>
  <si>
    <t xml:space="preserve">Emilien</t>
  </si>
  <si>
    <t xml:space="preserve">FOFANA</t>
  </si>
  <si>
    <t xml:space="preserve">FOKIN</t>
  </si>
  <si>
    <t xml:space="preserve">Lev</t>
  </si>
  <si>
    <t xml:space="preserve">FOLLAIN</t>
  </si>
  <si>
    <t xml:space="preserve">FORT BARDAUD</t>
  </si>
  <si>
    <t xml:space="preserve">FOURATI</t>
  </si>
  <si>
    <t xml:space="preserve">ILYES</t>
  </si>
  <si>
    <t xml:space="preserve">FOURMY</t>
  </si>
  <si>
    <t xml:space="preserve">ALIX</t>
  </si>
  <si>
    <t xml:space="preserve">FRANCOIS</t>
  </si>
  <si>
    <t xml:space="preserve">Nathanael</t>
  </si>
  <si>
    <t xml:space="preserve">Nathanaël</t>
  </si>
  <si>
    <t xml:space="preserve">FREGEFON</t>
  </si>
  <si>
    <t xml:space="preserve">Hélios</t>
  </si>
  <si>
    <t xml:space="preserve">519</t>
  </si>
  <si>
    <t xml:space="preserve">FRENDI</t>
  </si>
  <si>
    <t xml:space="preserve">Idriss</t>
  </si>
  <si>
    <t xml:space="preserve">FRESNEL</t>
  </si>
  <si>
    <t xml:space="preserve">Max</t>
  </si>
  <si>
    <t xml:space="preserve">FRONTERA</t>
  </si>
  <si>
    <t xml:space="preserve">Fuhrmann</t>
  </si>
  <si>
    <t xml:space="preserve">FUICA TEISSIER</t>
  </si>
  <si>
    <t xml:space="preserve">Nicolas</t>
  </si>
  <si>
    <t xml:space="preserve">FURCY</t>
  </si>
  <si>
    <t xml:space="preserve">GABET</t>
  </si>
  <si>
    <t xml:space="preserve">GAGNEUX</t>
  </si>
  <si>
    <t xml:space="preserve">Jeremy</t>
  </si>
  <si>
    <t xml:space="preserve">GAILLARD</t>
  </si>
  <si>
    <t xml:space="preserve">Owen</t>
  </si>
  <si>
    <t xml:space="preserve">Gaillot</t>
  </si>
  <si>
    <t xml:space="preserve">GAILLY DAUGAS</t>
  </si>
  <si>
    <t xml:space="preserve">Quentin</t>
  </si>
  <si>
    <t xml:space="preserve">GAJECKI</t>
  </si>
  <si>
    <t xml:space="preserve">Justin</t>
  </si>
  <si>
    <t xml:space="preserve">GALAND</t>
  </si>
  <si>
    <t xml:space="preserve">Adel</t>
  </si>
  <si>
    <t xml:space="preserve">GALTIER</t>
  </si>
  <si>
    <t xml:space="preserve">GANEM</t>
  </si>
  <si>
    <t xml:space="preserve">LEO</t>
  </si>
  <si>
    <t xml:space="preserve">GANUCHAUD</t>
  </si>
  <si>
    <t xml:space="preserve">Ferdinand</t>
  </si>
  <si>
    <t xml:space="preserve">Silas</t>
  </si>
  <si>
    <t xml:space="preserve">GARCIA</t>
  </si>
  <si>
    <t xml:space="preserve">848</t>
  </si>
  <si>
    <t xml:space="preserve">Simon</t>
  </si>
  <si>
    <t xml:space="preserve">GARIN</t>
  </si>
  <si>
    <t xml:space="preserve">GAROUCHE</t>
  </si>
  <si>
    <t xml:space="preserve">Soan</t>
  </si>
  <si>
    <t xml:space="preserve">GARREAU</t>
  </si>
  <si>
    <t xml:space="preserve">GAUDILLER</t>
  </si>
  <si>
    <t xml:space="preserve">Aubin</t>
  </si>
  <si>
    <t xml:space="preserve">GAUTHIER</t>
  </si>
  <si>
    <t xml:space="preserve">GEFFRAY</t>
  </si>
  <si>
    <t xml:space="preserve">Geffray</t>
  </si>
  <si>
    <t xml:space="preserve">GEISEN</t>
  </si>
  <si>
    <t xml:space="preserve">JEREMIE</t>
  </si>
  <si>
    <t xml:space="preserve">GELBARD</t>
  </si>
  <si>
    <t xml:space="preserve">Cassandre</t>
  </si>
  <si>
    <t xml:space="preserve">Timote</t>
  </si>
  <si>
    <t xml:space="preserve">Timoté</t>
  </si>
  <si>
    <t xml:space="preserve">GENDARME</t>
  </si>
  <si>
    <t xml:space="preserve">Jean-Charles</t>
  </si>
  <si>
    <t xml:space="preserve">GENDRON CARALP</t>
  </si>
  <si>
    <t xml:space="preserve">GENET</t>
  </si>
  <si>
    <t xml:space="preserve">Célian</t>
  </si>
  <si>
    <t xml:space="preserve">GENIAUT</t>
  </si>
  <si>
    <t xml:space="preserve">Rémi</t>
  </si>
  <si>
    <t xml:space="preserve">GEORGIEV</t>
  </si>
  <si>
    <t xml:space="preserve">Daniel</t>
  </si>
  <si>
    <t xml:space="preserve">GERTOUX-ROUSSEAU</t>
  </si>
  <si>
    <t xml:space="preserve">GILLY ABECASSIS</t>
  </si>
  <si>
    <t xml:space="preserve">Jeremie</t>
  </si>
  <si>
    <t xml:space="preserve">GIRARD</t>
  </si>
  <si>
    <t xml:space="preserve">Ruben</t>
  </si>
  <si>
    <t xml:space="preserve">GIRARD COLLET</t>
  </si>
  <si>
    <t xml:space="preserve">Gaëtan</t>
  </si>
  <si>
    <t xml:space="preserve">GIRAUD</t>
  </si>
  <si>
    <t xml:space="preserve">ADELE</t>
  </si>
  <si>
    <t xml:space="preserve">GLEMET</t>
  </si>
  <si>
    <t xml:space="preserve">Lauryn</t>
  </si>
  <si>
    <t xml:space="preserve">GNANABO</t>
  </si>
  <si>
    <t xml:space="preserve">Kaïs</t>
  </si>
  <si>
    <t xml:space="preserve">GOBERT</t>
  </si>
  <si>
    <t xml:space="preserve">GODANI</t>
  </si>
  <si>
    <t xml:space="preserve">GODIN</t>
  </si>
  <si>
    <t xml:space="preserve">Gonzalez</t>
  </si>
  <si>
    <t xml:space="preserve">Esteban</t>
  </si>
  <si>
    <t xml:space="preserve">Gonzalez </t>
  </si>
  <si>
    <t xml:space="preserve">GOUDENEGE</t>
  </si>
  <si>
    <t xml:space="preserve">GOUDEY</t>
  </si>
  <si>
    <t xml:space="preserve">Aurélien</t>
  </si>
  <si>
    <t xml:space="preserve">Aymeric</t>
  </si>
  <si>
    <t xml:space="preserve">GOUJON</t>
  </si>
  <si>
    <t xml:space="preserve">523</t>
  </si>
  <si>
    <t xml:space="preserve">GOURDAIN</t>
  </si>
  <si>
    <t xml:space="preserve">GOZZI</t>
  </si>
  <si>
    <t xml:space="preserve">Matteo</t>
  </si>
  <si>
    <t xml:space="preserve">GRANDIDIER</t>
  </si>
  <si>
    <t xml:space="preserve">CLEMENT</t>
  </si>
  <si>
    <t xml:space="preserve">VICTOR</t>
  </si>
  <si>
    <t xml:space="preserve">GRAVIER</t>
  </si>
  <si>
    <t xml:space="preserve">Ian</t>
  </si>
  <si>
    <t xml:space="preserve">Graziani</t>
  </si>
  <si>
    <t xml:space="preserve">GREBENKOV</t>
  </si>
  <si>
    <t xml:space="preserve">Matvei</t>
  </si>
  <si>
    <t xml:space="preserve">GRECU</t>
  </si>
  <si>
    <t xml:space="preserve">GRILLET</t>
  </si>
  <si>
    <t xml:space="preserve">GROS</t>
  </si>
  <si>
    <t xml:space="preserve">Clémence</t>
  </si>
  <si>
    <t xml:space="preserve">GROSJEAN</t>
  </si>
  <si>
    <t xml:space="preserve">Jade</t>
  </si>
  <si>
    <t xml:space="preserve">GROUSSET</t>
  </si>
  <si>
    <t xml:space="preserve">Clement</t>
  </si>
  <si>
    <t xml:space="preserve">GUEDES</t>
  </si>
  <si>
    <t xml:space="preserve">GUENARD LAMBERT</t>
  </si>
  <si>
    <t xml:space="preserve">GUILLEMET</t>
  </si>
  <si>
    <t xml:space="preserve">Lohann</t>
  </si>
  <si>
    <t xml:space="preserve">GUILLEY-CLEMENT</t>
  </si>
  <si>
    <t xml:space="preserve">GUILLOUX</t>
  </si>
  <si>
    <t xml:space="preserve">Timothé</t>
  </si>
  <si>
    <t xml:space="preserve">GUINEFOLEAU</t>
  </si>
  <si>
    <t xml:space="preserve">GUNES</t>
  </si>
  <si>
    <t xml:space="preserve">Eray</t>
  </si>
  <si>
    <t xml:space="preserve">GUYARD</t>
  </si>
  <si>
    <t xml:space="preserve">Olivier</t>
  </si>
  <si>
    <t xml:space="preserve">GUYOT</t>
  </si>
  <si>
    <t xml:space="preserve">HABERSETZER</t>
  </si>
  <si>
    <t xml:space="preserve">Malo</t>
  </si>
  <si>
    <t xml:space="preserve">HABERT</t>
  </si>
  <si>
    <t xml:space="preserve">HADDAD</t>
  </si>
  <si>
    <t xml:space="preserve">Ali</t>
  </si>
  <si>
    <t xml:space="preserve">HAFFRAY</t>
  </si>
  <si>
    <t xml:space="preserve">Killian</t>
  </si>
  <si>
    <t xml:space="preserve">769</t>
  </si>
  <si>
    <t xml:space="preserve">HAIBOU</t>
  </si>
  <si>
    <t xml:space="preserve">Darren</t>
  </si>
  <si>
    <t xml:space="preserve">HALPERN</t>
  </si>
  <si>
    <t xml:space="preserve">Ciaran</t>
  </si>
  <si>
    <t xml:space="preserve">HAMEL</t>
  </si>
  <si>
    <t xml:space="preserve">HAMELIN</t>
  </si>
  <si>
    <t xml:space="preserve">HAMIDOUCHE</t>
  </si>
  <si>
    <t xml:space="preserve">HANOT</t>
  </si>
  <si>
    <t xml:space="preserve">HARDY</t>
  </si>
  <si>
    <t xml:space="preserve">Thibault</t>
  </si>
  <si>
    <t xml:space="preserve">HARDY-FRAUGER</t>
  </si>
  <si>
    <t xml:space="preserve">HARTMANN</t>
  </si>
  <si>
    <t xml:space="preserve">Elian</t>
  </si>
  <si>
    <t xml:space="preserve">HASSER</t>
  </si>
  <si>
    <t xml:space="preserve">LEON</t>
  </si>
  <si>
    <t xml:space="preserve">HATRY COHEN</t>
  </si>
  <si>
    <t xml:space="preserve">Joachim</t>
  </si>
  <si>
    <t xml:space="preserve">HENRY</t>
  </si>
  <si>
    <t xml:space="preserve">HERAN</t>
  </si>
  <si>
    <t xml:space="preserve">HERMANT GANDON</t>
  </si>
  <si>
    <t xml:space="preserve">HERRY</t>
  </si>
  <si>
    <t xml:space="preserve">Jason</t>
  </si>
  <si>
    <t xml:space="preserve">HEURLEY</t>
  </si>
  <si>
    <t xml:space="preserve">Matéi</t>
  </si>
  <si>
    <t xml:space="preserve">HEZARD</t>
  </si>
  <si>
    <t xml:space="preserve">ROBIN</t>
  </si>
  <si>
    <t xml:space="preserve">HLAVACEK</t>
  </si>
  <si>
    <t xml:space="preserve">HOLLETTE</t>
  </si>
  <si>
    <t xml:space="preserve">HOLTZMAN-LE CALVEZ</t>
  </si>
  <si>
    <t xml:space="preserve">Aloïs</t>
  </si>
  <si>
    <t xml:space="preserve">HOOS</t>
  </si>
  <si>
    <t xml:space="preserve">HORTENSIA PERE</t>
  </si>
  <si>
    <t xml:space="preserve">Keliam</t>
  </si>
  <si>
    <t xml:space="preserve">HOUYERE</t>
  </si>
  <si>
    <t xml:space="preserve">Mathéo</t>
  </si>
  <si>
    <t xml:space="preserve">HUCK</t>
  </si>
  <si>
    <t xml:space="preserve">Léonard</t>
  </si>
  <si>
    <t xml:space="preserve">HUGUET MORLET</t>
  </si>
  <si>
    <t xml:space="preserve">HUNLEDE</t>
  </si>
  <si>
    <t xml:space="preserve">Elior</t>
  </si>
  <si>
    <t xml:space="preserve">IACOUCCI</t>
  </si>
  <si>
    <t xml:space="preserve">ILLEMAY</t>
  </si>
  <si>
    <t xml:space="preserve">Jayson</t>
  </si>
  <si>
    <t xml:space="preserve">INGE</t>
  </si>
  <si>
    <t xml:space="preserve">ISENBERG</t>
  </si>
  <si>
    <t xml:space="preserve">Franziska</t>
  </si>
  <si>
    <t xml:space="preserve">Lukas</t>
  </si>
  <si>
    <t xml:space="preserve">JACOBERGER</t>
  </si>
  <si>
    <t xml:space="preserve">Jahelmann</t>
  </si>
  <si>
    <t xml:space="preserve">Lauris</t>
  </si>
  <si>
    <t xml:space="preserve">JAN</t>
  </si>
  <si>
    <t xml:space="preserve">JANKOWIAK</t>
  </si>
  <si>
    <t xml:space="preserve">Fabien</t>
  </si>
  <si>
    <t xml:space="preserve">JASON</t>
  </si>
  <si>
    <t xml:space="preserve">JEANDOT</t>
  </si>
  <si>
    <t xml:space="preserve">JEANNIN</t>
  </si>
  <si>
    <t xml:space="preserve">JEANTAUD-DESBOURDE</t>
  </si>
  <si>
    <t xml:space="preserve">Alban</t>
  </si>
  <si>
    <t xml:space="preserve">JEGU</t>
  </si>
  <si>
    <t xml:space="preserve">Martin</t>
  </si>
  <si>
    <t xml:space="preserve">JOLY</t>
  </si>
  <si>
    <t xml:space="preserve">Raphael</t>
  </si>
  <si>
    <t xml:space="preserve">JOLYS</t>
  </si>
  <si>
    <t xml:space="preserve">Loïc</t>
  </si>
  <si>
    <t xml:space="preserve">Jourdan</t>
  </si>
  <si>
    <t xml:space="preserve">Amandine</t>
  </si>
  <si>
    <t xml:space="preserve">Benoît</t>
  </si>
  <si>
    <t xml:space="preserve">JOUSSET-SAVOYE</t>
  </si>
  <si>
    <t xml:space="preserve">Sacha </t>
  </si>
  <si>
    <t xml:space="preserve">JULIEN</t>
  </si>
  <si>
    <t xml:space="preserve">Léandre</t>
  </si>
  <si>
    <t xml:space="preserve">KATZ</t>
  </si>
  <si>
    <t xml:space="preserve">KERGUILLEC</t>
  </si>
  <si>
    <t xml:space="preserve">Nohann</t>
  </si>
  <si>
    <t xml:space="preserve">KHALIL</t>
  </si>
  <si>
    <t xml:space="preserve">KILBINGER THOMAS</t>
  </si>
  <si>
    <t xml:space="preserve">Léon</t>
  </si>
  <si>
    <t xml:space="preserve">KILBINGER-THOMAS</t>
  </si>
  <si>
    <t xml:space="preserve">Leon</t>
  </si>
  <si>
    <t xml:space="preserve">KNIGHT</t>
  </si>
  <si>
    <t xml:space="preserve">Kayden</t>
  </si>
  <si>
    <t xml:space="preserve">KOHUT</t>
  </si>
  <si>
    <t xml:space="preserve">Marius</t>
  </si>
  <si>
    <t xml:space="preserve">KUANG</t>
  </si>
  <si>
    <t xml:space="preserve">Christian</t>
  </si>
  <si>
    <t xml:space="preserve">LABBE</t>
  </si>
  <si>
    <t xml:space="preserve">LABUSSIÈRE</t>
  </si>
  <si>
    <t xml:space="preserve">LACAZE</t>
  </si>
  <si>
    <t xml:space="preserve">LACROIX MARTIN</t>
  </si>
  <si>
    <t xml:space="preserve">Lacroux</t>
  </si>
  <si>
    <t xml:space="preserve">LACROUX</t>
  </si>
  <si>
    <t xml:space="preserve">LAHLOU</t>
  </si>
  <si>
    <t xml:space="preserve">Youssouf</t>
  </si>
  <si>
    <t xml:space="preserve">LAHMAMI</t>
  </si>
  <si>
    <t xml:space="preserve">Rayan</t>
  </si>
  <si>
    <t xml:space="preserve">LAI</t>
  </si>
  <si>
    <t xml:space="preserve">Laurent</t>
  </si>
  <si>
    <t xml:space="preserve">Theo</t>
  </si>
  <si>
    <t xml:space="preserve">LALEU</t>
  </si>
  <si>
    <t xml:space="preserve">Alexis</t>
  </si>
  <si>
    <t xml:space="preserve">Alicia</t>
  </si>
  <si>
    <t xml:space="preserve">Vadim</t>
  </si>
  <si>
    <t xml:space="preserve">LAMARQUE FABREGAS</t>
  </si>
  <si>
    <t xml:space="preserve">502</t>
  </si>
  <si>
    <t xml:space="preserve">LAMBERT</t>
  </si>
  <si>
    <t xml:space="preserve">Joanne</t>
  </si>
  <si>
    <t xml:space="preserve">Mahaut</t>
  </si>
  <si>
    <t xml:space="preserve">LAMPE</t>
  </si>
  <si>
    <t xml:space="preserve">Iris</t>
  </si>
  <si>
    <t xml:space="preserve">LANDRAGIN</t>
  </si>
  <si>
    <t xml:space="preserve">AMELIE</t>
  </si>
  <si>
    <t xml:space="preserve">LARONZE</t>
  </si>
  <si>
    <t xml:space="preserve">KALISTO</t>
  </si>
  <si>
    <t xml:space="preserve">TRISTAN</t>
  </si>
  <si>
    <t xml:space="preserve">LAUGERETTE</t>
  </si>
  <si>
    <t xml:space="preserve">Laugier</t>
  </si>
  <si>
    <t xml:space="preserve">LAUNAY</t>
  </si>
  <si>
    <t xml:space="preserve">826</t>
  </si>
  <si>
    <t xml:space="preserve">LAURENCIN</t>
  </si>
  <si>
    <t xml:space="preserve">THOMAS</t>
  </si>
  <si>
    <t xml:space="preserve">Ewen</t>
  </si>
  <si>
    <t xml:space="preserve">LAVERRE</t>
  </si>
  <si>
    <t xml:space="preserve">LAVILLE SANGRADO</t>
  </si>
  <si>
    <t xml:space="preserve">LE BELLEC</t>
  </si>
  <si>
    <t xml:space="preserve">LE DEN FOUCHER</t>
  </si>
  <si>
    <t xml:space="preserve">Nolann</t>
  </si>
  <si>
    <t xml:space="preserve">LE FOLL</t>
  </si>
  <si>
    <t xml:space="preserve">LE MEUR</t>
  </si>
  <si>
    <t xml:space="preserve">LE QUERRE</t>
  </si>
  <si>
    <t xml:space="preserve">Lorena</t>
  </si>
  <si>
    <t xml:space="preserve">LE ROUX</t>
  </si>
  <si>
    <t xml:space="preserve">LE ROY</t>
  </si>
  <si>
    <t xml:space="preserve">Nolan</t>
  </si>
  <si>
    <t xml:space="preserve">LE SAUZE</t>
  </si>
  <si>
    <t xml:space="preserve">LE VAY</t>
  </si>
  <si>
    <t xml:space="preserve">Evann</t>
  </si>
  <si>
    <t xml:space="preserve">LE YANO</t>
  </si>
  <si>
    <t xml:space="preserve">Aaron</t>
  </si>
  <si>
    <t xml:space="preserve">LEBAS</t>
  </si>
  <si>
    <t xml:space="preserve">LEBERT</t>
  </si>
  <si>
    <t xml:space="preserve">Elliot</t>
  </si>
  <si>
    <t xml:space="preserve">LEBOUBE CHOURY</t>
  </si>
  <si>
    <t xml:space="preserve">LEBOURGEOIS</t>
  </si>
  <si>
    <t xml:space="preserve">Aliénor</t>
  </si>
  <si>
    <t xml:space="preserve">Léa</t>
  </si>
  <si>
    <t xml:space="preserve">Matheis</t>
  </si>
  <si>
    <t xml:space="preserve">LECLERCQ</t>
  </si>
  <si>
    <t xml:space="preserve">Elissey</t>
  </si>
  <si>
    <t xml:space="preserve">LECOINTRE</t>
  </si>
  <si>
    <t xml:space="preserve">Logan</t>
  </si>
  <si>
    <t xml:space="preserve">LECUYER</t>
  </si>
  <si>
    <t xml:space="preserve">LEFAIT VANTREPOL</t>
  </si>
  <si>
    <t xml:space="preserve">Lefevre</t>
  </si>
  <si>
    <t xml:space="preserve">Leen</t>
  </si>
  <si>
    <t xml:space="preserve">LEFRANCOIS</t>
  </si>
  <si>
    <t xml:space="preserve">LEGARSON</t>
  </si>
  <si>
    <t xml:space="preserve">LEGENDRE</t>
  </si>
  <si>
    <t xml:space="preserve">Ben</t>
  </si>
  <si>
    <t xml:space="preserve">LEGRAND</t>
  </si>
  <si>
    <t xml:space="preserve">LEGUEU</t>
  </si>
  <si>
    <t xml:space="preserve">LEMAITRE</t>
  </si>
  <si>
    <t xml:space="preserve">Eden</t>
  </si>
  <si>
    <t xml:space="preserve">LEMARIE</t>
  </si>
  <si>
    <t xml:space="preserve">Lemarie</t>
  </si>
  <si>
    <t xml:space="preserve">Lemeur</t>
  </si>
  <si>
    <t xml:space="preserve">LEMONNIER-MORGAND</t>
  </si>
  <si>
    <t xml:space="preserve">Lemonnier-Morgand</t>
  </si>
  <si>
    <t xml:space="preserve">LEMOULT</t>
  </si>
  <si>
    <t xml:space="preserve">ENZO</t>
  </si>
  <si>
    <t xml:space="preserve">LEMY PESSEY</t>
  </si>
  <si>
    <t xml:space="preserve">LEONARD</t>
  </si>
  <si>
    <t xml:space="preserve">LEPEU</t>
  </si>
  <si>
    <t xml:space="preserve">LEPRIEUR</t>
  </si>
  <si>
    <t xml:space="preserve">LERNO</t>
  </si>
  <si>
    <t xml:space="preserve">Ellias</t>
  </si>
  <si>
    <t xml:space="preserve">LEROY</t>
  </si>
  <si>
    <t xml:space="preserve">ABEL</t>
  </si>
  <si>
    <t xml:space="preserve">VADIM</t>
  </si>
  <si>
    <t xml:space="preserve">LEROY PAYET</t>
  </si>
  <si>
    <t xml:space="preserve">LERUSTE</t>
  </si>
  <si>
    <t xml:space="preserve">LEUNG</t>
  </si>
  <si>
    <t xml:space="preserve">LEVEQUE</t>
  </si>
  <si>
    <t xml:space="preserve">Tobias</t>
  </si>
  <si>
    <t xml:space="preserve">LIBERATORE</t>
  </si>
  <si>
    <t xml:space="preserve">LICZKOWSKI</t>
  </si>
  <si>
    <t xml:space="preserve">LIDRISSI</t>
  </si>
  <si>
    <t xml:space="preserve">Ismael</t>
  </si>
  <si>
    <t xml:space="preserve">LINARD</t>
  </si>
  <si>
    <t xml:space="preserve">LISCIA</t>
  </si>
  <si>
    <t xml:space="preserve">LIU</t>
  </si>
  <si>
    <t xml:space="preserve">ALEX</t>
  </si>
  <si>
    <t xml:space="preserve">LOKI</t>
  </si>
  <si>
    <t xml:space="preserve">Feillet</t>
  </si>
  <si>
    <t xml:space="preserve">LOPEZ VARGAS</t>
  </si>
  <si>
    <t xml:space="preserve">BRUNO</t>
  </si>
  <si>
    <t xml:space="preserve">Loseille</t>
  </si>
  <si>
    <t xml:space="preserve">LOUIS</t>
  </si>
  <si>
    <t xml:space="preserve">LUCIANI</t>
  </si>
  <si>
    <t xml:space="preserve">Chloé</t>
  </si>
  <si>
    <t xml:space="preserve">Estelle</t>
  </si>
  <si>
    <t xml:space="preserve">LUZURIER</t>
  </si>
  <si>
    <t xml:space="preserve">MAAMMAR</t>
  </si>
  <si>
    <t xml:space="preserve">IYAD</t>
  </si>
  <si>
    <t xml:space="preserve">MACHICOANE</t>
  </si>
  <si>
    <t xml:space="preserve">MACQUIGNEAU</t>
  </si>
  <si>
    <t xml:space="preserve">Lena</t>
  </si>
  <si>
    <t xml:space="preserve">MADELY-DALL'OSTO</t>
  </si>
  <si>
    <t xml:space="preserve">Shivaraman</t>
  </si>
  <si>
    <t xml:space="preserve">MADRANGES</t>
  </si>
  <si>
    <t xml:space="preserve">Gary</t>
  </si>
  <si>
    <t xml:space="preserve">501</t>
  </si>
  <si>
    <t xml:space="preserve">Maeyens</t>
  </si>
  <si>
    <t xml:space="preserve">MAGLIANO</t>
  </si>
  <si>
    <t xml:space="preserve">MAIGA</t>
  </si>
  <si>
    <t xml:space="preserve">Abdallah</t>
  </si>
  <si>
    <t xml:space="preserve">MAILLAUD</t>
  </si>
  <si>
    <t xml:space="preserve">Merlin</t>
  </si>
  <si>
    <t xml:space="preserve">MAJEED</t>
  </si>
  <si>
    <t xml:space="preserve">NAEL</t>
  </si>
  <si>
    <t xml:space="preserve">MAKSIMOVIKJ</t>
  </si>
  <si>
    <t xml:space="preserve">MALTESE</t>
  </si>
  <si>
    <t xml:space="preserve">MANCEAU</t>
  </si>
  <si>
    <t xml:space="preserve">MANCELLE HIMIDI</t>
  </si>
  <si>
    <t xml:space="preserve">Inaya</t>
  </si>
  <si>
    <t xml:space="preserve">MANIZAN</t>
  </si>
  <si>
    <t xml:space="preserve">Nohan</t>
  </si>
  <si>
    <t xml:space="preserve">MANRY</t>
  </si>
  <si>
    <t xml:space="preserve">James</t>
  </si>
  <si>
    <t xml:space="preserve">MANSBENDEL</t>
  </si>
  <si>
    <t xml:space="preserve">Jordan</t>
  </si>
  <si>
    <t xml:space="preserve">Maoui</t>
  </si>
  <si>
    <t xml:space="preserve">Leonardo</t>
  </si>
  <si>
    <t xml:space="preserve">MARCEL</t>
  </si>
  <si>
    <t xml:space="preserve">Marcel</t>
  </si>
  <si>
    <t xml:space="preserve">MARLIER</t>
  </si>
  <si>
    <t xml:space="preserve">MARMOURI</t>
  </si>
  <si>
    <t xml:space="preserve">MARQUES</t>
  </si>
  <si>
    <t xml:space="preserve">André</t>
  </si>
  <si>
    <t xml:space="preserve">Fanny</t>
  </si>
  <si>
    <t xml:space="preserve">Xavier</t>
  </si>
  <si>
    <t xml:space="preserve">MARQUEZ BERGE</t>
  </si>
  <si>
    <t xml:space="preserve">Valentina</t>
  </si>
  <si>
    <t xml:space="preserve">Victoria</t>
  </si>
  <si>
    <t xml:space="preserve">MARTIN</t>
  </si>
  <si>
    <t xml:space="preserve">MASSABKI</t>
  </si>
  <si>
    <t xml:space="preserve">MAUNAT</t>
  </si>
  <si>
    <t xml:space="preserve">Matthias</t>
  </si>
  <si>
    <t xml:space="preserve">Mauris</t>
  </si>
  <si>
    <t xml:space="preserve">MAXIS</t>
  </si>
  <si>
    <t xml:space="preserve">Mebarki</t>
  </si>
  <si>
    <t xml:space="preserve">MEJEAN</t>
  </si>
  <si>
    <t xml:space="preserve">Jimmy</t>
  </si>
  <si>
    <t xml:space="preserve">MELKA</t>
  </si>
  <si>
    <t xml:space="preserve">Diego</t>
  </si>
  <si>
    <t xml:space="preserve">MELKUMYAN</t>
  </si>
  <si>
    <t xml:space="preserve">Erik</t>
  </si>
  <si>
    <t xml:space="preserve">MELLOUK</t>
  </si>
  <si>
    <t xml:space="preserve">Sherine</t>
  </si>
  <si>
    <t xml:space="preserve">MELOT</t>
  </si>
  <si>
    <t xml:space="preserve">Orso</t>
  </si>
  <si>
    <t xml:space="preserve">MENARD</t>
  </si>
  <si>
    <t xml:space="preserve">MERCUZOT KEIZER</t>
  </si>
  <si>
    <t xml:space="preserve">MERLE</t>
  </si>
  <si>
    <t xml:space="preserve">MERTZ</t>
  </si>
  <si>
    <t xml:space="preserve">Marie</t>
  </si>
  <si>
    <t xml:space="preserve">MEUNIER</t>
  </si>
  <si>
    <t xml:space="preserve">Matten</t>
  </si>
  <si>
    <t xml:space="preserve">MEURANT</t>
  </si>
  <si>
    <t xml:space="preserve">MICHEL</t>
  </si>
  <si>
    <t xml:space="preserve">Kendrick</t>
  </si>
  <si>
    <t xml:space="preserve">Tugdual</t>
  </si>
  <si>
    <t xml:space="preserve">MIJOTTE</t>
  </si>
  <si>
    <t xml:space="preserve">Titouan</t>
  </si>
  <si>
    <t xml:space="preserve">MIKART</t>
  </si>
  <si>
    <t xml:space="preserve">Swann</t>
  </si>
  <si>
    <t xml:space="preserve">minime Marcoussis</t>
  </si>
  <si>
    <t xml:space="preserve">MION</t>
  </si>
  <si>
    <t xml:space="preserve">MIQUEL-ELCANO</t>
  </si>
  <si>
    <t xml:space="preserve">Calixte</t>
  </si>
  <si>
    <t xml:space="preserve">Miquel-Elcano</t>
  </si>
  <si>
    <t xml:space="preserve">MIREBEAU</t>
  </si>
  <si>
    <t xml:space="preserve">NATHANAËL</t>
  </si>
  <si>
    <t xml:space="preserve">MNAFEKH</t>
  </si>
  <si>
    <t xml:space="preserve">MOHAMAD</t>
  </si>
  <si>
    <t xml:space="preserve">Filza</t>
  </si>
  <si>
    <t xml:space="preserve">MOHAMMEDI</t>
  </si>
  <si>
    <t xml:space="preserve">David-Alexandre</t>
  </si>
  <si>
    <t xml:space="preserve">MOISSANT MAUDUIT</t>
  </si>
  <si>
    <t xml:space="preserve">MORIN</t>
  </si>
  <si>
    <t xml:space="preserve">Gauthier</t>
  </si>
  <si>
    <t xml:space="preserve">Morin</t>
  </si>
  <si>
    <t xml:space="preserve">MORIN SUISSE</t>
  </si>
  <si>
    <t xml:space="preserve">George</t>
  </si>
  <si>
    <t xml:space="preserve">MORINET CAHUZAC</t>
  </si>
  <si>
    <t xml:space="preserve">MORISSE</t>
  </si>
  <si>
    <t xml:space="preserve">MOUTOUSSAMY</t>
  </si>
  <si>
    <t xml:space="preserve">MUKUYU-KAYA</t>
  </si>
  <si>
    <t xml:space="preserve">Héliana</t>
  </si>
  <si>
    <t xml:space="preserve">MZIOU</t>
  </si>
  <si>
    <t xml:space="preserve">Skander</t>
  </si>
  <si>
    <t xml:space="preserve">N'SONGAN</t>
  </si>
  <si>
    <t xml:space="preserve">NEVERS</t>
  </si>
  <si>
    <t xml:space="preserve">NGO PAN</t>
  </si>
  <si>
    <t xml:space="preserve">Coralie</t>
  </si>
  <si>
    <t xml:space="preserve">Tony</t>
  </si>
  <si>
    <t xml:space="preserve">NGUYEN</t>
  </si>
  <si>
    <t xml:space="preserve">NOLAN</t>
  </si>
  <si>
    <t xml:space="preserve">TAM</t>
  </si>
  <si>
    <t xml:space="preserve">NGUYEN-TURGIS</t>
  </si>
  <si>
    <t xml:space="preserve">NICOLAS</t>
  </si>
  <si>
    <t xml:space="preserve">NIEL</t>
  </si>
  <si>
    <t xml:space="preserve">Matheo</t>
  </si>
  <si>
    <t xml:space="preserve">NIOGRET</t>
  </si>
  <si>
    <t xml:space="preserve">NOEL</t>
  </si>
  <si>
    <t xml:space="preserve">ANIS</t>
  </si>
  <si>
    <t xml:space="preserve">NOIRET</t>
  </si>
  <si>
    <t xml:space="preserve">ALEXIS</t>
  </si>
  <si>
    <t xml:space="preserve">DOSSARD`</t>
  </si>
  <si>
    <t xml:space="preserve">Class.</t>
  </si>
  <si>
    <t xml:space="preserve">NORMAND KIELBASA</t>
  </si>
  <si>
    <t xml:space="preserve">NOUR LOUIS</t>
  </si>
  <si>
    <t xml:space="preserve">NOURY</t>
  </si>
  <si>
    <t xml:space="preserve">OBECANOV</t>
  </si>
  <si>
    <t xml:space="preserve">Anton</t>
  </si>
  <si>
    <t xml:space="preserve">OUTRE</t>
  </si>
  <si>
    <t xml:space="preserve">PADILLA</t>
  </si>
  <si>
    <t xml:space="preserve">PADOVANI</t>
  </si>
  <si>
    <t xml:space="preserve">PAEZ</t>
  </si>
  <si>
    <t xml:space="preserve">Elena</t>
  </si>
  <si>
    <t xml:space="preserve">PAPAZIAN</t>
  </si>
  <si>
    <t xml:space="preserve">PARET</t>
  </si>
  <si>
    <t xml:space="preserve">Sophie</t>
  </si>
  <si>
    <t xml:space="preserve">Paret</t>
  </si>
  <si>
    <t xml:space="preserve">PASQUIER</t>
  </si>
  <si>
    <t xml:space="preserve">PATRON</t>
  </si>
  <si>
    <t xml:space="preserve">PAULIK</t>
  </si>
  <si>
    <t xml:space="preserve">PAYS</t>
  </si>
  <si>
    <t xml:space="preserve">Marc</t>
  </si>
  <si>
    <t xml:space="preserve">PAYSAN</t>
  </si>
  <si>
    <t xml:space="preserve">Andy</t>
  </si>
  <si>
    <t xml:space="preserve">Johan</t>
  </si>
  <si>
    <t xml:space="preserve">PELETIER</t>
  </si>
  <si>
    <t xml:space="preserve">Lilia</t>
  </si>
  <si>
    <t xml:space="preserve">PERCEPIED</t>
  </si>
  <si>
    <t xml:space="preserve">PERCHANT</t>
  </si>
  <si>
    <t xml:space="preserve">Cali</t>
  </si>
  <si>
    <t xml:space="preserve">PEREIRA</t>
  </si>
  <si>
    <t xml:space="preserve">PERES</t>
  </si>
  <si>
    <t xml:space="preserve">Peres</t>
  </si>
  <si>
    <t xml:space="preserve">Louane</t>
  </si>
  <si>
    <t xml:space="preserve">PEREZ VALDEZ</t>
  </si>
  <si>
    <t xml:space="preserve">PERONNE</t>
  </si>
  <si>
    <t xml:space="preserve">Aymerci</t>
  </si>
  <si>
    <t xml:space="preserve">Perraudin</t>
  </si>
  <si>
    <t xml:space="preserve">PERRIER DARGENT</t>
  </si>
  <si>
    <t xml:space="preserve">Flora</t>
  </si>
  <si>
    <t xml:space="preserve">PERRY </t>
  </si>
  <si>
    <t xml:space="preserve">PERZ</t>
  </si>
  <si>
    <t xml:space="preserve">PESCHEUX-URRUTIA</t>
  </si>
  <si>
    <t xml:space="preserve">822</t>
  </si>
  <si>
    <t xml:space="preserve">PETIT</t>
  </si>
  <si>
    <t xml:space="preserve">Lilou</t>
  </si>
  <si>
    <t xml:space="preserve">PETTIT</t>
  </si>
  <si>
    <t xml:space="preserve">PEYRONNET</t>
  </si>
  <si>
    <t xml:space="preserve">Peyronnet</t>
  </si>
  <si>
    <t xml:space="preserve">PHELIPPAUD</t>
  </si>
  <si>
    <t xml:space="preserve">Pierre-Culand</t>
  </si>
  <si>
    <t xml:space="preserve">Marcus</t>
  </si>
  <si>
    <t xml:space="preserve">PIERRET</t>
  </si>
  <si>
    <t xml:space="preserve">Yann</t>
  </si>
  <si>
    <t xml:space="preserve">Piette</t>
  </si>
  <si>
    <t xml:space="preserve">Leonel</t>
  </si>
  <si>
    <t xml:space="preserve">PIGENET</t>
  </si>
  <si>
    <t xml:space="preserve">PINCOT</t>
  </si>
  <si>
    <t xml:space="preserve">Rémy</t>
  </si>
  <si>
    <t xml:space="preserve">PIRES GAMBIEZ</t>
  </si>
  <si>
    <t xml:space="preserve">Carla</t>
  </si>
  <si>
    <t xml:space="preserve">PITON</t>
  </si>
  <si>
    <t xml:space="preserve">PLANCHENAULT</t>
  </si>
  <si>
    <t xml:space="preserve">PLANCON</t>
  </si>
  <si>
    <t xml:space="preserve">Bastien</t>
  </si>
  <si>
    <t xml:space="preserve">PLASSART</t>
  </si>
  <si>
    <t xml:space="preserve">Tim</t>
  </si>
  <si>
    <t xml:space="preserve">PLUMAIL</t>
  </si>
  <si>
    <t xml:space="preserve">PODA</t>
  </si>
  <si>
    <t xml:space="preserve">Yaroslav</t>
  </si>
  <si>
    <t xml:space="preserve">POHIER</t>
  </si>
  <si>
    <t xml:space="preserve">POISSON</t>
  </si>
  <si>
    <t xml:space="preserve">POMMIER</t>
  </si>
  <si>
    <t xml:space="preserve">Poulain Emond</t>
  </si>
  <si>
    <t xml:space="preserve">Loa</t>
  </si>
  <si>
    <t xml:space="preserve">POULIN-EMOND</t>
  </si>
  <si>
    <t xml:space="preserve">POULY</t>
  </si>
  <si>
    <t xml:space="preserve">POUPIN</t>
  </si>
  <si>
    <t xml:space="preserve">Charles</t>
  </si>
  <si>
    <t xml:space="preserve">PRIARONE</t>
  </si>
  <si>
    <t xml:space="preserve">PRUNIER</t>
  </si>
  <si>
    <t xml:space="preserve">PUYRIGAUD MARIE</t>
  </si>
  <si>
    <t xml:space="preserve">LUCAS</t>
  </si>
  <si>
    <t xml:space="preserve">QU</t>
  </si>
  <si>
    <t xml:space="preserve">TIMEO</t>
  </si>
  <si>
    <t xml:space="preserve">RABY</t>
  </si>
  <si>
    <t xml:space="preserve">RAKOTONIRAINY</t>
  </si>
  <si>
    <t xml:space="preserve">Jens</t>
  </si>
  <si>
    <t xml:space="preserve">RAMALHO COIMBRA</t>
  </si>
  <si>
    <t xml:space="preserve">RASKIN</t>
  </si>
  <si>
    <t xml:space="preserve">Sohan</t>
  </si>
  <si>
    <t xml:space="preserve">RASTOIX</t>
  </si>
  <si>
    <t xml:space="preserve">Rastoix</t>
  </si>
  <si>
    <t xml:space="preserve">RAT</t>
  </si>
  <si>
    <t xml:space="preserve">Rat</t>
  </si>
  <si>
    <t xml:space="preserve">RAZAFINDRABE</t>
  </si>
  <si>
    <t xml:space="preserve">Tsiry</t>
  </si>
  <si>
    <t xml:space="preserve">READ KOSZUL</t>
  </si>
  <si>
    <t xml:space="preserve">Abel</t>
  </si>
  <si>
    <t xml:space="preserve">REBOUL</t>
  </si>
  <si>
    <t xml:space="preserve">Edouard</t>
  </si>
  <si>
    <t xml:space="preserve">RECEVEUR</t>
  </si>
  <si>
    <t xml:space="preserve">Camille </t>
  </si>
  <si>
    <t xml:space="preserve">REFAIT</t>
  </si>
  <si>
    <t xml:space="preserve">Lilian</t>
  </si>
  <si>
    <t xml:space="preserve">REGNIER</t>
  </si>
  <si>
    <t xml:space="preserve">Lény</t>
  </si>
  <si>
    <t xml:space="preserve">REKIK</t>
  </si>
  <si>
    <t xml:space="preserve">Isaac</t>
  </si>
  <si>
    <t xml:space="preserve">RENAUX</t>
  </si>
  <si>
    <t xml:space="preserve">Alix</t>
  </si>
  <si>
    <t xml:space="preserve">RETHO</t>
  </si>
  <si>
    <t xml:space="preserve">REVERDY</t>
  </si>
  <si>
    <t xml:space="preserve">Olwen</t>
  </si>
  <si>
    <t xml:space="preserve">REZGUI</t>
  </si>
  <si>
    <t xml:space="preserve">Yahia</t>
  </si>
  <si>
    <t xml:space="preserve">RIBEIRO PLANCHON</t>
  </si>
  <si>
    <t xml:space="preserve">RICHARD DELCLOS</t>
  </si>
  <si>
    <t xml:space="preserve">RICHOUX</t>
  </si>
  <si>
    <t xml:space="preserve">RIEL LEGROS</t>
  </si>
  <si>
    <t xml:space="preserve">Letty</t>
  </si>
  <si>
    <t xml:space="preserve">Rigaud</t>
  </si>
  <si>
    <t xml:space="preserve">RIGAUD REYMOND</t>
  </si>
  <si>
    <t xml:space="preserve">RINALDI</t>
  </si>
  <si>
    <t xml:space="preserve">Leandro</t>
  </si>
  <si>
    <t xml:space="preserve">RIOU BONTE</t>
  </si>
  <si>
    <t xml:space="preserve">Isayah</t>
  </si>
  <si>
    <t xml:space="preserve">RIPOUTEAU</t>
  </si>
  <si>
    <t xml:space="preserve">Fabrice</t>
  </si>
  <si>
    <t xml:space="preserve">Rivière</t>
  </si>
  <si>
    <t xml:space="preserve">ROBERT-THEVENET</t>
  </si>
  <si>
    <t xml:space="preserve">ROBINET</t>
  </si>
  <si>
    <t xml:space="preserve">Verne</t>
  </si>
  <si>
    <t xml:space="preserve">ROCHART</t>
  </si>
  <si>
    <t xml:space="preserve">ROCHE</t>
  </si>
  <si>
    <t xml:space="preserve">EMILIEN</t>
  </si>
  <si>
    <t xml:space="preserve">ROCHEFORT</t>
  </si>
  <si>
    <t xml:space="preserve">RODOLFO</t>
  </si>
  <si>
    <t xml:space="preserve">RODRIGUEZ</t>
  </si>
  <si>
    <t xml:space="preserve">ROGER</t>
  </si>
  <si>
    <t xml:space="preserve">ROSSI JURBERT</t>
  </si>
  <si>
    <t xml:space="preserve">Jonathan</t>
  </si>
  <si>
    <t xml:space="preserve">Noelie</t>
  </si>
  <si>
    <t xml:space="preserve">ROUCHES-SANTINI</t>
  </si>
  <si>
    <t xml:space="preserve">ROUE</t>
  </si>
  <si>
    <t xml:space="preserve">ROUGEMAIILE</t>
  </si>
  <si>
    <t xml:space="preserve">ETHAN</t>
  </si>
  <si>
    <t xml:space="preserve">ROUGEOT</t>
  </si>
  <si>
    <t xml:space="preserve">ROUSSEAU FOURNIER</t>
  </si>
  <si>
    <t xml:space="preserve">ROUSSET</t>
  </si>
  <si>
    <t xml:space="preserve">MORGAN</t>
  </si>
  <si>
    <t xml:space="preserve">ROUX</t>
  </si>
  <si>
    <t xml:space="preserve">Teïas</t>
  </si>
  <si>
    <t xml:space="preserve">Roux</t>
  </si>
  <si>
    <t xml:space="preserve">ROYER VARNAT</t>
  </si>
  <si>
    <t xml:space="preserve">Landry</t>
  </si>
  <si>
    <t xml:space="preserve">ROYNEL REMBERT</t>
  </si>
  <si>
    <t xml:space="preserve">ROZEMBERG</t>
  </si>
  <si>
    <t xml:space="preserve">ROZENBERG</t>
  </si>
  <si>
    <t xml:space="preserve">RUBET MERY</t>
  </si>
  <si>
    <t xml:space="preserve">RUBIA</t>
  </si>
  <si>
    <t xml:space="preserve">RUBIRA</t>
  </si>
  <si>
    <t xml:space="preserve">RUFF</t>
  </si>
  <si>
    <t xml:space="preserve">Robin</t>
  </si>
  <si>
    <t xml:space="preserve">RUHLMANN</t>
  </si>
  <si>
    <t xml:space="preserve">RUPP</t>
  </si>
  <si>
    <t xml:space="preserve">Joshua</t>
  </si>
  <si>
    <t xml:space="preserve">SABATER</t>
  </si>
  <si>
    <t xml:space="preserve">Estéban</t>
  </si>
  <si>
    <t xml:space="preserve">SAINT-VENANT</t>
  </si>
  <si>
    <t xml:space="preserve">Manech</t>
  </si>
  <si>
    <t xml:space="preserve">SAINTES</t>
  </si>
  <si>
    <t xml:space="preserve">SALERNO</t>
  </si>
  <si>
    <t xml:space="preserve">Elia</t>
  </si>
  <si>
    <t xml:space="preserve">SAMOCKI</t>
  </si>
  <si>
    <t xml:space="preserve">SANCHEZ-ABELLAN</t>
  </si>
  <si>
    <t xml:space="preserve">SANDJIVY</t>
  </si>
  <si>
    <t xml:space="preserve">Mickaël</t>
  </si>
  <si>
    <t xml:space="preserve">SANTONI</t>
  </si>
  <si>
    <t xml:space="preserve">Santoni</t>
  </si>
  <si>
    <t xml:space="preserve">SARILAR ROCCIA</t>
  </si>
  <si>
    <t xml:space="preserve">SARLABOUT</t>
  </si>
  <si>
    <t xml:space="preserve">SAVY</t>
  </si>
  <si>
    <t xml:space="preserve">Cayden</t>
  </si>
  <si>
    <t xml:space="preserve">SCHAEFFER</t>
  </si>
  <si>
    <t xml:space="preserve">Léna</t>
  </si>
  <si>
    <t xml:space="preserve">SCHMITT</t>
  </si>
  <si>
    <t xml:space="preserve">SCHNEKENBURGER</t>
  </si>
  <si>
    <t xml:space="preserve">Elric</t>
  </si>
  <si>
    <t xml:space="preserve">SEGRESTAN</t>
  </si>
  <si>
    <t xml:space="preserve">Tiago</t>
  </si>
  <si>
    <t xml:space="preserve">SEGUIN</t>
  </si>
  <si>
    <t xml:space="preserve">Evariste</t>
  </si>
  <si>
    <t xml:space="preserve">619</t>
  </si>
  <si>
    <t xml:space="preserve">SEIZE</t>
  </si>
  <si>
    <t xml:space="preserve">SELLAMI</t>
  </si>
  <si>
    <t xml:space="preserve">Hedy</t>
  </si>
  <si>
    <t xml:space="preserve">SEMO</t>
  </si>
  <si>
    <t xml:space="preserve">539</t>
  </si>
  <si>
    <t xml:space="preserve">SENHAJI</t>
  </si>
  <si>
    <t xml:space="preserve">Sequeira</t>
  </si>
  <si>
    <t xml:space="preserve">SERGENT</t>
  </si>
  <si>
    <t xml:space="preserve">EVAN</t>
  </si>
  <si>
    <t xml:space="preserve">SERRE</t>
  </si>
  <si>
    <t xml:space="preserve">SERRES</t>
  </si>
  <si>
    <t xml:space="preserve">Célestin</t>
  </si>
  <si>
    <t xml:space="preserve">Yuon</t>
  </si>
  <si>
    <t xml:space="preserve">SHAO</t>
  </si>
  <si>
    <t xml:space="preserve">Matthéo</t>
  </si>
  <si>
    <t xml:space="preserve">SIMON</t>
  </si>
  <si>
    <t xml:space="preserve">SIMONET</t>
  </si>
  <si>
    <t xml:space="preserve">SINEGRE</t>
  </si>
  <si>
    <t xml:space="preserve">SISMEIRO</t>
  </si>
  <si>
    <t xml:space="preserve">Célia</t>
  </si>
  <si>
    <t xml:space="preserve">Sobol</t>
  </si>
  <si>
    <t xml:space="preserve">SOLER</t>
  </si>
  <si>
    <t xml:space="preserve">SOMARE</t>
  </si>
  <si>
    <t xml:space="preserve">SORBES</t>
  </si>
  <si>
    <t xml:space="preserve">SORTAIS</t>
  </si>
  <si>
    <t xml:space="preserve">Souriau</t>
  </si>
  <si>
    <t xml:space="preserve">STEFANINI</t>
  </si>
  <si>
    <t xml:space="preserve">Eloi</t>
  </si>
  <si>
    <t xml:space="preserve">532</t>
  </si>
  <si>
    <t xml:space="preserve">STEPHAN</t>
  </si>
  <si>
    <t xml:space="preserve">SURMON</t>
  </si>
  <si>
    <t xml:space="preserve">SUZANO</t>
  </si>
  <si>
    <t xml:space="preserve">SZYMANSKI</t>
  </si>
  <si>
    <t xml:space="preserve">TA HANSEN</t>
  </si>
  <si>
    <t xml:space="preserve">TAIEB</t>
  </si>
  <si>
    <t xml:space="preserve">TAILLAN</t>
  </si>
  <si>
    <t xml:space="preserve">TARISSE</t>
  </si>
  <si>
    <t xml:space="preserve">Louka</t>
  </si>
  <si>
    <t xml:space="preserve">TARNOVSKIY</t>
  </si>
  <si>
    <t xml:space="preserve">Vasily</t>
  </si>
  <si>
    <t xml:space="preserve">TAVARES</t>
  </si>
  <si>
    <t xml:space="preserve">Rodrigo</t>
  </si>
  <si>
    <t xml:space="preserve">Tefere Aga</t>
  </si>
  <si>
    <t xml:space="preserve">Nazireth</t>
  </si>
  <si>
    <t xml:space="preserve">TEOFILO</t>
  </si>
  <si>
    <t xml:space="preserve">Tessera</t>
  </si>
  <si>
    <t xml:space="preserve">TEUTONICO</t>
  </si>
  <si>
    <t xml:space="preserve">THEISEN</t>
  </si>
  <si>
    <t xml:space="preserve">THEZE</t>
  </si>
  <si>
    <t xml:space="preserve">THIERY</t>
  </si>
  <si>
    <t xml:space="preserve">THOMASSON-MAESTRI</t>
  </si>
  <si>
    <t xml:space="preserve">THOREZ</t>
  </si>
  <si>
    <t xml:space="preserve">TIAO</t>
  </si>
  <si>
    <t xml:space="preserve">TOBJI</t>
  </si>
  <si>
    <t xml:space="preserve">Fathi</t>
  </si>
  <si>
    <t xml:space="preserve">TOUHIER SYLVES</t>
  </si>
  <si>
    <t xml:space="preserve">TOUJANI</t>
  </si>
  <si>
    <t xml:space="preserve">TOUKALI</t>
  </si>
  <si>
    <t xml:space="preserve">Fahim</t>
  </si>
  <si>
    <t xml:space="preserve">Imran</t>
  </si>
  <si>
    <t xml:space="preserve">Toukali</t>
  </si>
  <si>
    <t xml:space="preserve">TOUKOUROU</t>
  </si>
  <si>
    <t xml:space="preserve">Abdurrahman</t>
  </si>
  <si>
    <t xml:space="preserve">TOUSSAINT</t>
  </si>
  <si>
    <t xml:space="preserve">TRAN QUOC</t>
  </si>
  <si>
    <t xml:space="preserve">TRANCOSO</t>
  </si>
  <si>
    <t xml:space="preserve">TRAORE</t>
  </si>
  <si>
    <t xml:space="preserve">Irlas</t>
  </si>
  <si>
    <t xml:space="preserve">TRAVAILLARD</t>
  </si>
  <si>
    <t xml:space="preserve">TRAVERS</t>
  </si>
  <si>
    <t xml:space="preserve">TRICOT</t>
  </si>
  <si>
    <t xml:space="preserve">VALLEE</t>
  </si>
  <si>
    <t xml:space="preserve">VAN ACKOOIJ</t>
  </si>
  <si>
    <t xml:space="preserve">VANZO</t>
  </si>
  <si>
    <t xml:space="preserve">Antony</t>
  </si>
  <si>
    <t xml:space="preserve">VASSILIEFF</t>
  </si>
  <si>
    <t xml:space="preserve">VEDRENNE</t>
  </si>
  <si>
    <t xml:space="preserve">Thiago</t>
  </si>
  <si>
    <t xml:space="preserve">Veilleux</t>
  </si>
  <si>
    <t xml:space="preserve">VELLUET</t>
  </si>
  <si>
    <t xml:space="preserve">Auxence</t>
  </si>
  <si>
    <t xml:space="preserve">VERDIER</t>
  </si>
  <si>
    <t xml:space="preserve">VERDOUCQ</t>
  </si>
  <si>
    <t xml:space="preserve">Louise</t>
  </si>
  <si>
    <t xml:space="preserve">VERGINE NASTASE</t>
  </si>
  <si>
    <t xml:space="preserve">Yoan</t>
  </si>
  <si>
    <t xml:space="preserve">VERGNAUD</t>
  </si>
  <si>
    <t xml:space="preserve">VERISSIMO RODRIGUES</t>
  </si>
  <si>
    <t xml:space="preserve">VIALLET</t>
  </si>
  <si>
    <t xml:space="preserve">VIDAL</t>
  </si>
  <si>
    <t xml:space="preserve">VIDONI</t>
  </si>
  <si>
    <t xml:space="preserve">VIGNAUD</t>
  </si>
  <si>
    <t xml:space="preserve">VILLAIN</t>
  </si>
  <si>
    <t xml:space="preserve">VélIna</t>
  </si>
  <si>
    <t xml:space="preserve">VINCENT</t>
  </si>
  <si>
    <t xml:space="preserve">VOISIN</t>
  </si>
  <si>
    <t xml:space="preserve">VOLATORE LAISNE</t>
  </si>
  <si>
    <t xml:space="preserve">Waast Crous</t>
  </si>
  <si>
    <t xml:space="preserve">WAAST-CROUS</t>
  </si>
  <si>
    <t xml:space="preserve">WANG</t>
  </si>
  <si>
    <t xml:space="preserve">1045</t>
  </si>
  <si>
    <t xml:space="preserve">WAQAQ</t>
  </si>
  <si>
    <t xml:space="preserve">Ayesha</t>
  </si>
  <si>
    <t xml:space="preserve">WARDKHAN</t>
  </si>
  <si>
    <t xml:space="preserve">Bichoy</t>
  </si>
  <si>
    <t xml:space="preserve">WEINNAM</t>
  </si>
  <si>
    <t xml:space="preserve">LOAN</t>
  </si>
  <si>
    <t xml:space="preserve">WEISS</t>
  </si>
  <si>
    <t xml:space="preserve">WEISSENBACHER</t>
  </si>
  <si>
    <t xml:space="preserve">Jonas</t>
  </si>
  <si>
    <t xml:space="preserve">WERTHLE</t>
  </si>
  <si>
    <t xml:space="preserve">656</t>
  </si>
  <si>
    <t xml:space="preserve">WEYER</t>
  </si>
  <si>
    <t xml:space="preserve">Hanaé</t>
  </si>
  <si>
    <t xml:space="preserve">WILLEKENS SERVY</t>
  </si>
  <si>
    <t xml:space="preserve">LIVIA</t>
  </si>
  <si>
    <t xml:space="preserve">WOLFF</t>
  </si>
  <si>
    <t xml:space="preserve">Lisa</t>
  </si>
  <si>
    <t xml:space="preserve">Wolff</t>
  </si>
  <si>
    <t xml:space="preserve">XAYGNABOLIN-MOUNIER</t>
  </si>
  <si>
    <t xml:space="preserve">QUENTIN</t>
  </si>
  <si>
    <t xml:space="preserve">XAYGNABOUN-MOUNIER</t>
  </si>
  <si>
    <t xml:space="preserve">YANG</t>
  </si>
  <si>
    <t xml:space="preserve">Franz</t>
  </si>
  <si>
    <t xml:space="preserve">YOUSSOUF</t>
  </si>
  <si>
    <t xml:space="preserve">Jibril</t>
  </si>
  <si>
    <t xml:space="preserve">Zakariya</t>
  </si>
  <si>
    <t xml:space="preserve">YVART</t>
  </si>
  <si>
    <t xml:space="preserve">GAETAN</t>
  </si>
  <si>
    <t xml:space="preserve">ZANARDO</t>
  </si>
  <si>
    <t xml:space="preserve">ZARIFOV</t>
  </si>
  <si>
    <t xml:space="preserve">Utkirbek</t>
  </si>
  <si>
    <t xml:space="preserve">ZARZYCKI</t>
  </si>
  <si>
    <t xml:space="preserve">Ernest</t>
  </si>
  <si>
    <t xml:space="preserve">ZENIA</t>
  </si>
  <si>
    <t xml:space="preserve">Karen</t>
  </si>
  <si>
    <t xml:space="preserve">ZHAO</t>
  </si>
  <si>
    <t xml:space="preserve">Ellis</t>
  </si>
  <si>
    <t xml:space="preserve">Emy</t>
  </si>
  <si>
    <t xml:space="preserve">Mia</t>
  </si>
  <si>
    <t xml:space="preserve">ZIMMERMANN</t>
  </si>
  <si>
    <t xml:space="preserve">TOURNOI DE LA VALLEE DE CHEVREUSE 2025-2026</t>
  </si>
  <si>
    <t xml:space="preserve">POUSSINS (-9)</t>
  </si>
  <si>
    <t xml:space="preserve">pour differencier vos joueurs</t>
  </si>
  <si>
    <t xml:space="preserve"> Tour 1</t>
  </si>
  <si>
    <t xml:space="preserve"> Tour 2</t>
  </si>
  <si>
    <t xml:space="preserve">Tour 3</t>
  </si>
  <si>
    <t xml:space="preserve">Tour 4</t>
  </si>
  <si>
    <t xml:space="preserve">entrer votre code club :</t>
  </si>
  <si>
    <t xml:space="preserve">Tous</t>
  </si>
  <si>
    <t xml:space="preserve">Pr. T1</t>
  </si>
  <si>
    <t xml:space="preserve">Points T1</t>
  </si>
  <si>
    <t xml:space="preserve">Pr. T2</t>
  </si>
  <si>
    <t xml:space="preserve">Points T2</t>
  </si>
  <si>
    <t xml:space="preserve">Pr. T3</t>
  </si>
  <si>
    <t xml:space="preserve">Points T3</t>
  </si>
  <si>
    <t xml:space="preserve">Pr. T4</t>
  </si>
  <si>
    <t xml:space="preserve">Points T4</t>
  </si>
  <si>
    <t xml:space="preserve">TOTAL</t>
  </si>
  <si>
    <t xml:space="preserve">x</t>
  </si>
  <si>
    <t xml:space="preserve">BERBONDE</t>
  </si>
  <si>
    <t xml:space="preserve">NB DE PARTICIPANTS</t>
  </si>
  <si>
    <t xml:space="preserve"> </t>
  </si>
  <si>
    <t xml:space="preserve">BENJAMINS (-11)</t>
  </si>
  <si>
    <t xml:space="preserve">X</t>
  </si>
  <si>
    <t xml:space="preserve">GARNIER</t>
  </si>
  <si>
    <t xml:space="preserve">DUMONT</t>
  </si>
  <si>
    <t xml:space="preserve">MINIMES (-13)</t>
  </si>
  <si>
    <t xml:space="preserve">Tout</t>
  </si>
  <si>
    <t xml:space="preserve">?</t>
  </si>
  <si>
    <t xml:space="preserve">GALLAND</t>
  </si>
  <si>
    <t xml:space="preserve">Christophe</t>
  </si>
  <si>
    <t xml:space="preserve">puyrigaud</t>
  </si>
  <si>
    <t xml:space="preserve">m</t>
  </si>
  <si>
    <t xml:space="preserve">laverre</t>
  </si>
  <si>
    <t xml:space="preserve">arthur</t>
  </si>
  <si>
    <t xml:space="preserve">costa</t>
  </si>
  <si>
    <t xml:space="preserve">axel</t>
  </si>
  <si>
    <t xml:space="preserve">hautreux</t>
  </si>
  <si>
    <t xml:space="preserve">baptiste</t>
  </si>
  <si>
    <t xml:space="preserve">CADETS-JUNIORS (-15 et -18)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</si>
  <si>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</si>
  <si>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</si>
  <si>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</si>
  <si>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</si>
  <si>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</si>
  <si>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</si>
  <si>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</si>
  <si>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</si>
  <si>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</si>
  <si>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</si>
  <si>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</si>
  <si>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</si>
  <si>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</si>
  <si>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</si>
  <si>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</si>
  <si>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</si>
  <si>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520</t>
  </si>
  <si>
    <t xml:space="preserve">521</t>
  </si>
  <si>
    <t xml:space="preserve">522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</si>
  <si>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</si>
  <si>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</si>
  <si>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</si>
  <si>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</si>
  <si>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</si>
  <si>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</si>
  <si>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</si>
  <si>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</si>
  <si>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533</t>
  </si>
  <si>
    <t xml:space="preserve">534</t>
  </si>
  <si>
    <t xml:space="preserve">535</t>
  </si>
  <si>
    <t xml:space="preserve">Nés en 2011 et 2012 :</t>
  </si>
  <si>
    <t xml:space="preserve">536</t>
  </si>
  <si>
    <t xml:space="preserve">THEZE Axel</t>
  </si>
  <si>
    <t xml:space="preserve">537</t>
  </si>
  <si>
    <t xml:space="preserve">BAUDOU Ilyan</t>
  </si>
  <si>
    <t xml:space="preserve">538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</si>
  <si>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</si>
  <si>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</si>
  <si>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</si>
  <si>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</si>
  <si>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</si>
  <si>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</si>
  <si>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</si>
  <si>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</si>
  <si>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</si>
  <si>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</si>
  <si>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</si>
  <si>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</si>
  <si>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lacroux</t>
  </si>
  <si>
    <t xml:space="preserve">552</t>
  </si>
  <si>
    <t xml:space="preserve">marques</t>
  </si>
  <si>
    <t xml:space="preserve">xavier</t>
  </si>
  <si>
    <t xml:space="preserve">553</t>
  </si>
  <si>
    <t xml:space="preserve">lemoult</t>
  </si>
  <si>
    <t xml:space="preserve">fuzier</t>
  </si>
  <si>
    <t xml:space="preserve">pierre</t>
  </si>
  <si>
    <t xml:space="preserve">beauvineau</t>
  </si>
  <si>
    <t xml:space="preserve">ethan</t>
  </si>
  <si>
    <t xml:space="preserve">FEMININES (toutes catégories)</t>
  </si>
  <si>
    <t xml:space="preserve">ABBADI</t>
  </si>
  <si>
    <t xml:space="preserve">ACREMANN</t>
  </si>
  <si>
    <t xml:space="preserve">ANDRIEUX</t>
  </si>
  <si>
    <t xml:space="preserve">H</t>
  </si>
  <si>
    <t xml:space="preserve">ASM TT</t>
  </si>
  <si>
    <t xml:space="preserve">Non Classé</t>
  </si>
  <si>
    <t xml:space="preserve">14/10/2014</t>
  </si>
  <si>
    <t xml:space="preserve">04/12/2017</t>
  </si>
  <si>
    <t xml:space="preserve">10/10/2016</t>
  </si>
  <si>
    <t xml:space="preserve">30/09/2013</t>
  </si>
  <si>
    <t xml:space="preserve">BICHON</t>
  </si>
  <si>
    <t xml:space="preserve">08/01/2016</t>
  </si>
  <si>
    <t xml:space="preserve">23/09/2012</t>
  </si>
  <si>
    <t xml:space="preserve">CHAPPERT</t>
  </si>
  <si>
    <t xml:space="preserve">20/03/2014</t>
  </si>
  <si>
    <t xml:space="preserve">CORLAIX</t>
  </si>
  <si>
    <t xml:space="preserve">20/05/2017</t>
  </si>
  <si>
    <t xml:space="preserve">Emrys</t>
  </si>
  <si>
    <t xml:space="preserve">Fall</t>
  </si>
  <si>
    <t xml:space="preserve">21/09/2016</t>
  </si>
  <si>
    <t xml:space="preserve">GONZALEZ</t>
  </si>
  <si>
    <t xml:space="preserve">18/01/2013</t>
  </si>
  <si>
    <t xml:space="preserve">HARDY FRAUGER</t>
  </si>
  <si>
    <t xml:space="preserve">JAHELMANN</t>
  </si>
  <si>
    <t xml:space="preserve">JOURDAN</t>
  </si>
  <si>
    <t xml:space="preserve">LARONEZ </t>
  </si>
  <si>
    <t xml:space="preserve">LAURENT</t>
  </si>
  <si>
    <t xml:space="preserve">LEROY </t>
  </si>
  <si>
    <t xml:space="preserve">Vadim         </t>
  </si>
  <si>
    <t xml:space="preserve">Liczkowski</t>
  </si>
  <si>
    <t xml:space="preserve">LOSEILLE</t>
  </si>
  <si>
    <t xml:space="preserve">Marques</t>
  </si>
  <si>
    <t xml:space="preserve">08/09/2015</t>
  </si>
  <si>
    <t xml:space="preserve">16/04/2014</t>
  </si>
  <si>
    <t xml:space="preserve">19/02/2012</t>
  </si>
  <si>
    <t xml:space="preserve">26/02/2014</t>
  </si>
  <si>
    <t xml:space="preserve">30/11/2016</t>
  </si>
  <si>
    <t xml:space="preserve">23/06/2012</t>
  </si>
  <si>
    <t xml:space="preserve">15/03/2016</t>
  </si>
  <si>
    <t xml:space="preserve">31/09/2014</t>
  </si>
  <si>
    <t xml:space="preserve">10/12/2011</t>
  </si>
  <si>
    <t xml:space="preserve">16/02/2015</t>
  </si>
  <si>
    <t xml:space="preserve">10/07/2011</t>
  </si>
  <si>
    <t xml:space="preserve">TESSERA</t>
  </si>
  <si>
    <t xml:space="preserve">23/09/2013</t>
  </si>
  <si>
    <t xml:space="preserve">VEILLEUX</t>
  </si>
  <si>
    <t xml:space="preserve">24//02/2012</t>
  </si>
  <si>
    <t xml:space="preserve">18/02/2013</t>
  </si>
  <si>
    <t xml:space="preserve">Othirbek</t>
  </si>
  <si>
    <t xml:space="preserve">Distribution des Points </t>
  </si>
  <si>
    <t xml:space="preserve">Benjamins</t>
  </si>
  <si>
    <t xml:space="preserve">Minimes</t>
  </si>
  <si>
    <t xml:space="preserve">Poussins</t>
  </si>
  <si>
    <t xml:space="preserve">Tour</t>
  </si>
  <si>
    <t xml:space="preserve">Total général</t>
  </si>
  <si>
    <t xml:space="preserve">Feminine</t>
  </si>
  <si>
    <t xml:space="preserve">Cadet/junior</t>
  </si>
  <si>
    <t xml:space="preserve">Distribution Participation</t>
  </si>
  <si>
    <t xml:space="preserve">TOTAL-CLUBS</t>
  </si>
  <si>
    <t xml:space="preserve">1er Tour</t>
  </si>
  <si>
    <t xml:space="preserve">2nd Tour</t>
  </si>
  <si>
    <t xml:space="preserve">3ème Tour</t>
  </si>
  <si>
    <t xml:space="preserve">4ème Tour</t>
  </si>
  <si>
    <t xml:space="preserve">POUS.</t>
  </si>
  <si>
    <t xml:space="preserve">BENJ.</t>
  </si>
  <si>
    <t xml:space="preserve">MINI.</t>
  </si>
  <si>
    <t xml:space="preserve">CAD.-
JUNIO.</t>
  </si>
  <si>
    <t xml:space="preserve">FEM.</t>
  </si>
  <si>
    <t xml:space="preserve">TOTAL
CUMUL</t>
  </si>
  <si>
    <t xml:space="preserve">Plus jeune joueur présent à l’issue du tour 1</t>
  </si>
  <si>
    <t xml:space="preserve">Plus jeune joueuse présente à l’issue du tour 1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</si>
</sst>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d/m/yyyy"/>
    <numFmt numFmtId="167" formatCode="@"/>
    <numFmt numFmtId="168" formatCode="dd\-mmm\-yy"/>
    <numFmt numFmtId="169" formatCode="dd\-mmm"/>
    <numFmt numFmtId="170" formatCode="0"/>
    <numFmt numFmtId="171" formatCode="#,##0&quot; €&quot;;[RED]\-#,##0&quot; €&quot;"/>
    <numFmt numFmtId="172" formatCode="yyyy\-mm\-dd\ h:mm:ss"/>
  </numFmts>
  <fonts count="3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434343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rgb="FF434343"/>
      <name val="Roboto"/>
      <family val="0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Cambria"/>
      <family val="2"/>
      <charset val="1"/>
    </font>
    <font>
      <sz val="10"/>
      <name val="Roboto"/>
      <family val="0"/>
      <charset val="1"/>
    </font>
    <font>
      <sz val="10"/>
      <color rgb="FFFF0000"/>
      <name val="Arial"/>
      <family val="2"/>
      <charset val="1"/>
    </font>
    <font>
      <sz val="12"/>
      <color rgb="FF222222"/>
      <name val="Arial"/>
      <family val="2"/>
      <charset val="1"/>
    </font>
    <font>
      <sz val="11"/>
      <color rgb="FFFF0000"/>
      <name val="Aptos Narrow"/>
      <family val="2"/>
      <charset val="1"/>
    </font>
    <font>
      <sz val="11"/>
      <name val="Calibri"/>
      <family val="2"/>
      <charset val="1"/>
    </font>
    <font>
      <sz val="10"/>
      <color theme="1"/>
      <name val="Times New Roman"/>
      <family val="1"/>
      <charset val="1"/>
    </font>
    <font>
      <b val="true"/>
      <sz val="10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name val="Times New Roman"/>
      <family val="1"/>
      <charset val="1"/>
    </font>
    <font>
      <b val="true"/>
      <sz val="14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u val="single"/>
      <sz val="10"/>
      <color theme="1"/>
      <name val="Arial"/>
      <family val="2"/>
      <charset val="1"/>
    </font>
    <font>
      <sz val="10"/>
      <color rgb="FF000000"/>
      <name val="Cambria"/>
      <family val="2"/>
      <charset val="1"/>
    </font>
    <font>
      <sz val="11"/>
      <color theme="1"/>
      <name val="Arial"/>
      <family val="2"/>
      <charset val="1"/>
    </font>
    <font>
      <sz val="12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10"/>
      <color rgb="FFFF0000"/>
      <name val="Times New Roman"/>
      <family val="1"/>
      <charset val="1"/>
    </font>
    <font>
      <b val="true"/>
      <i val="true"/>
      <sz val="10"/>
      <color rgb="FFFF0000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0"/>
      <color rgb="FFFFFFFF"/>
      <name val="Arial Black"/>
      <family val="2"/>
      <charset val="1"/>
    </font>
    <font>
      <b val="true"/>
      <sz val="12"/>
      <name val="Arial"/>
      <family val="2"/>
      <charset val="1"/>
    </font>
    <font>
      <sz val="14"/>
      <name val="Arial"/>
      <family val="2"/>
      <charset val="1"/>
    </font>
    <font>
      <sz val="10"/>
      <color rgb="FF222222"/>
      <name val="Times New Roman"/>
      <family val="1"/>
      <charset val="1"/>
    </font>
    <font>
      <b val="true"/>
      <sz val="16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4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E6B9B8"/>
      </patternFill>
    </fill>
    <fill>
      <patternFill patternType="solid">
        <fgColor theme="5" tint="0.7999"/>
        <bgColor rgb="FFFDE9D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theme="5" tint="0.5999"/>
        <bgColor rgb="FFFFC7CE"/>
      </patternFill>
    </fill>
    <fill>
      <patternFill patternType="solid">
        <fgColor rgb="FFFDE9D9"/>
        <bgColor rgb="FFF2DCDB"/>
      </patternFill>
    </fill>
    <fill>
      <patternFill patternType="solid">
        <fgColor theme="7" tint="0.3999"/>
        <bgColor rgb="FF999999"/>
      </patternFill>
    </fill>
    <fill>
      <patternFill patternType="solid">
        <fgColor rgb="FF969696"/>
        <bgColor rgb="FF999999"/>
      </patternFill>
    </fill>
    <fill>
      <patternFill patternType="solid">
        <fgColor rgb="FF000000"/>
        <bgColor rgb="FF222222"/>
      </patternFill>
    </fill>
    <fill>
      <patternFill patternType="solid">
        <fgColor rgb="FFFFFF99"/>
        <bgColor rgb="FFFFEB9C"/>
      </patternFill>
    </fill>
    <fill>
      <patternFill patternType="solid">
        <fgColor theme="5" tint="0.3998"/>
        <bgColor rgb="FFB3A2C7"/>
      </patternFill>
    </fill>
    <fill>
      <patternFill patternType="solid">
        <fgColor rgb="FF00B0F0"/>
        <bgColor rgb="FF33CCCC"/>
      </patternFill>
    </fill>
  </fills>
  <borders count="6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>
        <color theme="0"/>
      </left>
      <right style="thin"/>
      <top style="thin"/>
      <bottom style="thin"/>
      <diagonal/>
    </border>
    <border diagonalUp="false" diagonalDown="false">
      <left style="thin"/>
      <right style="thin">
        <color theme="0"/>
      </right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999999"/>
      </left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1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6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2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0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11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4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9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70" fontId="25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5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4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70" fontId="25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9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4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70" fontId="9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22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11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3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7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8" fillId="4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9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3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8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3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1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1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4" borderId="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3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5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5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5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5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4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0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4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4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4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6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1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0" fillId="4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6" fontId="10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10" fillId="7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2" fillId="4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7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8" fillId="5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0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8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0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16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4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7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0" fillId="7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5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5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4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20" fillId="0" borderId="4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12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12" fillId="5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4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0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6" fillId="10" borderId="4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5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1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1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5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6" fillId="1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10" borderId="4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2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5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33"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3A2C7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1"/>
      </font>
      <fill>
        <patternFill>
          <bgColor rgb="FFFFFF99"/>
        </patternFill>
      </fill>
    </dxf>
    <dxf>
      <fill>
        <patternFill>
          <bgColor rgb="FFFFC7CE"/>
        </patternFill>
      </fill>
    </dxf>
    <dxf>
      <font>
        <b val="1"/>
      </font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Narrow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Times New Roman"/>
        <charset val="1"/>
        <family val="1"/>
        <color rgb="FF000000"/>
        <sz val="12"/>
      </font>
    </dxf>
    <dxf>
      <font>
        <name val="Aptos Narrow"/>
        <charset val="1"/>
        <family val="2"/>
        <b val="1"/>
        <color rgb="FF339933"/>
        <sz val="11"/>
      </font>
    </dxf>
    <dxf>
      <font>
        <name val="Aptos Narrow"/>
        <charset val="1"/>
        <family val="2"/>
        <b val="1"/>
        <color rgb="FFFF0000"/>
        <sz val="11"/>
      </font>
    </dxf>
    <dxf>
      <fill>
        <patternFill>
          <bgColor theme="4"/>
        </patternFill>
      </fill>
    </dxf>
    <dxf>
      <font>
        <name val="Arial"/>
        <charset val="1"/>
        <family val="0"/>
        <b val="1"/>
      </font>
      <fill>
        <patternFill>
          <bgColor rgb="FFFFFF99"/>
        </patternFill>
      </fill>
    </dxf>
    <dxf>
      <font>
        <name val="Arial"/>
        <charset val="1"/>
        <family val="0"/>
      </font>
      <fill>
        <patternFill>
          <bgColor rgb="FFFFC7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999999"/>
      <rgbColor rgb="FF9999FF"/>
      <rgbColor rgb="FF993366"/>
      <rgbColor rgb="FFF8F9FA"/>
      <rgbColor rgb="FFFDE9D9"/>
      <rgbColor rgb="FF660066"/>
      <rgbColor rgb="FFD99694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FEB9C"/>
      <rgbColor rgb="FFC6EFCE"/>
      <rgbColor rgb="FFFFFF99"/>
      <rgbColor rgb="FF99CCFF"/>
      <rgbColor rgb="FFE6B9B8"/>
      <rgbColor rgb="FFB3A2C7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33"/>
      <rgbColor rgb="FF003300"/>
      <rgbColor rgb="FF222222"/>
      <rgbColor rgb="FF9C57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11160</xdr:colOff>
      <xdr:row>0</xdr:row>
      <xdr:rowOff>0</xdr:rowOff>
    </xdr:from>
    <xdr:to>
      <xdr:col>16</xdr:col>
      <xdr:colOff>14400</xdr:colOff>
      <xdr:row>2</xdr:row>
      <xdr:rowOff>20520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1113560" y="0"/>
          <a:ext cx="660960" cy="563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0</xdr:row>
      <xdr:rowOff>0</xdr:rowOff>
    </xdr:from>
    <xdr:to>
      <xdr:col>16</xdr:col>
      <xdr:colOff>3240</xdr:colOff>
      <xdr:row>2</xdr:row>
      <xdr:rowOff>175680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10033560" y="0"/>
          <a:ext cx="661320" cy="556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470520</xdr:colOff>
      <xdr:row>0</xdr:row>
      <xdr:rowOff>0</xdr:rowOff>
    </xdr:from>
    <xdr:to>
      <xdr:col>15</xdr:col>
      <xdr:colOff>608400</xdr:colOff>
      <xdr:row>2</xdr:row>
      <xdr:rowOff>20520</xdr:rowOff>
    </xdr:to>
    <xdr:pic>
      <xdr:nvPicPr>
        <xdr:cNvPr id="2" name="Image 1" descr=""/>
        <xdr:cNvPicPr/>
      </xdr:nvPicPr>
      <xdr:blipFill>
        <a:blip r:embed="rId1"/>
        <a:stretch/>
      </xdr:blipFill>
      <xdr:spPr>
        <a:xfrm>
          <a:off x="10236960" y="0"/>
          <a:ext cx="642600" cy="563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11160</xdr:colOff>
      <xdr:row>0</xdr:row>
      <xdr:rowOff>0</xdr:rowOff>
    </xdr:from>
    <xdr:to>
      <xdr:col>15</xdr:col>
      <xdr:colOff>630720</xdr:colOff>
      <xdr:row>2</xdr:row>
      <xdr:rowOff>20520</xdr:rowOff>
    </xdr:to>
    <xdr:pic>
      <xdr:nvPicPr>
        <xdr:cNvPr id="3" name="Image 1" descr=""/>
        <xdr:cNvPicPr/>
      </xdr:nvPicPr>
      <xdr:blipFill>
        <a:blip r:embed="rId1"/>
        <a:stretch/>
      </xdr:blipFill>
      <xdr:spPr>
        <a:xfrm>
          <a:off x="11028960" y="0"/>
          <a:ext cx="619560" cy="563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371520</xdr:colOff>
      <xdr:row>0</xdr:row>
      <xdr:rowOff>0</xdr:rowOff>
    </xdr:from>
    <xdr:to>
      <xdr:col>15</xdr:col>
      <xdr:colOff>524520</xdr:colOff>
      <xdr:row>2</xdr:row>
      <xdr:rowOff>17280</xdr:rowOff>
    </xdr:to>
    <xdr:pic>
      <xdr:nvPicPr>
        <xdr:cNvPr id="4" name="Image 1" descr=""/>
        <xdr:cNvPicPr/>
      </xdr:nvPicPr>
      <xdr:blipFill>
        <a:blip r:embed="rId1"/>
        <a:stretch/>
      </xdr:blipFill>
      <xdr:spPr>
        <a:xfrm>
          <a:off x="10666800" y="0"/>
          <a:ext cx="646200" cy="560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114480</xdr:colOff>
      <xdr:row>0</xdr:row>
      <xdr:rowOff>0</xdr:rowOff>
    </xdr:from>
    <xdr:to>
      <xdr:col>12</xdr:col>
      <xdr:colOff>734040</xdr:colOff>
      <xdr:row>2</xdr:row>
      <xdr:rowOff>78480</xdr:rowOff>
    </xdr:to>
    <xdr:pic>
      <xdr:nvPicPr>
        <xdr:cNvPr id="5" name="Image 3" descr=""/>
        <xdr:cNvPicPr/>
      </xdr:nvPicPr>
      <xdr:blipFill>
        <a:blip r:embed="rId1"/>
        <a:stretch/>
      </xdr:blipFill>
      <xdr:spPr>
        <a:xfrm>
          <a:off x="9838800" y="0"/>
          <a:ext cx="619560" cy="545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Pc-de-manon/DONN&#201;ES%20(D)/DOCUME~1/Bourdic/LOCALS~1/Temp/JoueursLesUlis06-07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687" activePane="bottomRight" state="frozen"/>
      <selection pane="topLeft" activeCell="A1" activeCellId="0" sqref="A1"/>
      <selection pane="topRight" activeCell="C1" activeCellId="0" sqref="C1"/>
      <selection pane="bottomLeft" activeCell="A687" activeCellId="0" sqref="A687"/>
      <selection pane="bottomRight" activeCell="C1049" activeCellId="0" sqref="C1049"/>
    </sheetView>
  </sheetViews>
  <sheetFormatPr defaultColWidth="10.66796875" defaultRowHeight="12.75" customHeight="true" zeroHeight="false" outlineLevelRow="0" outlineLevelCol="0"/>
  <cols>
    <col collapsed="false" customWidth="false" hidden="false" outlineLevel="0" max="1" min="1" style="1" width="10.66"/>
    <col collapsed="false" customWidth="true" hidden="false" outlineLevel="0" max="2" min="2" style="2" width="34.83"/>
    <col collapsed="false" customWidth="true" hidden="false" outlineLevel="0" max="3" min="3" style="2" width="26"/>
  </cols>
  <sheetData>
    <row r="1" customFormat="false" ht="12.75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customFormat="false" ht="12.75" hidden="true" customHeight="true" outlineLevel="0" collapsed="false">
      <c r="A2" s="1" t="n">
        <v>1069</v>
      </c>
      <c r="B2" s="6" t="s">
        <v>6</v>
      </c>
      <c r="C2" s="6" t="s">
        <v>7</v>
      </c>
      <c r="D2" s="7" t="s">
        <v>8</v>
      </c>
      <c r="E2" s="8" t="n">
        <v>42911</v>
      </c>
      <c r="F2" s="9" t="s">
        <v>9</v>
      </c>
      <c r="G2" s="10" t="n">
        <v>500</v>
      </c>
    </row>
    <row r="3" customFormat="false" ht="23.25" hidden="true" customHeight="true" outlineLevel="0" collapsed="false">
      <c r="A3" s="11"/>
      <c r="B3" s="12" t="s">
        <v>10</v>
      </c>
      <c r="C3" s="13" t="s">
        <v>11</v>
      </c>
      <c r="D3" s="14" t="s">
        <v>8</v>
      </c>
      <c r="E3" s="15" t="n">
        <v>42181</v>
      </c>
      <c r="F3" s="16" t="s">
        <v>12</v>
      </c>
    </row>
    <row r="4" customFormat="false" ht="12.75" hidden="true" customHeight="true" outlineLevel="0" collapsed="false">
      <c r="A4" s="17" t="n">
        <v>3099</v>
      </c>
      <c r="B4" s="18" t="s">
        <v>13</v>
      </c>
      <c r="C4" s="18" t="s">
        <v>14</v>
      </c>
      <c r="D4" s="19" t="s">
        <v>8</v>
      </c>
      <c r="E4" s="20" t="n">
        <v>41307</v>
      </c>
      <c r="F4" s="21" t="s">
        <v>9</v>
      </c>
      <c r="G4" s="22" t="n">
        <v>574</v>
      </c>
    </row>
    <row r="5" customFormat="false" ht="12.75" hidden="true" customHeight="true" outlineLevel="0" collapsed="false">
      <c r="A5" s="17" t="n">
        <v>3080</v>
      </c>
      <c r="B5" s="23" t="s">
        <v>15</v>
      </c>
      <c r="C5" s="23" t="s">
        <v>16</v>
      </c>
      <c r="D5" s="24" t="s">
        <v>8</v>
      </c>
      <c r="E5" s="25" t="n">
        <v>41973</v>
      </c>
      <c r="F5" s="26" t="s">
        <v>17</v>
      </c>
      <c r="G5" s="22" t="n">
        <v>500</v>
      </c>
    </row>
    <row r="6" customFormat="false" ht="23.25" hidden="true" customHeight="true" outlineLevel="0" collapsed="false">
      <c r="A6" s="11"/>
      <c r="B6" s="27" t="s">
        <v>18</v>
      </c>
      <c r="C6" s="28" t="s">
        <v>19</v>
      </c>
      <c r="D6" s="29" t="s">
        <v>8</v>
      </c>
      <c r="E6" s="30" t="n">
        <v>42334</v>
      </c>
      <c r="F6" s="31" t="s">
        <v>20</v>
      </c>
    </row>
    <row r="7" customFormat="false" ht="12.75" hidden="true" customHeight="true" outlineLevel="0" collapsed="false">
      <c r="A7" s="11"/>
      <c r="B7" s="12" t="s">
        <v>21</v>
      </c>
      <c r="C7" s="13" t="s">
        <v>22</v>
      </c>
      <c r="D7" s="14" t="s">
        <v>8</v>
      </c>
      <c r="E7" s="32" t="n">
        <v>42370</v>
      </c>
      <c r="F7" s="16" t="s">
        <v>9</v>
      </c>
    </row>
    <row r="8" customFormat="false" ht="12.75" hidden="true" customHeight="true" outlineLevel="0" collapsed="false">
      <c r="A8" s="11"/>
      <c r="B8" s="12" t="s">
        <v>21</v>
      </c>
      <c r="C8" s="13" t="s">
        <v>23</v>
      </c>
      <c r="D8" s="14" t="s">
        <v>8</v>
      </c>
      <c r="E8" s="33" t="n">
        <v>42005</v>
      </c>
      <c r="F8" s="16" t="s">
        <v>9</v>
      </c>
    </row>
    <row r="9" customFormat="false" ht="12.75" hidden="true" customHeight="true" outlineLevel="0" collapsed="false">
      <c r="A9" s="1" t="n">
        <v>3041</v>
      </c>
      <c r="B9" s="34" t="s">
        <v>24</v>
      </c>
      <c r="C9" s="35" t="s">
        <v>25</v>
      </c>
      <c r="D9" s="36" t="s">
        <v>26</v>
      </c>
      <c r="E9" s="37" t="n">
        <v>41694</v>
      </c>
      <c r="F9" s="16" t="s">
        <v>12</v>
      </c>
      <c r="G9" s="38" t="n">
        <v>500</v>
      </c>
    </row>
    <row r="10" customFormat="false" ht="12.75" hidden="true" customHeight="true" outlineLevel="0" collapsed="false">
      <c r="A10" s="11"/>
      <c r="B10" s="39" t="s">
        <v>27</v>
      </c>
      <c r="C10" s="40" t="s">
        <v>28</v>
      </c>
      <c r="D10" s="14" t="s">
        <v>8</v>
      </c>
      <c r="E10" s="41" t="n">
        <v>41586</v>
      </c>
      <c r="F10" s="16" t="s">
        <v>29</v>
      </c>
    </row>
    <row r="11" customFormat="false" ht="12.75" hidden="true" customHeight="true" outlineLevel="0" collapsed="false">
      <c r="A11" s="42" t="n">
        <v>4065</v>
      </c>
      <c r="B11" s="23" t="s">
        <v>30</v>
      </c>
      <c r="C11" s="23" t="s">
        <v>31</v>
      </c>
      <c r="D11" s="24" t="s">
        <v>8</v>
      </c>
      <c r="E11" s="43" t="n">
        <v>41032</v>
      </c>
      <c r="F11" s="26" t="s">
        <v>9</v>
      </c>
      <c r="G11" s="22" t="n">
        <v>500</v>
      </c>
    </row>
    <row r="12" customFormat="false" ht="12.75" hidden="true" customHeight="true" outlineLevel="0" collapsed="false">
      <c r="A12" s="1" t="n">
        <v>1070</v>
      </c>
      <c r="B12" s="44" t="s">
        <v>32</v>
      </c>
      <c r="C12" s="44" t="s">
        <v>33</v>
      </c>
      <c r="D12" s="24" t="s">
        <v>26</v>
      </c>
      <c r="E12" s="45" t="n">
        <v>43191</v>
      </c>
      <c r="F12" s="26" t="s">
        <v>34</v>
      </c>
      <c r="G12" s="22" t="n">
        <v>500</v>
      </c>
    </row>
    <row r="13" customFormat="false" ht="12.75" hidden="true" customHeight="true" outlineLevel="0" collapsed="false">
      <c r="A13" s="1" t="n">
        <v>1071</v>
      </c>
      <c r="B13" s="44" t="s">
        <v>32</v>
      </c>
      <c r="C13" s="44" t="s">
        <v>35</v>
      </c>
      <c r="D13" s="36" t="s">
        <v>8</v>
      </c>
      <c r="E13" s="45" t="n">
        <v>44075</v>
      </c>
      <c r="F13" s="26" t="s">
        <v>34</v>
      </c>
      <c r="G13" s="22" t="n">
        <v>500</v>
      </c>
    </row>
    <row r="14" customFormat="false" ht="12.75" hidden="true" customHeight="true" outlineLevel="0" collapsed="false">
      <c r="A14" s="1" t="n">
        <v>3073</v>
      </c>
      <c r="B14" s="46" t="s">
        <v>36</v>
      </c>
      <c r="C14" s="46" t="s">
        <v>37</v>
      </c>
      <c r="D14" s="47" t="s">
        <v>8</v>
      </c>
      <c r="E14" s="48" t="n">
        <v>41339</v>
      </c>
      <c r="F14" s="49" t="s">
        <v>20</v>
      </c>
      <c r="G14" s="50" t="n">
        <v>500</v>
      </c>
    </row>
    <row r="15" customFormat="false" ht="12.75" hidden="true" customHeight="true" outlineLevel="0" collapsed="false">
      <c r="A15" s="11"/>
      <c r="B15" s="13" t="s">
        <v>38</v>
      </c>
      <c r="C15" s="13" t="s">
        <v>39</v>
      </c>
      <c r="D15" s="14" t="s">
        <v>8</v>
      </c>
      <c r="E15" s="33" t="n">
        <v>40909</v>
      </c>
      <c r="F15" s="16" t="s">
        <v>9</v>
      </c>
    </row>
    <row r="16" customFormat="false" ht="12.75" hidden="true" customHeight="true" outlineLevel="0" collapsed="false">
      <c r="A16" s="1" t="n">
        <v>1063</v>
      </c>
      <c r="B16" s="51" t="s">
        <v>40</v>
      </c>
      <c r="C16" s="51" t="s">
        <v>41</v>
      </c>
      <c r="D16" s="36" t="s">
        <v>8</v>
      </c>
      <c r="E16" s="52" t="n">
        <v>42765</v>
      </c>
      <c r="F16" s="24" t="s">
        <v>20</v>
      </c>
      <c r="G16" s="50" t="n">
        <v>500</v>
      </c>
    </row>
    <row r="17" customFormat="false" ht="12.75" hidden="true" customHeight="true" outlineLevel="0" collapsed="false">
      <c r="A17" s="1" t="n">
        <v>1072</v>
      </c>
      <c r="B17" s="44" t="s">
        <v>42</v>
      </c>
      <c r="C17" s="44" t="s">
        <v>43</v>
      </c>
      <c r="D17" s="36" t="s">
        <v>8</v>
      </c>
      <c r="E17" s="45" t="n">
        <v>42775</v>
      </c>
      <c r="F17" s="26" t="s">
        <v>34</v>
      </c>
      <c r="G17" s="22" t="n">
        <v>500</v>
      </c>
    </row>
    <row r="18" customFormat="false" ht="12.75" hidden="true" customHeight="true" outlineLevel="0" collapsed="false">
      <c r="A18" s="17" t="n">
        <v>3096</v>
      </c>
      <c r="B18" s="23" t="s">
        <v>44</v>
      </c>
      <c r="C18" s="23" t="s">
        <v>45</v>
      </c>
      <c r="D18" s="24" t="s">
        <v>26</v>
      </c>
      <c r="E18" s="43" t="n">
        <v>41620</v>
      </c>
      <c r="F18" s="26" t="s">
        <v>9</v>
      </c>
      <c r="G18" s="22" t="n">
        <v>575</v>
      </c>
    </row>
    <row r="19" customFormat="false" ht="12.75" hidden="true" customHeight="true" outlineLevel="0" collapsed="false">
      <c r="A19" s="42" t="n">
        <v>4063</v>
      </c>
      <c r="B19" s="23" t="s">
        <v>44</v>
      </c>
      <c r="C19" s="23" t="s">
        <v>46</v>
      </c>
      <c r="D19" s="24" t="s">
        <v>26</v>
      </c>
      <c r="E19" s="43" t="n">
        <v>40917</v>
      </c>
      <c r="F19" s="26" t="s">
        <v>9</v>
      </c>
      <c r="G19" s="22" t="n">
        <v>500</v>
      </c>
    </row>
    <row r="20" customFormat="false" ht="12.75" hidden="true" customHeight="true" outlineLevel="0" collapsed="false">
      <c r="A20" s="1" t="n">
        <v>1068</v>
      </c>
      <c r="B20" s="53" t="s">
        <v>44</v>
      </c>
      <c r="C20" s="53" t="s">
        <v>47</v>
      </c>
      <c r="D20" s="36" t="s">
        <v>8</v>
      </c>
      <c r="E20" s="54" t="n">
        <v>43264</v>
      </c>
      <c r="F20" s="55" t="s">
        <v>9</v>
      </c>
      <c r="G20" s="56" t="n">
        <v>508</v>
      </c>
    </row>
    <row r="21" customFormat="false" ht="12.75" hidden="true" customHeight="true" outlineLevel="0" collapsed="false">
      <c r="A21" s="11"/>
      <c r="B21" s="13" t="s">
        <v>48</v>
      </c>
      <c r="C21" s="13" t="s">
        <v>49</v>
      </c>
      <c r="D21" s="14" t="s">
        <v>8</v>
      </c>
      <c r="E21" s="33" t="n">
        <v>40909</v>
      </c>
      <c r="F21" s="16" t="s">
        <v>9</v>
      </c>
    </row>
    <row r="22" customFormat="false" ht="23.25" hidden="true" customHeight="true" outlineLevel="0" collapsed="false">
      <c r="A22" s="11"/>
      <c r="B22" s="57" t="s">
        <v>50</v>
      </c>
      <c r="C22" s="58" t="s">
        <v>51</v>
      </c>
      <c r="D22" s="14" t="s">
        <v>26</v>
      </c>
      <c r="E22" s="59" t="n">
        <v>38929</v>
      </c>
      <c r="F22" s="16" t="s">
        <v>52</v>
      </c>
    </row>
    <row r="23" customFormat="false" ht="12.75" hidden="true" customHeight="true" outlineLevel="0" collapsed="false">
      <c r="A23" s="11"/>
      <c r="B23" s="60" t="s">
        <v>53</v>
      </c>
      <c r="C23" s="61" t="s">
        <v>54</v>
      </c>
      <c r="D23" s="14" t="s">
        <v>8</v>
      </c>
      <c r="E23" s="33" t="n">
        <v>39448</v>
      </c>
      <c r="F23" s="16" t="s">
        <v>9</v>
      </c>
    </row>
    <row r="24" customFormat="false" ht="12.75" hidden="true" customHeight="true" outlineLevel="0" collapsed="false">
      <c r="A24" s="11"/>
      <c r="B24" s="62" t="s">
        <v>55</v>
      </c>
      <c r="C24" s="62" t="s">
        <v>56</v>
      </c>
      <c r="D24" s="14" t="s">
        <v>8</v>
      </c>
      <c r="E24" s="63" t="n">
        <v>42103</v>
      </c>
      <c r="F24" s="16" t="s">
        <v>52</v>
      </c>
    </row>
    <row r="25" customFormat="false" ht="23.25" hidden="true" customHeight="true" outlineLevel="0" collapsed="false">
      <c r="A25" s="11"/>
      <c r="B25" s="12" t="s">
        <v>57</v>
      </c>
      <c r="C25" s="13" t="s">
        <v>58</v>
      </c>
      <c r="D25" s="14" t="s">
        <v>8</v>
      </c>
      <c r="E25" s="15" t="n">
        <v>42258</v>
      </c>
      <c r="F25" s="16" t="s">
        <v>20</v>
      </c>
    </row>
    <row r="26" customFormat="false" ht="23.25" hidden="true" customHeight="true" outlineLevel="0" collapsed="false">
      <c r="A26" s="11"/>
      <c r="B26" s="64" t="s">
        <v>57</v>
      </c>
      <c r="C26" s="64" t="s">
        <v>59</v>
      </c>
      <c r="D26" s="14" t="s">
        <v>8</v>
      </c>
      <c r="E26" s="59" t="n">
        <v>41220</v>
      </c>
      <c r="F26" s="16" t="s">
        <v>20</v>
      </c>
    </row>
    <row r="27" customFormat="false" ht="12.75" hidden="true" customHeight="true" outlineLevel="0" collapsed="false">
      <c r="A27" s="1" t="n">
        <v>2141</v>
      </c>
      <c r="B27" s="65" t="s">
        <v>60</v>
      </c>
      <c r="C27" s="65" t="s">
        <v>61</v>
      </c>
      <c r="D27" s="19" t="s">
        <v>8</v>
      </c>
      <c r="E27" s="66" t="n">
        <v>42076</v>
      </c>
      <c r="F27" s="21" t="s">
        <v>34</v>
      </c>
      <c r="G27" s="22" t="n">
        <v>500</v>
      </c>
    </row>
    <row r="28" customFormat="false" ht="12.75" hidden="true" customHeight="true" outlineLevel="0" collapsed="false">
      <c r="A28" s="11"/>
      <c r="B28" s="60" t="s">
        <v>62</v>
      </c>
      <c r="C28" s="61" t="s">
        <v>63</v>
      </c>
      <c r="D28" s="14" t="s">
        <v>8</v>
      </c>
      <c r="E28" s="52" t="n">
        <v>40237</v>
      </c>
      <c r="F28" s="16" t="s">
        <v>9</v>
      </c>
    </row>
    <row r="29" customFormat="false" ht="12.75" hidden="true" customHeight="true" outlineLevel="0" collapsed="false">
      <c r="A29" s="1" t="n">
        <v>2085</v>
      </c>
      <c r="B29" s="51" t="s">
        <v>64</v>
      </c>
      <c r="C29" s="51" t="s">
        <v>65</v>
      </c>
      <c r="D29" s="36" t="s">
        <v>8</v>
      </c>
      <c r="E29" s="52" t="n">
        <v>42192</v>
      </c>
      <c r="F29" s="24" t="s">
        <v>20</v>
      </c>
      <c r="G29" s="50" t="n">
        <v>500</v>
      </c>
    </row>
    <row r="30" customFormat="false" ht="13.5" hidden="true" customHeight="true" outlineLevel="0" collapsed="false">
      <c r="A30" s="11"/>
      <c r="B30" s="67" t="s">
        <v>66</v>
      </c>
      <c r="C30" s="67" t="s">
        <v>67</v>
      </c>
      <c r="D30" s="29" t="s">
        <v>8</v>
      </c>
      <c r="E30" s="68" t="n">
        <v>39313</v>
      </c>
      <c r="F30" s="31" t="s">
        <v>29</v>
      </c>
    </row>
    <row r="31" customFormat="false" ht="12.75" hidden="true" customHeight="true" outlineLevel="0" collapsed="false">
      <c r="A31" s="1" t="n">
        <v>2012</v>
      </c>
      <c r="B31" s="69" t="s">
        <v>68</v>
      </c>
      <c r="C31" s="69" t="s">
        <v>69</v>
      </c>
      <c r="D31" s="70" t="s">
        <v>26</v>
      </c>
      <c r="E31" s="71" t="n">
        <v>42666</v>
      </c>
      <c r="F31" s="72" t="s">
        <v>29</v>
      </c>
      <c r="G31" s="50" t="s">
        <v>70</v>
      </c>
    </row>
    <row r="32" customFormat="false" ht="23.25" hidden="true" customHeight="true" outlineLevel="0" collapsed="false">
      <c r="A32" s="11"/>
      <c r="B32" s="39" t="s">
        <v>71</v>
      </c>
      <c r="C32" s="34" t="s">
        <v>69</v>
      </c>
      <c r="D32" s="14" t="s">
        <v>26</v>
      </c>
      <c r="E32" s="15" t="n">
        <v>42666</v>
      </c>
      <c r="F32" s="16" t="s">
        <v>29</v>
      </c>
    </row>
    <row r="33" customFormat="false" ht="23.25" hidden="true" customHeight="true" outlineLevel="0" collapsed="false">
      <c r="A33" s="11"/>
      <c r="B33" s="60" t="s">
        <v>72</v>
      </c>
      <c r="C33" s="61" t="s">
        <v>73</v>
      </c>
      <c r="D33" s="14" t="s">
        <v>8</v>
      </c>
      <c r="E33" s="59" t="n">
        <v>41940</v>
      </c>
      <c r="F33" s="16" t="s">
        <v>12</v>
      </c>
    </row>
    <row r="34" customFormat="false" ht="23.25" hidden="true" customHeight="true" outlineLevel="0" collapsed="false">
      <c r="A34" s="11"/>
      <c r="B34" s="39" t="s">
        <v>74</v>
      </c>
      <c r="C34" s="34" t="s">
        <v>75</v>
      </c>
      <c r="D34" s="14" t="s">
        <v>8</v>
      </c>
      <c r="E34" s="15" t="n">
        <v>42629</v>
      </c>
      <c r="F34" s="16" t="s">
        <v>29</v>
      </c>
    </row>
    <row r="35" customFormat="false" ht="13.5" hidden="true" customHeight="true" outlineLevel="0" collapsed="false">
      <c r="A35" s="11"/>
      <c r="B35" s="39" t="s">
        <v>74</v>
      </c>
      <c r="C35" s="39" t="s">
        <v>76</v>
      </c>
      <c r="D35" s="14" t="s">
        <v>8</v>
      </c>
      <c r="E35" s="73" t="n">
        <v>41744</v>
      </c>
      <c r="F35" s="16" t="s">
        <v>29</v>
      </c>
    </row>
    <row r="36" customFormat="false" ht="12.75" hidden="true" customHeight="true" outlineLevel="0" collapsed="false">
      <c r="A36" s="1" t="n">
        <v>1073</v>
      </c>
      <c r="B36" s="44" t="s">
        <v>77</v>
      </c>
      <c r="C36" s="44" t="s">
        <v>78</v>
      </c>
      <c r="D36" s="36" t="s">
        <v>8</v>
      </c>
      <c r="E36" s="45" t="n">
        <v>43245</v>
      </c>
      <c r="F36" s="26" t="s">
        <v>34</v>
      </c>
      <c r="G36" s="22" t="n">
        <v>500</v>
      </c>
    </row>
    <row r="37" customFormat="false" ht="12.75" hidden="true" customHeight="true" outlineLevel="0" collapsed="false">
      <c r="A37" s="1" t="n">
        <v>2142</v>
      </c>
      <c r="B37" s="74" t="s">
        <v>77</v>
      </c>
      <c r="C37" s="74" t="s">
        <v>79</v>
      </c>
      <c r="D37" s="49" t="s">
        <v>8</v>
      </c>
      <c r="E37" s="75" t="n">
        <v>42508</v>
      </c>
      <c r="F37" s="76" t="s">
        <v>34</v>
      </c>
      <c r="G37" s="22" t="n">
        <v>500</v>
      </c>
    </row>
    <row r="38" customFormat="false" ht="12.75" hidden="true" customHeight="true" outlineLevel="0" collapsed="false">
      <c r="A38" s="11"/>
      <c r="B38" s="13" t="s">
        <v>80</v>
      </c>
      <c r="C38" s="13" t="s">
        <v>81</v>
      </c>
      <c r="D38" s="14" t="s">
        <v>8</v>
      </c>
      <c r="E38" s="33" t="n">
        <v>41275</v>
      </c>
      <c r="F38" s="16" t="s">
        <v>9</v>
      </c>
    </row>
    <row r="39" customFormat="false" ht="12.75" hidden="true" customHeight="true" outlineLevel="0" collapsed="false">
      <c r="A39" s="11"/>
      <c r="B39" s="77" t="s">
        <v>82</v>
      </c>
      <c r="C39" s="67" t="s">
        <v>83</v>
      </c>
      <c r="D39" s="29" t="s">
        <v>8</v>
      </c>
      <c r="E39" s="78" t="n">
        <v>40989</v>
      </c>
      <c r="F39" s="31" t="s">
        <v>29</v>
      </c>
    </row>
    <row r="40" customFormat="false" ht="12.75" hidden="true" customHeight="true" outlineLevel="0" collapsed="false">
      <c r="A40" s="11"/>
      <c r="B40" s="12" t="s">
        <v>84</v>
      </c>
      <c r="C40" s="13" t="s">
        <v>85</v>
      </c>
      <c r="D40" s="14" t="s">
        <v>8</v>
      </c>
      <c r="E40" s="33" t="n">
        <v>42005</v>
      </c>
      <c r="F40" s="16" t="s">
        <v>9</v>
      </c>
    </row>
    <row r="41" customFormat="false" ht="12.75" hidden="true" customHeight="true" outlineLevel="0" collapsed="false">
      <c r="A41" s="1" t="n">
        <v>3050</v>
      </c>
      <c r="B41" s="79" t="s">
        <v>86</v>
      </c>
      <c r="C41" s="79" t="s">
        <v>87</v>
      </c>
      <c r="D41" s="36" t="s">
        <v>8</v>
      </c>
      <c r="E41" s="37" t="n">
        <v>41607</v>
      </c>
      <c r="F41" s="16" t="s">
        <v>52</v>
      </c>
      <c r="G41" s="80" t="s">
        <v>70</v>
      </c>
    </row>
    <row r="42" customFormat="false" ht="12.75" hidden="true" customHeight="true" outlineLevel="0" collapsed="false">
      <c r="A42" s="1" t="n">
        <v>1028</v>
      </c>
      <c r="B42" s="81" t="s">
        <v>86</v>
      </c>
      <c r="C42" s="81" t="s">
        <v>88</v>
      </c>
      <c r="D42" s="70" t="s">
        <v>8</v>
      </c>
      <c r="E42" s="71" t="n">
        <v>43182</v>
      </c>
      <c r="F42" s="72" t="s">
        <v>52</v>
      </c>
      <c r="G42" s="80" t="s">
        <v>70</v>
      </c>
    </row>
    <row r="43" customFormat="false" ht="12.75" hidden="true" customHeight="true" outlineLevel="0" collapsed="false">
      <c r="A43" s="1" t="n">
        <v>3036</v>
      </c>
      <c r="B43" s="79" t="s">
        <v>89</v>
      </c>
      <c r="C43" s="79" t="s">
        <v>90</v>
      </c>
      <c r="D43" s="36" t="s">
        <v>8</v>
      </c>
      <c r="E43" s="37" t="n">
        <v>41736</v>
      </c>
      <c r="F43" s="16" t="s">
        <v>52</v>
      </c>
      <c r="G43" s="80" t="s">
        <v>70</v>
      </c>
    </row>
    <row r="44" customFormat="false" ht="23.25" hidden="true" customHeight="true" outlineLevel="0" collapsed="false">
      <c r="A44" s="11"/>
      <c r="B44" s="82" t="s">
        <v>91</v>
      </c>
      <c r="C44" s="40" t="s">
        <v>92</v>
      </c>
      <c r="D44" s="14" t="s">
        <v>8</v>
      </c>
      <c r="E44" s="59" t="n">
        <v>41865</v>
      </c>
      <c r="F44" s="16" t="s">
        <v>20</v>
      </c>
    </row>
    <row r="45" customFormat="false" ht="12.75" hidden="true" customHeight="true" outlineLevel="0" collapsed="false">
      <c r="A45" s="1" t="n">
        <v>2043</v>
      </c>
      <c r="B45" s="79" t="s">
        <v>93</v>
      </c>
      <c r="C45" s="79" t="s">
        <v>94</v>
      </c>
      <c r="D45" s="36" t="s">
        <v>8</v>
      </c>
      <c r="E45" s="37" t="n">
        <v>42411</v>
      </c>
      <c r="F45" s="16" t="s">
        <v>52</v>
      </c>
      <c r="G45" s="80" t="s">
        <v>70</v>
      </c>
    </row>
    <row r="46" customFormat="false" ht="12.75" hidden="true" customHeight="true" outlineLevel="0" collapsed="false">
      <c r="A46" s="1" t="n">
        <v>2132</v>
      </c>
      <c r="B46" s="53" t="s">
        <v>95</v>
      </c>
      <c r="C46" s="53" t="s">
        <v>47</v>
      </c>
      <c r="D46" s="24" t="s">
        <v>8</v>
      </c>
      <c r="E46" s="54" t="n">
        <v>42334</v>
      </c>
      <c r="F46" s="55" t="s">
        <v>9</v>
      </c>
      <c r="G46" s="56" t="n">
        <v>500</v>
      </c>
    </row>
    <row r="47" customFormat="false" ht="12.75" hidden="true" customHeight="true" outlineLevel="0" collapsed="false">
      <c r="A47" s="11"/>
      <c r="B47" s="83" t="s">
        <v>96</v>
      </c>
      <c r="C47" s="84" t="s">
        <v>97</v>
      </c>
      <c r="D47" s="85" t="s">
        <v>8</v>
      </c>
      <c r="E47" s="86" t="n">
        <v>41640</v>
      </c>
      <c r="F47" s="72" t="s">
        <v>9</v>
      </c>
    </row>
    <row r="48" customFormat="false" ht="12.75" hidden="true" customHeight="true" outlineLevel="0" collapsed="false">
      <c r="A48" s="42" t="n">
        <v>4024</v>
      </c>
      <c r="B48" s="35" t="s">
        <v>98</v>
      </c>
      <c r="C48" s="34" t="s">
        <v>99</v>
      </c>
      <c r="D48" s="36" t="s">
        <v>8</v>
      </c>
      <c r="E48" s="37" t="n">
        <v>40861</v>
      </c>
      <c r="F48" s="16" t="s">
        <v>12</v>
      </c>
      <c r="G48" s="38" t="n">
        <v>647</v>
      </c>
    </row>
    <row r="49" customFormat="false" ht="23.25" hidden="true" customHeight="true" outlineLevel="0" collapsed="false">
      <c r="A49" s="11"/>
      <c r="B49" s="87" t="s">
        <v>100</v>
      </c>
      <c r="C49" s="87" t="s">
        <v>78</v>
      </c>
      <c r="D49" s="88" t="s">
        <v>8</v>
      </c>
      <c r="E49" s="89" t="n">
        <v>41255</v>
      </c>
      <c r="F49" s="90" t="s">
        <v>34</v>
      </c>
    </row>
    <row r="50" customFormat="false" ht="12.75" hidden="true" customHeight="true" outlineLevel="0" collapsed="false">
      <c r="A50" s="1" t="n">
        <v>2059</v>
      </c>
      <c r="B50" s="81" t="s">
        <v>101</v>
      </c>
      <c r="C50" s="81" t="s">
        <v>37</v>
      </c>
      <c r="D50" s="70" t="s">
        <v>8</v>
      </c>
      <c r="E50" s="71" t="n">
        <v>42335</v>
      </c>
      <c r="F50" s="72" t="s">
        <v>52</v>
      </c>
      <c r="G50" s="80" t="s">
        <v>70</v>
      </c>
    </row>
    <row r="51" customFormat="false" ht="12.75" hidden="true" customHeight="true" outlineLevel="0" collapsed="false">
      <c r="A51" s="1" t="n">
        <v>1035</v>
      </c>
      <c r="B51" s="51" t="s">
        <v>102</v>
      </c>
      <c r="C51" s="51" t="s">
        <v>103</v>
      </c>
      <c r="D51" s="36" t="s">
        <v>8</v>
      </c>
      <c r="E51" s="52" t="n">
        <v>43110</v>
      </c>
      <c r="F51" s="24" t="s">
        <v>20</v>
      </c>
      <c r="G51" s="50" t="n">
        <v>500</v>
      </c>
    </row>
    <row r="52" customFormat="false" ht="12.75" hidden="true" customHeight="true" outlineLevel="0" collapsed="false">
      <c r="A52" s="11"/>
      <c r="B52" s="91" t="s">
        <v>104</v>
      </c>
      <c r="C52" s="92" t="s">
        <v>105</v>
      </c>
      <c r="D52" s="88" t="s">
        <v>8</v>
      </c>
      <c r="E52" s="93" t="n">
        <v>40544</v>
      </c>
      <c r="F52" s="90" t="s">
        <v>9</v>
      </c>
    </row>
    <row r="53" customFormat="false" ht="12.75" hidden="true" customHeight="true" outlineLevel="0" collapsed="false">
      <c r="A53" s="1" t="n">
        <v>1023</v>
      </c>
      <c r="B53" s="79" t="s">
        <v>106</v>
      </c>
      <c r="C53" s="79" t="s">
        <v>107</v>
      </c>
      <c r="D53" s="36" t="s">
        <v>8</v>
      </c>
      <c r="E53" s="37" t="n">
        <v>43232</v>
      </c>
      <c r="F53" s="16" t="s">
        <v>52</v>
      </c>
      <c r="G53" s="80" t="s">
        <v>70</v>
      </c>
    </row>
    <row r="54" customFormat="false" ht="23.25" hidden="true" customHeight="true" outlineLevel="0" collapsed="false">
      <c r="A54" s="11"/>
      <c r="B54" s="40" t="s">
        <v>108</v>
      </c>
      <c r="C54" s="40" t="s">
        <v>109</v>
      </c>
      <c r="D54" s="14" t="s">
        <v>26</v>
      </c>
      <c r="E54" s="59" t="n">
        <v>41484</v>
      </c>
      <c r="F54" s="16" t="s">
        <v>52</v>
      </c>
    </row>
    <row r="55" customFormat="false" ht="12.75" hidden="true" customHeight="true" outlineLevel="0" collapsed="false">
      <c r="A55" s="1" t="n">
        <v>3076</v>
      </c>
      <c r="B55" s="81" t="s">
        <v>110</v>
      </c>
      <c r="C55" s="81" t="s">
        <v>14</v>
      </c>
      <c r="D55" s="70" t="s">
        <v>8</v>
      </c>
      <c r="E55" s="71" t="n">
        <v>41304</v>
      </c>
      <c r="F55" s="72" t="s">
        <v>52</v>
      </c>
      <c r="G55" s="80" t="s">
        <v>70</v>
      </c>
    </row>
    <row r="56" customFormat="false" ht="12.75" hidden="true" customHeight="true" outlineLevel="0" collapsed="false">
      <c r="A56" s="11"/>
      <c r="B56" s="13" t="s">
        <v>111</v>
      </c>
      <c r="C56" s="13" t="s">
        <v>112</v>
      </c>
      <c r="D56" s="14" t="s">
        <v>8</v>
      </c>
      <c r="E56" s="33" t="n">
        <v>40909</v>
      </c>
      <c r="F56" s="16" t="s">
        <v>9</v>
      </c>
    </row>
    <row r="57" customFormat="false" ht="12.75" hidden="true" customHeight="true" outlineLevel="0" collapsed="false">
      <c r="A57" s="1" t="n">
        <v>2036</v>
      </c>
      <c r="B57" s="35" t="s">
        <v>113</v>
      </c>
      <c r="C57" s="34" t="s">
        <v>114</v>
      </c>
      <c r="D57" s="36" t="s">
        <v>8</v>
      </c>
      <c r="E57" s="37" t="n">
        <v>42469</v>
      </c>
      <c r="F57" s="16" t="s">
        <v>12</v>
      </c>
      <c r="G57" s="38" t="n">
        <v>500</v>
      </c>
    </row>
    <row r="58" customFormat="false" ht="12.75" hidden="true" customHeight="true" outlineLevel="0" collapsed="false">
      <c r="A58" s="11"/>
      <c r="B58" s="12" t="s">
        <v>115</v>
      </c>
      <c r="C58" s="13" t="s">
        <v>116</v>
      </c>
      <c r="D58" s="14" t="s">
        <v>8</v>
      </c>
      <c r="E58" s="33" t="n">
        <v>42005</v>
      </c>
      <c r="F58" s="16" t="s">
        <v>9</v>
      </c>
    </row>
    <row r="59" customFormat="false" ht="15" hidden="true" customHeight="true" outlineLevel="0" collapsed="false">
      <c r="A59" s="42" t="n">
        <v>4095</v>
      </c>
      <c r="B59" s="94" t="s">
        <v>117</v>
      </c>
      <c r="C59" s="95" t="s">
        <v>118</v>
      </c>
      <c r="D59" s="96" t="s">
        <v>8</v>
      </c>
      <c r="E59" s="97" t="n">
        <v>40909</v>
      </c>
      <c r="F59" s="96" t="s">
        <v>119</v>
      </c>
      <c r="G59" s="1" t="n">
        <v>500</v>
      </c>
    </row>
    <row r="60" customFormat="false" ht="12.75" hidden="true" customHeight="true" outlineLevel="0" collapsed="false">
      <c r="A60" s="1" t="n">
        <v>2102</v>
      </c>
      <c r="B60" s="79" t="s">
        <v>120</v>
      </c>
      <c r="C60" s="79" t="s">
        <v>121</v>
      </c>
      <c r="D60" s="36" t="s">
        <v>8</v>
      </c>
      <c r="E60" s="37" t="n">
        <v>42066</v>
      </c>
      <c r="F60" s="16" t="s">
        <v>52</v>
      </c>
      <c r="G60" s="80" t="s">
        <v>70</v>
      </c>
    </row>
    <row r="61" customFormat="false" ht="23.25" hidden="true" customHeight="true" outlineLevel="0" collapsed="false">
      <c r="A61" s="11"/>
      <c r="B61" s="98" t="s">
        <v>122</v>
      </c>
      <c r="C61" s="98" t="s">
        <v>123</v>
      </c>
      <c r="D61" s="29" t="s">
        <v>8</v>
      </c>
      <c r="E61" s="30" t="n">
        <v>41045</v>
      </c>
      <c r="F61" s="31" t="s">
        <v>52</v>
      </c>
    </row>
    <row r="62" customFormat="false" ht="12.75" hidden="true" customHeight="true" outlineLevel="0" collapsed="false">
      <c r="A62" s="1" t="n">
        <v>1004</v>
      </c>
      <c r="B62" s="79" t="s">
        <v>124</v>
      </c>
      <c r="C62" s="79" t="s">
        <v>125</v>
      </c>
      <c r="D62" s="36" t="s">
        <v>8</v>
      </c>
      <c r="E62" s="37" t="n">
        <v>43818</v>
      </c>
      <c r="F62" s="16" t="s">
        <v>52</v>
      </c>
      <c r="G62" s="80" t="s">
        <v>70</v>
      </c>
    </row>
    <row r="63" customFormat="false" ht="12.75" hidden="true" customHeight="true" outlineLevel="0" collapsed="false">
      <c r="A63" s="11"/>
      <c r="B63" s="12" t="s">
        <v>126</v>
      </c>
      <c r="C63" s="13" t="s">
        <v>127</v>
      </c>
      <c r="D63" s="14" t="s">
        <v>8</v>
      </c>
      <c r="E63" s="32" t="n">
        <v>43101</v>
      </c>
      <c r="F63" s="16" t="s">
        <v>9</v>
      </c>
    </row>
    <row r="64" customFormat="false" ht="23.25" hidden="true" customHeight="true" outlineLevel="0" collapsed="false">
      <c r="A64" s="11"/>
      <c r="B64" s="99" t="s">
        <v>128</v>
      </c>
      <c r="C64" s="100" t="s">
        <v>31</v>
      </c>
      <c r="D64" s="88" t="s">
        <v>8</v>
      </c>
      <c r="E64" s="89" t="n">
        <v>40026</v>
      </c>
      <c r="F64" s="90" t="s">
        <v>129</v>
      </c>
    </row>
    <row r="65" customFormat="false" ht="23.25" hidden="true" customHeight="true" outlineLevel="0" collapsed="false">
      <c r="A65" s="11"/>
      <c r="B65" s="91" t="s">
        <v>130</v>
      </c>
      <c r="C65" s="92" t="s">
        <v>61</v>
      </c>
      <c r="D65" s="88" t="s">
        <v>8</v>
      </c>
      <c r="E65" s="89" t="n">
        <v>39666</v>
      </c>
      <c r="F65" s="90" t="s">
        <v>129</v>
      </c>
    </row>
    <row r="66" customFormat="false" ht="23.25" hidden="true" customHeight="true" outlineLevel="0" collapsed="false">
      <c r="A66" s="11"/>
      <c r="B66" s="99" t="s">
        <v>131</v>
      </c>
      <c r="C66" s="100" t="s">
        <v>132</v>
      </c>
      <c r="D66" s="88" t="s">
        <v>8</v>
      </c>
      <c r="E66" s="89" t="n">
        <v>39580</v>
      </c>
      <c r="F66" s="90" t="s">
        <v>17</v>
      </c>
    </row>
    <row r="67" customFormat="false" ht="23.25" hidden="true" customHeight="true" outlineLevel="0" collapsed="false">
      <c r="A67" s="11"/>
      <c r="B67" s="101" t="s">
        <v>133</v>
      </c>
      <c r="C67" s="98" t="s">
        <v>134</v>
      </c>
      <c r="D67" s="29" t="s">
        <v>8</v>
      </c>
      <c r="E67" s="30" t="n">
        <v>41684</v>
      </c>
      <c r="F67" s="90" t="s">
        <v>52</v>
      </c>
    </row>
    <row r="68" customFormat="false" ht="13.5" hidden="true" customHeight="true" outlineLevel="0" collapsed="false">
      <c r="A68" s="11"/>
      <c r="B68" s="34" t="s">
        <v>135</v>
      </c>
      <c r="C68" s="34" t="s">
        <v>136</v>
      </c>
      <c r="D68" s="14" t="s">
        <v>8</v>
      </c>
      <c r="E68" s="102" t="n">
        <v>40330</v>
      </c>
      <c r="F68" s="16" t="s">
        <v>29</v>
      </c>
    </row>
    <row r="69" customFormat="false" ht="12.75" hidden="true" customHeight="true" outlineLevel="0" collapsed="false">
      <c r="A69" s="1" t="n">
        <v>2143</v>
      </c>
      <c r="B69" s="65" t="s">
        <v>137</v>
      </c>
      <c r="C69" s="65" t="s">
        <v>138</v>
      </c>
      <c r="D69" s="19" t="s">
        <v>8</v>
      </c>
      <c r="E69" s="66" t="n">
        <v>42407</v>
      </c>
      <c r="F69" s="21" t="s">
        <v>34</v>
      </c>
      <c r="G69" s="22" t="n">
        <v>500</v>
      </c>
    </row>
    <row r="70" customFormat="false" ht="23.25" hidden="true" customHeight="true" outlineLevel="0" collapsed="false">
      <c r="A70" s="11"/>
      <c r="B70" s="12" t="s">
        <v>139</v>
      </c>
      <c r="C70" s="13" t="s">
        <v>140</v>
      </c>
      <c r="D70" s="14" t="s">
        <v>8</v>
      </c>
      <c r="E70" s="15" t="n">
        <v>42580</v>
      </c>
      <c r="F70" s="16" t="s">
        <v>29</v>
      </c>
    </row>
    <row r="71" customFormat="false" ht="23.25" hidden="true" customHeight="true" outlineLevel="0" collapsed="false">
      <c r="A71" s="11"/>
      <c r="B71" s="82" t="s">
        <v>141</v>
      </c>
      <c r="C71" s="40" t="s">
        <v>142</v>
      </c>
      <c r="D71" s="14" t="s">
        <v>26</v>
      </c>
      <c r="E71" s="59" t="n">
        <v>41926</v>
      </c>
      <c r="F71" s="16" t="s">
        <v>143</v>
      </c>
    </row>
    <row r="72" customFormat="false" ht="12.75" hidden="true" customHeight="true" outlineLevel="0" collapsed="false">
      <c r="A72" s="1" t="n">
        <v>2100</v>
      </c>
      <c r="B72" s="103" t="s">
        <v>144</v>
      </c>
      <c r="C72" s="103" t="s">
        <v>132</v>
      </c>
      <c r="D72" s="70" t="s">
        <v>8</v>
      </c>
      <c r="E72" s="71" t="n">
        <v>42072</v>
      </c>
      <c r="F72" s="72" t="s">
        <v>143</v>
      </c>
      <c r="G72" s="50" t="s">
        <v>70</v>
      </c>
    </row>
    <row r="73" customFormat="false" ht="23.25" hidden="true" customHeight="true" outlineLevel="0" collapsed="false">
      <c r="A73" s="11"/>
      <c r="B73" s="82" t="s">
        <v>145</v>
      </c>
      <c r="C73" s="40" t="s">
        <v>43</v>
      </c>
      <c r="D73" s="14" t="s">
        <v>8</v>
      </c>
      <c r="E73" s="15" t="n">
        <v>43073</v>
      </c>
      <c r="F73" s="16" t="s">
        <v>143</v>
      </c>
    </row>
    <row r="74" customFormat="false" ht="23.25" hidden="true" customHeight="true" outlineLevel="0" collapsed="false">
      <c r="A74" s="11"/>
      <c r="B74" s="98" t="s">
        <v>146</v>
      </c>
      <c r="C74" s="98" t="s">
        <v>147</v>
      </c>
      <c r="D74" s="29" t="s">
        <v>26</v>
      </c>
      <c r="E74" s="30" t="n">
        <v>41002</v>
      </c>
      <c r="F74" s="31" t="s">
        <v>34</v>
      </c>
    </row>
    <row r="75" customFormat="false" ht="12.75" hidden="true" customHeight="true" outlineLevel="0" collapsed="false">
      <c r="A75" s="42" t="n">
        <v>4070</v>
      </c>
      <c r="B75" s="65" t="s">
        <v>146</v>
      </c>
      <c r="C75" s="65" t="s">
        <v>147</v>
      </c>
      <c r="D75" s="19" t="s">
        <v>26</v>
      </c>
      <c r="E75" s="66" t="n">
        <v>41002</v>
      </c>
      <c r="F75" s="21" t="s">
        <v>34</v>
      </c>
      <c r="G75" s="22" t="n">
        <v>500</v>
      </c>
    </row>
    <row r="76" customFormat="false" ht="23.25" hidden="true" customHeight="true" outlineLevel="0" collapsed="false">
      <c r="A76" s="11"/>
      <c r="B76" s="39" t="s">
        <v>148</v>
      </c>
      <c r="C76" s="34" t="s">
        <v>149</v>
      </c>
      <c r="D76" s="14"/>
      <c r="E76" s="15" t="n">
        <v>43743</v>
      </c>
      <c r="F76" s="16" t="s">
        <v>29</v>
      </c>
    </row>
    <row r="77" customFormat="false" ht="23.25" hidden="true" customHeight="true" outlineLevel="0" collapsed="false">
      <c r="A77" s="11"/>
      <c r="B77" s="82" t="s">
        <v>150</v>
      </c>
      <c r="C77" s="40" t="s">
        <v>151</v>
      </c>
      <c r="D77" s="14" t="s">
        <v>8</v>
      </c>
      <c r="E77" s="59" t="n">
        <v>41693</v>
      </c>
      <c r="F77" s="16" t="s">
        <v>34</v>
      </c>
    </row>
    <row r="78" customFormat="false" ht="23.25" hidden="true" customHeight="true" outlineLevel="0" collapsed="false">
      <c r="A78" s="11"/>
      <c r="B78" s="40" t="s">
        <v>152</v>
      </c>
      <c r="C78" s="40" t="s">
        <v>153</v>
      </c>
      <c r="D78" s="14" t="s">
        <v>8</v>
      </c>
      <c r="E78" s="59" t="n">
        <v>41607</v>
      </c>
      <c r="F78" s="16" t="s">
        <v>52</v>
      </c>
    </row>
    <row r="79" customFormat="false" ht="12.75" hidden="true" customHeight="true" outlineLevel="0" collapsed="false">
      <c r="A79" s="1" t="n">
        <v>2113</v>
      </c>
      <c r="B79" s="44" t="s">
        <v>154</v>
      </c>
      <c r="C79" s="44" t="s">
        <v>155</v>
      </c>
      <c r="D79" s="24" t="s">
        <v>8</v>
      </c>
      <c r="E79" s="104" t="n">
        <v>42617</v>
      </c>
      <c r="F79" s="105" t="s">
        <v>17</v>
      </c>
      <c r="G79" s="1" t="n">
        <v>500</v>
      </c>
    </row>
    <row r="80" customFormat="false" ht="23.25" hidden="true" customHeight="true" outlineLevel="0" collapsed="false">
      <c r="A80" s="11"/>
      <c r="B80" s="82" t="s">
        <v>156</v>
      </c>
      <c r="C80" s="40" t="s">
        <v>157</v>
      </c>
      <c r="D80" s="14" t="s">
        <v>8</v>
      </c>
      <c r="E80" s="59" t="n">
        <v>41739</v>
      </c>
      <c r="F80" s="16" t="s">
        <v>34</v>
      </c>
    </row>
    <row r="81" customFormat="false" ht="12.75" hidden="true" customHeight="true" outlineLevel="0" collapsed="false">
      <c r="A81" s="1" t="n">
        <v>1050</v>
      </c>
      <c r="B81" s="103" t="s">
        <v>158</v>
      </c>
      <c r="C81" s="103" t="s">
        <v>159</v>
      </c>
      <c r="D81" s="70" t="s">
        <v>8</v>
      </c>
      <c r="E81" s="71" t="n">
        <v>42883</v>
      </c>
      <c r="F81" s="72" t="s">
        <v>143</v>
      </c>
      <c r="G81" s="50" t="s">
        <v>70</v>
      </c>
    </row>
    <row r="82" customFormat="false" ht="12.75" hidden="true" customHeight="true" outlineLevel="0" collapsed="false">
      <c r="A82" s="1" t="n">
        <v>2178</v>
      </c>
      <c r="B82" s="95" t="s">
        <v>160</v>
      </c>
      <c r="C82" s="95" t="s">
        <v>161</v>
      </c>
      <c r="D82" s="19" t="s">
        <v>8</v>
      </c>
      <c r="E82" s="106" t="n">
        <v>42370</v>
      </c>
      <c r="F82" s="96" t="s">
        <v>119</v>
      </c>
      <c r="G82" s="22" t="n">
        <v>500</v>
      </c>
    </row>
    <row r="83" customFormat="false" ht="23.25" hidden="true" customHeight="true" outlineLevel="0" collapsed="false">
      <c r="A83" s="11"/>
      <c r="B83" s="60" t="s">
        <v>162</v>
      </c>
      <c r="C83" s="61" t="s">
        <v>163</v>
      </c>
      <c r="D83" s="14" t="s">
        <v>8</v>
      </c>
      <c r="E83" s="59" t="n">
        <v>41747</v>
      </c>
      <c r="F83" s="16" t="s">
        <v>12</v>
      </c>
    </row>
    <row r="84" customFormat="false" ht="12.75" hidden="true" customHeight="true" outlineLevel="0" collapsed="false">
      <c r="A84" s="1" t="n">
        <v>2144</v>
      </c>
      <c r="B84" s="44" t="s">
        <v>164</v>
      </c>
      <c r="C84" s="44" t="s">
        <v>165</v>
      </c>
      <c r="D84" s="24" t="s">
        <v>8</v>
      </c>
      <c r="E84" s="45" t="n">
        <v>42326</v>
      </c>
      <c r="F84" s="26" t="s">
        <v>34</v>
      </c>
      <c r="G84" s="22" t="n">
        <v>500</v>
      </c>
    </row>
    <row r="85" customFormat="false" ht="12.75" hidden="true" customHeight="true" outlineLevel="0" collapsed="false">
      <c r="A85" s="42" t="n">
        <v>4051</v>
      </c>
      <c r="B85" s="44" t="s">
        <v>166</v>
      </c>
      <c r="C85" s="44" t="s">
        <v>167</v>
      </c>
      <c r="D85" s="24" t="s">
        <v>8</v>
      </c>
      <c r="E85" s="107" t="n">
        <v>41267</v>
      </c>
      <c r="F85" s="105" t="s">
        <v>17</v>
      </c>
      <c r="G85" s="1" t="n">
        <v>500</v>
      </c>
    </row>
    <row r="86" customFormat="false" ht="12.75" hidden="true" customHeight="true" outlineLevel="0" collapsed="false">
      <c r="A86" s="42" t="n">
        <v>4015</v>
      </c>
      <c r="B86" s="108" t="s">
        <v>168</v>
      </c>
      <c r="C86" s="108" t="s">
        <v>169</v>
      </c>
      <c r="D86" s="36" t="s">
        <v>8</v>
      </c>
      <c r="E86" s="37" t="n">
        <v>41009</v>
      </c>
      <c r="F86" s="109" t="s">
        <v>129</v>
      </c>
      <c r="G86" s="110" t="n">
        <v>517</v>
      </c>
    </row>
    <row r="87" customFormat="false" ht="12.75" hidden="true" customHeight="true" outlineLevel="0" collapsed="false">
      <c r="A87" s="1" t="n">
        <v>2047</v>
      </c>
      <c r="B87" s="79" t="s">
        <v>170</v>
      </c>
      <c r="C87" s="79" t="s">
        <v>171</v>
      </c>
      <c r="D87" s="36" t="s">
        <v>8</v>
      </c>
      <c r="E87" s="37" t="n">
        <v>42393</v>
      </c>
      <c r="F87" s="16" t="s">
        <v>52</v>
      </c>
      <c r="G87" s="80" t="s">
        <v>70</v>
      </c>
    </row>
    <row r="88" customFormat="false" ht="23.25" hidden="true" customHeight="true" outlineLevel="0" collapsed="false">
      <c r="A88" s="11"/>
      <c r="B88" s="40" t="s">
        <v>172</v>
      </c>
      <c r="C88" s="40" t="s">
        <v>132</v>
      </c>
      <c r="D88" s="14" t="s">
        <v>8</v>
      </c>
      <c r="E88" s="59" t="n">
        <v>41562</v>
      </c>
      <c r="F88" s="16" t="s">
        <v>119</v>
      </c>
    </row>
    <row r="89" customFormat="false" ht="23.25" hidden="true" customHeight="true" outlineLevel="0" collapsed="false">
      <c r="A89" s="11"/>
      <c r="B89" s="82" t="s">
        <v>173</v>
      </c>
      <c r="C89" s="40" t="s">
        <v>123</v>
      </c>
      <c r="D89" s="14" t="s">
        <v>8</v>
      </c>
      <c r="E89" s="59" t="n">
        <v>41863</v>
      </c>
      <c r="F89" s="16" t="s">
        <v>20</v>
      </c>
    </row>
    <row r="90" customFormat="false" ht="12.75" hidden="true" customHeight="true" outlineLevel="0" collapsed="false">
      <c r="A90" s="1" t="n">
        <v>3019</v>
      </c>
      <c r="B90" s="51" t="s">
        <v>173</v>
      </c>
      <c r="C90" s="51" t="s">
        <v>123</v>
      </c>
      <c r="D90" s="36" t="s">
        <v>8</v>
      </c>
      <c r="E90" s="52" t="n">
        <v>41863</v>
      </c>
      <c r="F90" s="24" t="s">
        <v>20</v>
      </c>
      <c r="G90" s="50" t="n">
        <v>500</v>
      </c>
    </row>
    <row r="91" customFormat="false" ht="23.25" hidden="true" customHeight="true" outlineLevel="0" collapsed="false">
      <c r="A91" s="11"/>
      <c r="B91" s="82" t="s">
        <v>174</v>
      </c>
      <c r="C91" s="40" t="s">
        <v>14</v>
      </c>
      <c r="D91" s="14" t="s">
        <v>8</v>
      </c>
      <c r="E91" s="15" t="n">
        <v>42653</v>
      </c>
      <c r="F91" s="16" t="s">
        <v>143</v>
      </c>
    </row>
    <row r="92" customFormat="false" ht="12.75" hidden="true" customHeight="true" outlineLevel="0" collapsed="false">
      <c r="A92" s="1" t="n">
        <v>1009</v>
      </c>
      <c r="B92" s="79" t="s">
        <v>175</v>
      </c>
      <c r="C92" s="79" t="s">
        <v>176</v>
      </c>
      <c r="D92" s="36" t="s">
        <v>8</v>
      </c>
      <c r="E92" s="37" t="n">
        <v>43527</v>
      </c>
      <c r="F92" s="16" t="s">
        <v>52</v>
      </c>
      <c r="G92" s="80" t="s">
        <v>70</v>
      </c>
    </row>
    <row r="93" customFormat="false" ht="12.75" hidden="true" customHeight="true" outlineLevel="0" collapsed="false">
      <c r="A93" s="1" t="n">
        <v>1000</v>
      </c>
      <c r="B93" s="79" t="s">
        <v>175</v>
      </c>
      <c r="C93" s="79" t="s">
        <v>177</v>
      </c>
      <c r="D93" s="36" t="s">
        <v>26</v>
      </c>
      <c r="E93" s="37" t="n">
        <v>44506</v>
      </c>
      <c r="F93" s="16" t="s">
        <v>52</v>
      </c>
      <c r="G93" s="80" t="s">
        <v>70</v>
      </c>
    </row>
    <row r="94" customFormat="false" ht="23.25" hidden="true" customHeight="true" outlineLevel="0" collapsed="false">
      <c r="A94" s="11"/>
      <c r="B94" s="40" t="s">
        <v>178</v>
      </c>
      <c r="C94" s="40" t="s">
        <v>179</v>
      </c>
      <c r="D94" s="14" t="s">
        <v>8</v>
      </c>
      <c r="E94" s="59" t="n">
        <v>41547</v>
      </c>
      <c r="F94" s="16" t="s">
        <v>143</v>
      </c>
    </row>
    <row r="95" customFormat="false" ht="12.75" hidden="true" customHeight="true" outlineLevel="0" collapsed="false">
      <c r="A95" s="1" t="n">
        <v>1013</v>
      </c>
      <c r="B95" s="111" t="s">
        <v>180</v>
      </c>
      <c r="C95" s="67" t="s">
        <v>181</v>
      </c>
      <c r="D95" s="47" t="s">
        <v>8</v>
      </c>
      <c r="E95" s="112" t="n">
        <v>43410</v>
      </c>
      <c r="F95" s="31" t="s">
        <v>12</v>
      </c>
      <c r="G95" s="38" t="n">
        <v>500</v>
      </c>
    </row>
    <row r="96" customFormat="false" ht="23.25" hidden="true" customHeight="true" outlineLevel="0" collapsed="false">
      <c r="A96" s="11"/>
      <c r="B96" s="82" t="s">
        <v>182</v>
      </c>
      <c r="C96" s="40" t="s">
        <v>183</v>
      </c>
      <c r="D96" s="14" t="s">
        <v>26</v>
      </c>
      <c r="E96" s="59" t="n">
        <v>42119</v>
      </c>
      <c r="F96" s="16" t="s">
        <v>52</v>
      </c>
    </row>
    <row r="97" customFormat="false" ht="12.75" hidden="true" customHeight="true" outlineLevel="0" collapsed="false">
      <c r="A97" s="11"/>
      <c r="B97" s="12" t="s">
        <v>184</v>
      </c>
      <c r="C97" s="13" t="s">
        <v>185</v>
      </c>
      <c r="D97" s="14" t="s">
        <v>8</v>
      </c>
      <c r="E97" s="52" t="n">
        <v>41783</v>
      </c>
      <c r="F97" s="16" t="s">
        <v>9</v>
      </c>
    </row>
    <row r="98" customFormat="false" ht="12.75" hidden="true" customHeight="true" outlineLevel="0" collapsed="false">
      <c r="A98" s="17" t="n">
        <v>3090</v>
      </c>
      <c r="B98" s="113" t="s">
        <v>186</v>
      </c>
      <c r="C98" s="113" t="s">
        <v>185</v>
      </c>
      <c r="D98" s="49" t="s">
        <v>8</v>
      </c>
      <c r="E98" s="114" t="n">
        <v>41783</v>
      </c>
      <c r="F98" s="76" t="s">
        <v>9</v>
      </c>
      <c r="G98" s="22" t="n">
        <v>500</v>
      </c>
    </row>
    <row r="99" customFormat="false" ht="12.75" hidden="true" customHeight="true" outlineLevel="0" collapsed="false">
      <c r="A99" s="11"/>
      <c r="B99" s="13" t="s">
        <v>184</v>
      </c>
      <c r="C99" s="13" t="s">
        <v>187</v>
      </c>
      <c r="D99" s="14" t="s">
        <v>8</v>
      </c>
      <c r="E99" s="52" t="n">
        <v>41118</v>
      </c>
      <c r="F99" s="16" t="s">
        <v>9</v>
      </c>
    </row>
    <row r="100" customFormat="false" ht="12.75" hidden="true" customHeight="true" outlineLevel="0" collapsed="false">
      <c r="A100" s="42" t="n">
        <v>4066</v>
      </c>
      <c r="B100" s="23" t="s">
        <v>186</v>
      </c>
      <c r="C100" s="23" t="s">
        <v>187</v>
      </c>
      <c r="D100" s="24" t="s">
        <v>8</v>
      </c>
      <c r="E100" s="43" t="n">
        <v>41118</v>
      </c>
      <c r="F100" s="26" t="s">
        <v>9</v>
      </c>
      <c r="G100" s="22" t="n">
        <v>500</v>
      </c>
    </row>
    <row r="101" customFormat="false" ht="12.75" hidden="true" customHeight="true" outlineLevel="0" collapsed="false">
      <c r="A101" s="1" t="n">
        <v>2052</v>
      </c>
      <c r="B101" s="108" t="s">
        <v>188</v>
      </c>
      <c r="C101" s="115" t="s">
        <v>189</v>
      </c>
      <c r="D101" s="36" t="s">
        <v>8</v>
      </c>
      <c r="E101" s="37" t="n">
        <v>42377</v>
      </c>
      <c r="F101" s="16" t="s">
        <v>29</v>
      </c>
      <c r="G101" s="50" t="s">
        <v>70</v>
      </c>
    </row>
    <row r="102" customFormat="false" ht="12.75" hidden="true" customHeight="true" outlineLevel="0" collapsed="false">
      <c r="A102" s="42" t="n">
        <v>4001</v>
      </c>
      <c r="B102" s="81" t="s">
        <v>190</v>
      </c>
      <c r="C102" s="81" t="s">
        <v>191</v>
      </c>
      <c r="D102" s="70" t="s">
        <v>26</v>
      </c>
      <c r="E102" s="71" t="n">
        <v>41272</v>
      </c>
      <c r="F102" s="72" t="s">
        <v>52</v>
      </c>
      <c r="G102" s="80" t="s">
        <v>70</v>
      </c>
    </row>
    <row r="103" customFormat="false" ht="12.75" hidden="true" customHeight="true" outlineLevel="0" collapsed="false">
      <c r="A103" s="11"/>
      <c r="B103" s="60" t="s">
        <v>192</v>
      </c>
      <c r="C103" s="61" t="s">
        <v>193</v>
      </c>
      <c r="D103" s="14" t="s">
        <v>8</v>
      </c>
      <c r="E103" s="33" t="n">
        <v>39814</v>
      </c>
      <c r="F103" s="16" t="s">
        <v>9</v>
      </c>
    </row>
    <row r="104" customFormat="false" ht="12.75" hidden="true" customHeight="true" outlineLevel="0" collapsed="false">
      <c r="A104" s="1" t="n">
        <v>3055</v>
      </c>
      <c r="B104" s="79" t="s">
        <v>194</v>
      </c>
      <c r="C104" s="79" t="s">
        <v>195</v>
      </c>
      <c r="D104" s="36" t="s">
        <v>8</v>
      </c>
      <c r="E104" s="37" t="n">
        <v>41482</v>
      </c>
      <c r="F104" s="16" t="s">
        <v>52</v>
      </c>
      <c r="G104" s="80" t="s">
        <v>70</v>
      </c>
    </row>
    <row r="105" customFormat="false" ht="23.25" hidden="true" customHeight="true" outlineLevel="0" collapsed="false">
      <c r="A105" s="11"/>
      <c r="B105" s="116" t="s">
        <v>196</v>
      </c>
      <c r="C105" s="117" t="s">
        <v>51</v>
      </c>
      <c r="D105" s="85" t="s">
        <v>26</v>
      </c>
      <c r="E105" s="118" t="n">
        <v>40602</v>
      </c>
      <c r="F105" s="72" t="s">
        <v>34</v>
      </c>
    </row>
    <row r="106" customFormat="false" ht="12.75" hidden="true" customHeight="true" outlineLevel="0" collapsed="false">
      <c r="A106" s="42" t="n">
        <v>4038</v>
      </c>
      <c r="B106" s="51" t="s">
        <v>196</v>
      </c>
      <c r="C106" s="51" t="s">
        <v>51</v>
      </c>
      <c r="D106" s="36" t="s">
        <v>26</v>
      </c>
      <c r="E106" s="71" t="n">
        <v>40602</v>
      </c>
      <c r="F106" s="16" t="s">
        <v>197</v>
      </c>
      <c r="G106" s="50" t="n">
        <v>500</v>
      </c>
    </row>
    <row r="107" customFormat="false" ht="12.75" hidden="true" customHeight="true" outlineLevel="0" collapsed="false">
      <c r="A107" s="11"/>
      <c r="B107" s="12" t="s">
        <v>198</v>
      </c>
      <c r="C107" s="13" t="s">
        <v>199</v>
      </c>
      <c r="D107" s="14" t="s">
        <v>8</v>
      </c>
      <c r="E107" s="106" t="n">
        <v>43101</v>
      </c>
      <c r="F107" s="16" t="s">
        <v>9</v>
      </c>
    </row>
    <row r="108" customFormat="false" ht="12.75" hidden="true" customHeight="true" outlineLevel="0" collapsed="false">
      <c r="A108" s="1" t="n">
        <v>2086</v>
      </c>
      <c r="B108" s="108" t="s">
        <v>200</v>
      </c>
      <c r="C108" s="115" t="s">
        <v>201</v>
      </c>
      <c r="D108" s="36" t="s">
        <v>8</v>
      </c>
      <c r="E108" s="71" t="n">
        <v>42185</v>
      </c>
      <c r="F108" s="16" t="s">
        <v>29</v>
      </c>
      <c r="G108" s="50" t="s">
        <v>70</v>
      </c>
    </row>
    <row r="109" customFormat="false" ht="23.25" hidden="true" customHeight="true" outlineLevel="0" collapsed="false">
      <c r="A109" s="11"/>
      <c r="B109" s="119" t="s">
        <v>202</v>
      </c>
      <c r="C109" s="119" t="s">
        <v>203</v>
      </c>
      <c r="D109" s="85" t="s">
        <v>26</v>
      </c>
      <c r="E109" s="118" t="n">
        <v>41283</v>
      </c>
      <c r="F109" s="72" t="s">
        <v>52</v>
      </c>
    </row>
    <row r="110" customFormat="false" ht="12.75" hidden="true" customHeight="true" outlineLevel="0" collapsed="false">
      <c r="A110" s="1" t="n">
        <v>2009</v>
      </c>
      <c r="B110" s="108" t="s">
        <v>204</v>
      </c>
      <c r="C110" s="115" t="s">
        <v>205</v>
      </c>
      <c r="D110" s="36" t="s">
        <v>8</v>
      </c>
      <c r="E110" s="71" t="n">
        <v>42674</v>
      </c>
      <c r="F110" s="16" t="s">
        <v>29</v>
      </c>
      <c r="G110" s="50" t="s">
        <v>70</v>
      </c>
    </row>
    <row r="111" customFormat="false" ht="12.75" hidden="true" customHeight="true" outlineLevel="0" collapsed="false">
      <c r="A111" s="1" t="n">
        <v>3022</v>
      </c>
      <c r="B111" s="35" t="s">
        <v>206</v>
      </c>
      <c r="C111" s="34" t="s">
        <v>207</v>
      </c>
      <c r="D111" s="36" t="s">
        <v>8</v>
      </c>
      <c r="E111" s="37" t="n">
        <v>41834</v>
      </c>
      <c r="F111" s="16" t="s">
        <v>12</v>
      </c>
      <c r="G111" s="38" t="n">
        <v>500</v>
      </c>
    </row>
    <row r="112" customFormat="false" ht="12.75" hidden="true" customHeight="true" outlineLevel="0" collapsed="false">
      <c r="A112" s="11"/>
      <c r="B112" s="91" t="s">
        <v>208</v>
      </c>
      <c r="C112" s="92" t="s">
        <v>79</v>
      </c>
      <c r="D112" s="88"/>
      <c r="E112" s="120" t="n">
        <v>41834</v>
      </c>
      <c r="F112" s="121" t="s">
        <v>12</v>
      </c>
    </row>
    <row r="113" customFormat="false" ht="12.75" hidden="true" customHeight="true" outlineLevel="0" collapsed="false">
      <c r="A113" s="11"/>
      <c r="B113" s="12" t="s">
        <v>209</v>
      </c>
      <c r="C113" s="13" t="s">
        <v>210</v>
      </c>
      <c r="D113" s="14" t="s">
        <v>8</v>
      </c>
      <c r="E113" s="52" t="n">
        <v>42048</v>
      </c>
      <c r="F113" s="16" t="s">
        <v>9</v>
      </c>
    </row>
    <row r="114" customFormat="false" ht="23.25" hidden="true" customHeight="true" outlineLevel="0" collapsed="false">
      <c r="A114" s="11"/>
      <c r="B114" s="13" t="s">
        <v>211</v>
      </c>
      <c r="C114" s="13" t="s">
        <v>94</v>
      </c>
      <c r="D114" s="14" t="s">
        <v>8</v>
      </c>
      <c r="E114" s="59" t="n">
        <v>41351</v>
      </c>
      <c r="F114" s="16" t="s">
        <v>29</v>
      </c>
    </row>
    <row r="115" customFormat="false" ht="13.5" hidden="true" customHeight="true" outlineLevel="0" collapsed="false">
      <c r="A115" s="11"/>
      <c r="B115" s="39" t="s">
        <v>212</v>
      </c>
      <c r="C115" s="39" t="s">
        <v>112</v>
      </c>
      <c r="D115" s="14" t="s">
        <v>8</v>
      </c>
      <c r="E115" s="73" t="n">
        <v>39085</v>
      </c>
      <c r="F115" s="16" t="s">
        <v>29</v>
      </c>
    </row>
    <row r="116" customFormat="false" ht="12.75" hidden="true" customHeight="true" outlineLevel="0" collapsed="false">
      <c r="A116" s="42" t="n">
        <v>4004</v>
      </c>
      <c r="B116" s="51" t="s">
        <v>213</v>
      </c>
      <c r="C116" s="51" t="s">
        <v>214</v>
      </c>
      <c r="D116" s="36" t="s">
        <v>8</v>
      </c>
      <c r="E116" s="37" t="n">
        <v>41205</v>
      </c>
      <c r="F116" s="24" t="s">
        <v>20</v>
      </c>
      <c r="G116" s="50" t="n">
        <v>500</v>
      </c>
    </row>
    <row r="117" customFormat="false" ht="12.75" hidden="true" customHeight="true" outlineLevel="0" collapsed="false">
      <c r="A117" s="1" t="n">
        <v>2053</v>
      </c>
      <c r="B117" s="51" t="s">
        <v>213</v>
      </c>
      <c r="C117" s="51" t="s">
        <v>215</v>
      </c>
      <c r="D117" s="36" t="s">
        <v>8</v>
      </c>
      <c r="E117" s="52" t="n">
        <v>42376</v>
      </c>
      <c r="F117" s="24" t="s">
        <v>20</v>
      </c>
      <c r="G117" s="50" t="n">
        <v>500</v>
      </c>
    </row>
    <row r="118" customFormat="false" ht="12.75" hidden="true" customHeight="true" outlineLevel="0" collapsed="false">
      <c r="A118" s="1" t="n">
        <v>3074</v>
      </c>
      <c r="B118" s="51" t="s">
        <v>216</v>
      </c>
      <c r="C118" s="51" t="s">
        <v>217</v>
      </c>
      <c r="D118" s="36" t="s">
        <v>8</v>
      </c>
      <c r="E118" s="37" t="n">
        <v>41316</v>
      </c>
      <c r="F118" s="16" t="s">
        <v>197</v>
      </c>
      <c r="G118" s="50" t="n">
        <v>500</v>
      </c>
    </row>
    <row r="119" customFormat="false" ht="12.75" hidden="true" customHeight="true" outlineLevel="0" collapsed="false">
      <c r="A119" s="42" t="n">
        <v>4042</v>
      </c>
      <c r="B119" s="108" t="s">
        <v>218</v>
      </c>
      <c r="C119" s="115" t="s">
        <v>219</v>
      </c>
      <c r="D119" s="36" t="s">
        <v>8</v>
      </c>
      <c r="E119" s="37" t="n">
        <v>40495</v>
      </c>
      <c r="F119" s="16" t="s">
        <v>29</v>
      </c>
      <c r="G119" s="50" t="s">
        <v>70</v>
      </c>
    </row>
    <row r="120" customFormat="false" ht="12.75" hidden="true" customHeight="true" outlineLevel="0" collapsed="false">
      <c r="A120" s="11"/>
      <c r="B120" s="12" t="s">
        <v>220</v>
      </c>
      <c r="C120" s="122" t="s">
        <v>221</v>
      </c>
      <c r="D120" s="14" t="s">
        <v>8</v>
      </c>
      <c r="E120" s="32" t="n">
        <v>43101</v>
      </c>
      <c r="F120" s="16" t="s">
        <v>9</v>
      </c>
    </row>
    <row r="121" customFormat="false" ht="12.75" hidden="true" customHeight="true" outlineLevel="0" collapsed="false">
      <c r="A121" s="11"/>
      <c r="B121" s="12" t="s">
        <v>220</v>
      </c>
      <c r="C121" s="13" t="s">
        <v>222</v>
      </c>
      <c r="D121" s="14" t="s">
        <v>8</v>
      </c>
      <c r="E121" s="32" t="n">
        <v>43101</v>
      </c>
      <c r="F121" s="16" t="s">
        <v>9</v>
      </c>
    </row>
    <row r="122" customFormat="false" ht="23.25" hidden="true" customHeight="true" outlineLevel="0" collapsed="false">
      <c r="A122" s="11"/>
      <c r="B122" s="12" t="s">
        <v>223</v>
      </c>
      <c r="C122" s="13" t="s">
        <v>224</v>
      </c>
      <c r="D122" s="14" t="s">
        <v>26</v>
      </c>
      <c r="E122" s="15" t="n">
        <v>42620</v>
      </c>
      <c r="F122" s="16" t="s">
        <v>29</v>
      </c>
    </row>
    <row r="123" customFormat="false" ht="12.75" hidden="true" customHeight="true" outlineLevel="0" collapsed="false">
      <c r="A123" s="1" t="n">
        <v>2114</v>
      </c>
      <c r="B123" s="44" t="s">
        <v>225</v>
      </c>
      <c r="C123" s="44" t="s">
        <v>226</v>
      </c>
      <c r="D123" s="24" t="s">
        <v>8</v>
      </c>
      <c r="E123" s="107" t="n">
        <v>42157</v>
      </c>
      <c r="F123" s="105" t="s">
        <v>17</v>
      </c>
      <c r="G123" s="1" t="n">
        <v>500</v>
      </c>
    </row>
    <row r="124" customFormat="false" ht="13.5" hidden="true" customHeight="true" outlineLevel="0" collapsed="false">
      <c r="A124" s="11"/>
      <c r="B124" s="39" t="s">
        <v>227</v>
      </c>
      <c r="C124" s="39" t="s">
        <v>228</v>
      </c>
      <c r="D124" s="14" t="s">
        <v>8</v>
      </c>
      <c r="E124" s="73" t="n">
        <v>40560</v>
      </c>
      <c r="F124" s="16" t="s">
        <v>29</v>
      </c>
    </row>
    <row r="125" customFormat="false" ht="12.75" hidden="true" customHeight="true" outlineLevel="0" collapsed="false">
      <c r="A125" s="1" t="n">
        <v>2115</v>
      </c>
      <c r="B125" s="44" t="s">
        <v>229</v>
      </c>
      <c r="C125" s="2" t="s">
        <v>127</v>
      </c>
      <c r="D125" s="24" t="s">
        <v>8</v>
      </c>
      <c r="E125" s="107" t="n">
        <v>42056</v>
      </c>
      <c r="F125" s="105" t="s">
        <v>17</v>
      </c>
      <c r="G125" s="1" t="n">
        <v>500</v>
      </c>
    </row>
    <row r="126" customFormat="false" ht="12.75" hidden="true" customHeight="true" outlineLevel="0" collapsed="false">
      <c r="A126" s="42" t="n">
        <v>4052</v>
      </c>
      <c r="B126" s="44" t="s">
        <v>229</v>
      </c>
      <c r="C126" s="44" t="s">
        <v>35</v>
      </c>
      <c r="D126" s="24" t="s">
        <v>8</v>
      </c>
      <c r="E126" s="107" t="n">
        <v>41088</v>
      </c>
      <c r="F126" s="105" t="s">
        <v>17</v>
      </c>
      <c r="G126" s="1" t="n">
        <v>500</v>
      </c>
    </row>
    <row r="127" customFormat="false" ht="23.25" hidden="true" customHeight="true" outlineLevel="0" collapsed="false">
      <c r="A127" s="11"/>
      <c r="B127" s="40" t="s">
        <v>230</v>
      </c>
      <c r="C127" s="40" t="s">
        <v>75</v>
      </c>
      <c r="D127" s="14" t="s">
        <v>8</v>
      </c>
      <c r="E127" s="59" t="n">
        <v>41424</v>
      </c>
      <c r="F127" s="16" t="s">
        <v>52</v>
      </c>
    </row>
    <row r="128" customFormat="false" ht="12.75" hidden="true" customHeight="true" outlineLevel="0" collapsed="false">
      <c r="A128" s="1" t="n">
        <v>3061</v>
      </c>
      <c r="B128" s="79" t="s">
        <v>230</v>
      </c>
      <c r="C128" s="79" t="s">
        <v>75</v>
      </c>
      <c r="D128" s="36" t="s">
        <v>8</v>
      </c>
      <c r="E128" s="37" t="n">
        <v>41424</v>
      </c>
      <c r="F128" s="16" t="s">
        <v>52</v>
      </c>
      <c r="G128" s="80" t="s">
        <v>70</v>
      </c>
    </row>
    <row r="129" customFormat="false" ht="12.75" hidden="true" customHeight="true" outlineLevel="0" collapsed="false">
      <c r="A129" s="11"/>
      <c r="B129" s="60" t="s">
        <v>231</v>
      </c>
      <c r="C129" s="61" t="s">
        <v>222</v>
      </c>
      <c r="D129" s="14" t="s">
        <v>8</v>
      </c>
      <c r="E129" s="33" t="n">
        <v>39448</v>
      </c>
      <c r="F129" s="16" t="s">
        <v>9</v>
      </c>
    </row>
    <row r="130" customFormat="false" ht="12.75" hidden="true" customHeight="true" outlineLevel="0" collapsed="false">
      <c r="A130" s="11"/>
      <c r="B130" s="60" t="s">
        <v>232</v>
      </c>
      <c r="C130" s="61" t="s">
        <v>233</v>
      </c>
      <c r="D130" s="14" t="s">
        <v>8</v>
      </c>
      <c r="E130" s="33" t="n">
        <v>40544</v>
      </c>
      <c r="F130" s="16" t="s">
        <v>9</v>
      </c>
    </row>
    <row r="131" customFormat="false" ht="12.75" hidden="true" customHeight="true" outlineLevel="0" collapsed="false">
      <c r="A131" s="1" t="n">
        <v>2006</v>
      </c>
      <c r="B131" s="79" t="s">
        <v>234</v>
      </c>
      <c r="C131" s="79" t="s">
        <v>235</v>
      </c>
      <c r="D131" s="36" t="s">
        <v>8</v>
      </c>
      <c r="E131" s="37" t="n">
        <v>42692</v>
      </c>
      <c r="F131" s="16" t="s">
        <v>52</v>
      </c>
      <c r="G131" s="80" t="s">
        <v>70</v>
      </c>
    </row>
    <row r="132" customFormat="false" ht="23.25" hidden="true" customHeight="true" outlineLevel="0" collapsed="false">
      <c r="A132" s="11"/>
      <c r="B132" s="40" t="s">
        <v>236</v>
      </c>
      <c r="C132" s="40" t="s">
        <v>237</v>
      </c>
      <c r="D132" s="14" t="s">
        <v>8</v>
      </c>
      <c r="E132" s="59" t="n">
        <v>41103</v>
      </c>
      <c r="F132" s="16" t="s">
        <v>34</v>
      </c>
    </row>
    <row r="133" customFormat="false" ht="12.75" hidden="true" customHeight="true" outlineLevel="0" collapsed="false">
      <c r="A133" s="1" t="n">
        <v>2038</v>
      </c>
      <c r="B133" s="35" t="s">
        <v>238</v>
      </c>
      <c r="C133" s="34" t="s">
        <v>239</v>
      </c>
      <c r="D133" s="36" t="s">
        <v>8</v>
      </c>
      <c r="E133" s="37" t="n">
        <v>42457</v>
      </c>
      <c r="F133" s="16" t="s">
        <v>12</v>
      </c>
      <c r="G133" s="38" t="n">
        <v>500</v>
      </c>
    </row>
    <row r="134" customFormat="false" ht="12.75" hidden="true" customHeight="true" outlineLevel="0" collapsed="false">
      <c r="A134" s="1" t="n">
        <v>3013</v>
      </c>
      <c r="B134" s="35" t="s">
        <v>240</v>
      </c>
      <c r="C134" s="34" t="s">
        <v>239</v>
      </c>
      <c r="D134" s="36" t="s">
        <v>8</v>
      </c>
      <c r="E134" s="37" t="n">
        <v>41910</v>
      </c>
      <c r="F134" s="16" t="s">
        <v>12</v>
      </c>
      <c r="G134" s="38" t="n">
        <v>500</v>
      </c>
    </row>
    <row r="135" customFormat="false" ht="12.75" hidden="true" customHeight="true" outlineLevel="0" collapsed="false">
      <c r="A135" s="17" t="n">
        <v>3129</v>
      </c>
      <c r="B135" s="39" t="s">
        <v>240</v>
      </c>
      <c r="C135" s="39" t="s">
        <v>241</v>
      </c>
      <c r="D135" s="24" t="s">
        <v>8</v>
      </c>
      <c r="E135" s="32" t="n">
        <v>41910</v>
      </c>
      <c r="F135" s="105" t="s">
        <v>12</v>
      </c>
      <c r="G135" s="1" t="n">
        <v>532</v>
      </c>
    </row>
    <row r="136" customFormat="false" ht="23.25" hidden="true" customHeight="true" outlineLevel="0" collapsed="false">
      <c r="A136" s="11"/>
      <c r="B136" s="12" t="s">
        <v>240</v>
      </c>
      <c r="C136" s="13" t="s">
        <v>242</v>
      </c>
      <c r="D136" s="14" t="s">
        <v>8</v>
      </c>
      <c r="E136" s="59" t="n">
        <v>41910</v>
      </c>
      <c r="F136" s="16" t="s">
        <v>12</v>
      </c>
    </row>
    <row r="137" customFormat="false" ht="12.75" hidden="true" customHeight="true" outlineLevel="0" collapsed="false">
      <c r="A137" s="11"/>
      <c r="B137" s="13" t="s">
        <v>243</v>
      </c>
      <c r="C137" s="13" t="s">
        <v>244</v>
      </c>
      <c r="D137" s="14" t="s">
        <v>8</v>
      </c>
      <c r="E137" s="33" t="n">
        <v>40909</v>
      </c>
      <c r="F137" s="16" t="s">
        <v>9</v>
      </c>
    </row>
    <row r="138" customFormat="false" ht="23.25" hidden="true" customHeight="true" outlineLevel="0" collapsed="false">
      <c r="A138" s="11"/>
      <c r="B138" s="60" t="s">
        <v>245</v>
      </c>
      <c r="C138" s="61" t="s">
        <v>246</v>
      </c>
      <c r="D138" s="14" t="s">
        <v>8</v>
      </c>
      <c r="E138" s="59" t="n">
        <v>40525</v>
      </c>
      <c r="F138" s="16" t="s">
        <v>29</v>
      </c>
    </row>
    <row r="139" customFormat="false" ht="13.5" hidden="true" customHeight="true" outlineLevel="0" collapsed="false">
      <c r="A139" s="11"/>
      <c r="B139" s="82" t="s">
        <v>247</v>
      </c>
      <c r="C139" s="40" t="s">
        <v>215</v>
      </c>
      <c r="D139" s="14" t="s">
        <v>8</v>
      </c>
      <c r="E139" s="59" t="n">
        <v>41985</v>
      </c>
      <c r="F139" s="16" t="s">
        <v>52</v>
      </c>
    </row>
    <row r="140" customFormat="false" ht="23.25" hidden="true" customHeight="true" outlineLevel="0" collapsed="false">
      <c r="A140" s="11"/>
      <c r="B140" s="57" t="s">
        <v>248</v>
      </c>
      <c r="C140" s="58" t="s">
        <v>14</v>
      </c>
      <c r="D140" s="14" t="s">
        <v>8</v>
      </c>
      <c r="E140" s="59" t="n">
        <v>40626</v>
      </c>
      <c r="F140" s="16" t="s">
        <v>52</v>
      </c>
    </row>
    <row r="141" customFormat="false" ht="23.25" hidden="true" customHeight="true" outlineLevel="0" collapsed="false">
      <c r="A141" s="11"/>
      <c r="B141" s="82" t="s">
        <v>249</v>
      </c>
      <c r="C141" s="40" t="s">
        <v>250</v>
      </c>
      <c r="D141" s="14" t="s">
        <v>8</v>
      </c>
      <c r="E141" s="15" t="n">
        <v>43886</v>
      </c>
      <c r="F141" s="16" t="s">
        <v>52</v>
      </c>
    </row>
    <row r="142" customFormat="false" ht="23.25" hidden="true" customHeight="true" outlineLevel="0" collapsed="false">
      <c r="A142" s="11"/>
      <c r="B142" s="12" t="s">
        <v>251</v>
      </c>
      <c r="C142" s="13" t="s">
        <v>252</v>
      </c>
      <c r="D142" s="14"/>
      <c r="E142" s="120" t="n">
        <v>41992</v>
      </c>
      <c r="F142" s="24" t="s">
        <v>143</v>
      </c>
    </row>
    <row r="143" customFormat="false" ht="12.75" hidden="true" customHeight="true" outlineLevel="0" collapsed="false">
      <c r="A143" s="1" t="n">
        <v>1046</v>
      </c>
      <c r="B143" s="79" t="s">
        <v>253</v>
      </c>
      <c r="C143" s="79" t="s">
        <v>254</v>
      </c>
      <c r="D143" s="36" t="s">
        <v>8</v>
      </c>
      <c r="E143" s="37" t="n">
        <v>42983</v>
      </c>
      <c r="F143" s="16" t="s">
        <v>52</v>
      </c>
      <c r="G143" s="80" t="s">
        <v>70</v>
      </c>
    </row>
    <row r="144" customFormat="false" ht="12.75" hidden="true" customHeight="true" outlineLevel="0" collapsed="false">
      <c r="A144" s="17" t="n">
        <v>3100</v>
      </c>
      <c r="B144" s="44" t="s">
        <v>255</v>
      </c>
      <c r="C144" s="44" t="s">
        <v>244</v>
      </c>
      <c r="D144" s="24" t="s">
        <v>8</v>
      </c>
      <c r="E144" s="45" t="n">
        <v>41694</v>
      </c>
      <c r="F144" s="26" t="s">
        <v>34</v>
      </c>
      <c r="G144" s="22" t="n">
        <v>500</v>
      </c>
    </row>
    <row r="145" customFormat="false" ht="23.25" hidden="true" customHeight="true" outlineLevel="0" collapsed="false">
      <c r="A145" s="11"/>
      <c r="B145" s="82" t="s">
        <v>256</v>
      </c>
      <c r="C145" s="40" t="s">
        <v>257</v>
      </c>
      <c r="D145" s="14" t="s">
        <v>26</v>
      </c>
      <c r="E145" s="59" t="n">
        <v>42096</v>
      </c>
      <c r="F145" s="16" t="s">
        <v>34</v>
      </c>
    </row>
    <row r="146" customFormat="false" ht="12.75" hidden="true" customHeight="true" outlineLevel="0" collapsed="false">
      <c r="A146" s="1" t="n">
        <v>2145</v>
      </c>
      <c r="B146" s="44" t="s">
        <v>256</v>
      </c>
      <c r="C146" s="44" t="s">
        <v>257</v>
      </c>
      <c r="D146" s="24" t="s">
        <v>26</v>
      </c>
      <c r="E146" s="45" t="n">
        <v>42096</v>
      </c>
      <c r="F146" s="26" t="s">
        <v>34</v>
      </c>
      <c r="G146" s="22" t="n">
        <v>500</v>
      </c>
    </row>
    <row r="147" customFormat="false" ht="23.25" hidden="true" customHeight="true" outlineLevel="0" collapsed="false">
      <c r="A147" s="11"/>
      <c r="B147" s="40" t="s">
        <v>258</v>
      </c>
      <c r="C147" s="40" t="s">
        <v>259</v>
      </c>
      <c r="D147" s="14" t="s">
        <v>8</v>
      </c>
      <c r="E147" s="59" t="n">
        <v>41543</v>
      </c>
      <c r="F147" s="16" t="s">
        <v>52</v>
      </c>
    </row>
    <row r="148" customFormat="false" ht="12.75" hidden="true" customHeight="true" outlineLevel="0" collapsed="false">
      <c r="A148" s="1" t="n">
        <v>3052</v>
      </c>
      <c r="B148" s="79" t="s">
        <v>258</v>
      </c>
      <c r="C148" s="79" t="s">
        <v>260</v>
      </c>
      <c r="D148" s="36" t="s">
        <v>8</v>
      </c>
      <c r="E148" s="37" t="n">
        <v>41543</v>
      </c>
      <c r="F148" s="16" t="s">
        <v>52</v>
      </c>
      <c r="G148" s="80" t="s">
        <v>70</v>
      </c>
    </row>
    <row r="149" customFormat="false" ht="13.5" hidden="true" customHeight="true" outlineLevel="0" collapsed="false">
      <c r="A149" s="11"/>
      <c r="B149" s="39" t="s">
        <v>261</v>
      </c>
      <c r="C149" s="39" t="s">
        <v>67</v>
      </c>
      <c r="D149" s="14" t="s">
        <v>8</v>
      </c>
      <c r="E149" s="73" t="n">
        <v>40123</v>
      </c>
      <c r="F149" s="16" t="s">
        <v>29</v>
      </c>
    </row>
    <row r="150" customFormat="false" ht="23.25" hidden="true" customHeight="true" outlineLevel="0" collapsed="false">
      <c r="A150" s="11"/>
      <c r="B150" s="57" t="s">
        <v>262</v>
      </c>
      <c r="C150" s="58" t="s">
        <v>78</v>
      </c>
      <c r="D150" s="14" t="s">
        <v>8</v>
      </c>
      <c r="E150" s="59" t="n">
        <v>40466</v>
      </c>
      <c r="F150" s="16" t="s">
        <v>17</v>
      </c>
    </row>
    <row r="151" customFormat="false" ht="23.25" hidden="true" customHeight="true" outlineLevel="0" collapsed="false">
      <c r="A151" s="11"/>
      <c r="B151" s="57" t="s">
        <v>262</v>
      </c>
      <c r="C151" s="58" t="s">
        <v>263</v>
      </c>
      <c r="D151" s="14" t="s">
        <v>26</v>
      </c>
      <c r="E151" s="59" t="n">
        <v>39281</v>
      </c>
      <c r="F151" s="16" t="s">
        <v>17</v>
      </c>
    </row>
    <row r="152" customFormat="false" ht="12.75" hidden="true" customHeight="true" outlineLevel="0" collapsed="false">
      <c r="A152" s="11"/>
      <c r="B152" s="12" t="s">
        <v>264</v>
      </c>
      <c r="C152" s="13" t="s">
        <v>265</v>
      </c>
      <c r="D152" s="14" t="s">
        <v>26</v>
      </c>
      <c r="E152" s="33" t="n">
        <v>41640</v>
      </c>
      <c r="F152" s="16" t="s">
        <v>9</v>
      </c>
    </row>
    <row r="153" customFormat="false" ht="23.25" hidden="true" customHeight="true" outlineLevel="0" collapsed="false">
      <c r="A153" s="11"/>
      <c r="B153" s="82" t="s">
        <v>266</v>
      </c>
      <c r="C153" s="40" t="s">
        <v>267</v>
      </c>
      <c r="D153" s="14" t="s">
        <v>8</v>
      </c>
      <c r="E153" s="59" t="n">
        <v>41757</v>
      </c>
      <c r="F153" s="16" t="s">
        <v>34</v>
      </c>
    </row>
    <row r="154" customFormat="false" ht="12.75" hidden="true" customHeight="true" outlineLevel="0" collapsed="false">
      <c r="A154" s="17" t="n">
        <v>3101</v>
      </c>
      <c r="B154" s="44" t="s">
        <v>266</v>
      </c>
      <c r="C154" s="44" t="s">
        <v>267</v>
      </c>
      <c r="D154" s="24" t="s">
        <v>8</v>
      </c>
      <c r="E154" s="45" t="n">
        <v>41757</v>
      </c>
      <c r="F154" s="26" t="s">
        <v>34</v>
      </c>
      <c r="G154" s="22" t="n">
        <v>500</v>
      </c>
    </row>
    <row r="155" customFormat="false" ht="12.75" hidden="true" customHeight="true" outlineLevel="0" collapsed="false">
      <c r="A155" s="1" t="n">
        <v>2021</v>
      </c>
      <c r="B155" s="51" t="s">
        <v>268</v>
      </c>
      <c r="C155" s="51" t="s">
        <v>269</v>
      </c>
      <c r="D155" s="36" t="s">
        <v>8</v>
      </c>
      <c r="E155" s="37" t="n">
        <v>42594</v>
      </c>
      <c r="F155" s="16" t="s">
        <v>143</v>
      </c>
      <c r="G155" s="50" t="s">
        <v>70</v>
      </c>
    </row>
    <row r="156" customFormat="false" ht="23.25" hidden="true" customHeight="true" outlineLevel="0" collapsed="false">
      <c r="A156" s="11"/>
      <c r="B156" s="82" t="s">
        <v>270</v>
      </c>
      <c r="C156" s="40" t="s">
        <v>271</v>
      </c>
      <c r="D156" s="14" t="s">
        <v>8</v>
      </c>
      <c r="E156" s="59" t="n">
        <v>41739</v>
      </c>
      <c r="F156" s="16" t="s">
        <v>52</v>
      </c>
    </row>
    <row r="157" customFormat="false" ht="12.75" hidden="true" customHeight="true" outlineLevel="0" collapsed="false">
      <c r="A157" s="1" t="n">
        <v>3035</v>
      </c>
      <c r="B157" s="79" t="s">
        <v>270</v>
      </c>
      <c r="C157" s="79" t="s">
        <v>271</v>
      </c>
      <c r="D157" s="36" t="s">
        <v>8</v>
      </c>
      <c r="E157" s="37" t="n">
        <v>41739</v>
      </c>
      <c r="F157" s="16" t="s">
        <v>52</v>
      </c>
      <c r="G157" s="80" t="s">
        <v>70</v>
      </c>
    </row>
    <row r="158" customFormat="false" ht="12.75" hidden="true" customHeight="true" outlineLevel="0" collapsed="false">
      <c r="A158" s="1" t="n">
        <v>2146</v>
      </c>
      <c r="B158" s="44" t="s">
        <v>272</v>
      </c>
      <c r="C158" s="44" t="s">
        <v>273</v>
      </c>
      <c r="D158" s="24" t="s">
        <v>8</v>
      </c>
      <c r="E158" s="45" t="n">
        <v>42265</v>
      </c>
      <c r="F158" s="26" t="s">
        <v>34</v>
      </c>
      <c r="G158" s="22" t="n">
        <v>500</v>
      </c>
    </row>
    <row r="159" customFormat="false" ht="23.25" hidden="true" customHeight="true" outlineLevel="0" collapsed="false">
      <c r="A159" s="11"/>
      <c r="B159" s="82" t="s">
        <v>274</v>
      </c>
      <c r="C159" s="40" t="s">
        <v>275</v>
      </c>
      <c r="D159" s="14" t="s">
        <v>8</v>
      </c>
      <c r="E159" s="59" t="n">
        <v>40743</v>
      </c>
      <c r="F159" s="16" t="s">
        <v>129</v>
      </c>
    </row>
    <row r="160" customFormat="false" ht="12.75" hidden="true" customHeight="true" outlineLevel="0" collapsed="false">
      <c r="A160" s="11"/>
      <c r="B160" s="12" t="s">
        <v>276</v>
      </c>
      <c r="C160" s="13" t="s">
        <v>215</v>
      </c>
      <c r="D160" s="14" t="s">
        <v>8</v>
      </c>
      <c r="E160" s="33" t="n">
        <v>41640</v>
      </c>
      <c r="F160" s="16" t="s">
        <v>9</v>
      </c>
    </row>
    <row r="161" customFormat="false" ht="23.25" hidden="true" customHeight="true" outlineLevel="0" collapsed="false">
      <c r="A161" s="11"/>
      <c r="B161" s="82" t="s">
        <v>277</v>
      </c>
      <c r="C161" s="40" t="s">
        <v>278</v>
      </c>
      <c r="D161" s="14" t="s">
        <v>8</v>
      </c>
      <c r="E161" s="15" t="n">
        <v>42653</v>
      </c>
      <c r="F161" s="16" t="s">
        <v>52</v>
      </c>
    </row>
    <row r="162" customFormat="false" ht="12.75" hidden="true" customHeight="true" outlineLevel="0" collapsed="false">
      <c r="A162" s="1" t="n">
        <v>2042</v>
      </c>
      <c r="B162" s="123" t="s">
        <v>279</v>
      </c>
      <c r="C162" s="123" t="s">
        <v>280</v>
      </c>
      <c r="D162" s="36" t="s">
        <v>26</v>
      </c>
      <c r="E162" s="37" t="n">
        <v>42416</v>
      </c>
      <c r="F162" s="16" t="s">
        <v>29</v>
      </c>
      <c r="G162" s="50" t="s">
        <v>70</v>
      </c>
    </row>
    <row r="163" customFormat="false" ht="12.75" hidden="true" customHeight="true" outlineLevel="0" collapsed="false">
      <c r="A163" s="1" t="n">
        <v>1040</v>
      </c>
      <c r="B163" s="79" t="s">
        <v>281</v>
      </c>
      <c r="C163" s="79" t="s">
        <v>127</v>
      </c>
      <c r="D163" s="36" t="s">
        <v>8</v>
      </c>
      <c r="E163" s="37" t="n">
        <v>43055</v>
      </c>
      <c r="F163" s="16" t="s">
        <v>52</v>
      </c>
      <c r="G163" s="80" t="s">
        <v>70</v>
      </c>
    </row>
    <row r="164" customFormat="false" ht="12.75" hidden="true" customHeight="true" outlineLevel="0" collapsed="false">
      <c r="A164" s="1" t="n">
        <v>2026</v>
      </c>
      <c r="B164" s="35" t="s">
        <v>282</v>
      </c>
      <c r="C164" s="34" t="s">
        <v>283</v>
      </c>
      <c r="D164" s="36" t="s">
        <v>8</v>
      </c>
      <c r="E164" s="37" t="n">
        <v>42555</v>
      </c>
      <c r="F164" s="16" t="s">
        <v>12</v>
      </c>
      <c r="G164" s="38" t="n">
        <v>500</v>
      </c>
    </row>
    <row r="165" customFormat="false" ht="12.75" hidden="true" customHeight="true" outlineLevel="0" collapsed="false">
      <c r="A165" s="42" t="n">
        <v>4032</v>
      </c>
      <c r="B165" s="35" t="s">
        <v>282</v>
      </c>
      <c r="C165" s="34" t="s">
        <v>284</v>
      </c>
      <c r="D165" s="36" t="s">
        <v>26</v>
      </c>
      <c r="E165" s="37" t="n">
        <v>40711</v>
      </c>
      <c r="F165" s="16" t="s">
        <v>12</v>
      </c>
      <c r="G165" s="38" t="n">
        <v>500</v>
      </c>
    </row>
    <row r="166" customFormat="false" ht="23.25" hidden="true" customHeight="true" outlineLevel="0" collapsed="false">
      <c r="A166" s="11"/>
      <c r="B166" s="57" t="s">
        <v>285</v>
      </c>
      <c r="C166" s="58" t="s">
        <v>286</v>
      </c>
      <c r="D166" s="14" t="s">
        <v>26</v>
      </c>
      <c r="E166" s="59" t="n">
        <v>40888</v>
      </c>
      <c r="F166" s="16" t="s">
        <v>34</v>
      </c>
    </row>
    <row r="167" customFormat="false" ht="12.75" hidden="true" customHeight="true" outlineLevel="0" collapsed="false">
      <c r="A167" s="42" t="n">
        <v>4021</v>
      </c>
      <c r="B167" s="35" t="s">
        <v>287</v>
      </c>
      <c r="C167" s="34" t="s">
        <v>288</v>
      </c>
      <c r="D167" s="36" t="s">
        <v>26</v>
      </c>
      <c r="E167" s="37" t="n">
        <v>40897</v>
      </c>
      <c r="F167" s="16" t="s">
        <v>12</v>
      </c>
      <c r="G167" s="38" t="n">
        <v>500</v>
      </c>
    </row>
    <row r="168" customFormat="false" ht="23.25" hidden="true" customHeight="true" outlineLevel="0" collapsed="false">
      <c r="A168" s="11"/>
      <c r="B168" s="82" t="s">
        <v>289</v>
      </c>
      <c r="C168" s="40" t="s">
        <v>290</v>
      </c>
      <c r="D168" s="14" t="s">
        <v>8</v>
      </c>
      <c r="E168" s="59" t="n">
        <v>42014</v>
      </c>
      <c r="F168" s="16" t="s">
        <v>34</v>
      </c>
    </row>
    <row r="169" customFormat="false" ht="12.75" hidden="true" customHeight="true" outlineLevel="0" collapsed="false">
      <c r="A169" s="1" t="n">
        <v>2147</v>
      </c>
      <c r="B169" s="44" t="s">
        <v>289</v>
      </c>
      <c r="C169" s="44" t="s">
        <v>290</v>
      </c>
      <c r="D169" s="24" t="s">
        <v>8</v>
      </c>
      <c r="E169" s="45" t="n">
        <v>42014</v>
      </c>
      <c r="F169" s="26" t="s">
        <v>34</v>
      </c>
      <c r="G169" s="22" t="n">
        <v>500</v>
      </c>
    </row>
    <row r="170" customFormat="false" ht="12.75" hidden="true" customHeight="true" outlineLevel="0" collapsed="false">
      <c r="A170" s="1" t="n">
        <v>3010</v>
      </c>
      <c r="B170" s="79" t="s">
        <v>291</v>
      </c>
      <c r="C170" s="79" t="s">
        <v>112</v>
      </c>
      <c r="D170" s="36" t="s">
        <v>8</v>
      </c>
      <c r="E170" s="37" t="n">
        <v>41935</v>
      </c>
      <c r="F170" s="16" t="s">
        <v>52</v>
      </c>
      <c r="G170" s="80" t="s">
        <v>70</v>
      </c>
    </row>
    <row r="171" customFormat="false" ht="12.75" hidden="true" customHeight="true" outlineLevel="0" collapsed="false">
      <c r="A171" s="1" t="n">
        <v>1027</v>
      </c>
      <c r="B171" s="108" t="s">
        <v>292</v>
      </c>
      <c r="C171" s="115" t="s">
        <v>228</v>
      </c>
      <c r="D171" s="36" t="s">
        <v>8</v>
      </c>
      <c r="E171" s="37" t="n">
        <v>43192</v>
      </c>
      <c r="F171" s="16" t="s">
        <v>29</v>
      </c>
      <c r="G171" s="50" t="s">
        <v>70</v>
      </c>
    </row>
    <row r="172" customFormat="false" ht="12.75" hidden="true" customHeight="true" outlineLevel="0" collapsed="false">
      <c r="A172" s="1" t="n">
        <v>2105</v>
      </c>
      <c r="B172" s="79" t="s">
        <v>293</v>
      </c>
      <c r="C172" s="79" t="s">
        <v>294</v>
      </c>
      <c r="D172" s="36" t="s">
        <v>8</v>
      </c>
      <c r="E172" s="37" t="n">
        <v>42059</v>
      </c>
      <c r="F172" s="16" t="s">
        <v>52</v>
      </c>
      <c r="G172" s="80" t="s">
        <v>70</v>
      </c>
    </row>
    <row r="173" customFormat="false" ht="12.75" hidden="true" customHeight="true" outlineLevel="0" collapsed="false">
      <c r="A173" s="11"/>
      <c r="B173" s="60" t="s">
        <v>295</v>
      </c>
      <c r="C173" s="61" t="s">
        <v>61</v>
      </c>
      <c r="D173" s="14" t="s">
        <v>8</v>
      </c>
      <c r="E173" s="33" t="n">
        <v>40179</v>
      </c>
      <c r="F173" s="16" t="s">
        <v>9</v>
      </c>
    </row>
    <row r="174" customFormat="false" ht="12.75" hidden="true" customHeight="true" outlineLevel="0" collapsed="false">
      <c r="A174" s="11"/>
      <c r="B174" s="13" t="s">
        <v>296</v>
      </c>
      <c r="C174" s="13" t="s">
        <v>297</v>
      </c>
      <c r="D174" s="14" t="s">
        <v>8</v>
      </c>
      <c r="E174" s="52" t="n">
        <v>41440</v>
      </c>
      <c r="F174" s="16" t="s">
        <v>9</v>
      </c>
    </row>
    <row r="175" customFormat="false" ht="12.75" hidden="true" customHeight="true" outlineLevel="0" collapsed="false">
      <c r="A175" s="17" t="n">
        <v>3102</v>
      </c>
      <c r="B175" s="44" t="s">
        <v>298</v>
      </c>
      <c r="C175" s="44" t="s">
        <v>299</v>
      </c>
      <c r="D175" s="24" t="s">
        <v>26</v>
      </c>
      <c r="E175" s="45" t="n">
        <v>41563</v>
      </c>
      <c r="F175" s="26" t="s">
        <v>34</v>
      </c>
      <c r="G175" s="22" t="n">
        <v>500</v>
      </c>
    </row>
    <row r="176" customFormat="false" ht="23.25" hidden="true" customHeight="true" outlineLevel="0" collapsed="false">
      <c r="A176" s="11"/>
      <c r="B176" s="40" t="s">
        <v>298</v>
      </c>
      <c r="C176" s="40" t="s">
        <v>300</v>
      </c>
      <c r="D176" s="14" t="s">
        <v>26</v>
      </c>
      <c r="E176" s="59" t="n">
        <v>41563</v>
      </c>
      <c r="F176" s="16" t="s">
        <v>34</v>
      </c>
    </row>
    <row r="177" customFormat="false" ht="12.75" hidden="true" customHeight="true" outlineLevel="0" collapsed="false">
      <c r="A177" s="17" t="n">
        <v>3103</v>
      </c>
      <c r="B177" s="44" t="s">
        <v>298</v>
      </c>
      <c r="C177" s="44" t="s">
        <v>300</v>
      </c>
      <c r="D177" s="24" t="s">
        <v>26</v>
      </c>
      <c r="E177" s="45" t="n">
        <v>41563</v>
      </c>
      <c r="F177" s="26" t="s">
        <v>34</v>
      </c>
      <c r="G177" s="22" t="n">
        <v>500</v>
      </c>
    </row>
    <row r="178" customFormat="false" ht="12.75" hidden="true" customHeight="true" outlineLevel="0" collapsed="false">
      <c r="A178" s="1" t="n">
        <v>3027</v>
      </c>
      <c r="B178" s="108" t="s">
        <v>301</v>
      </c>
      <c r="C178" s="108" t="s">
        <v>302</v>
      </c>
      <c r="D178" s="36" t="s">
        <v>8</v>
      </c>
      <c r="E178" s="37" t="n">
        <v>41773</v>
      </c>
      <c r="F178" s="109" t="s">
        <v>129</v>
      </c>
      <c r="G178" s="110" t="n">
        <v>500</v>
      </c>
    </row>
    <row r="179" customFormat="false" ht="12.75" hidden="true" customHeight="true" outlineLevel="0" collapsed="false">
      <c r="A179" s="11"/>
      <c r="B179" s="12" t="s">
        <v>301</v>
      </c>
      <c r="C179" s="13" t="s">
        <v>303</v>
      </c>
      <c r="D179" s="14" t="s">
        <v>8</v>
      </c>
      <c r="E179" s="120" t="n">
        <v>41773</v>
      </c>
      <c r="F179" s="24" t="s">
        <v>129</v>
      </c>
    </row>
    <row r="180" customFormat="false" ht="12.75" hidden="true" customHeight="true" outlineLevel="0" collapsed="false">
      <c r="A180" s="42" t="n">
        <v>4071</v>
      </c>
      <c r="B180" s="44" t="s">
        <v>304</v>
      </c>
      <c r="C180" s="44" t="s">
        <v>127</v>
      </c>
      <c r="D180" s="24" t="s">
        <v>8</v>
      </c>
      <c r="E180" s="45" t="n">
        <v>41263</v>
      </c>
      <c r="F180" s="26" t="s">
        <v>34</v>
      </c>
      <c r="G180" s="22" t="n">
        <v>500</v>
      </c>
    </row>
    <row r="181" customFormat="false" ht="23.25" hidden="true" customHeight="true" outlineLevel="0" collapsed="false">
      <c r="A181" s="11"/>
      <c r="B181" s="40" t="s">
        <v>305</v>
      </c>
      <c r="C181" s="40" t="s">
        <v>16</v>
      </c>
      <c r="D181" s="14" t="s">
        <v>8</v>
      </c>
      <c r="E181" s="59" t="n">
        <v>41540</v>
      </c>
      <c r="F181" s="16" t="s">
        <v>143</v>
      </c>
    </row>
    <row r="182" customFormat="false" ht="23.25" hidden="true" customHeight="true" outlineLevel="0" collapsed="false">
      <c r="A182" s="11"/>
      <c r="B182" s="82" t="s">
        <v>306</v>
      </c>
      <c r="C182" s="124" t="s">
        <v>307</v>
      </c>
      <c r="D182" s="14" t="s">
        <v>8</v>
      </c>
      <c r="E182" s="15" t="n">
        <v>43176</v>
      </c>
      <c r="F182" s="16" t="s">
        <v>34</v>
      </c>
    </row>
    <row r="183" customFormat="false" ht="12.75" hidden="true" customHeight="true" outlineLevel="0" collapsed="false">
      <c r="A183" s="1" t="n">
        <v>1074</v>
      </c>
      <c r="B183" s="44" t="s">
        <v>306</v>
      </c>
      <c r="C183" s="44" t="s">
        <v>307</v>
      </c>
      <c r="D183" s="36" t="s">
        <v>8</v>
      </c>
      <c r="E183" s="45" t="n">
        <v>43176</v>
      </c>
      <c r="F183" s="26" t="s">
        <v>34</v>
      </c>
      <c r="G183" s="22" t="n">
        <v>500</v>
      </c>
    </row>
    <row r="184" customFormat="false" ht="12.75" hidden="true" customHeight="true" outlineLevel="0" collapsed="false">
      <c r="A184" s="11"/>
      <c r="B184" s="13" t="s">
        <v>308</v>
      </c>
      <c r="C184" s="13" t="s">
        <v>189</v>
      </c>
      <c r="D184" s="14" t="s">
        <v>8</v>
      </c>
      <c r="E184" s="33" t="n">
        <v>40909</v>
      </c>
      <c r="F184" s="16" t="s">
        <v>9</v>
      </c>
    </row>
    <row r="185" customFormat="false" ht="12.75" hidden="true" customHeight="true" outlineLevel="0" collapsed="false">
      <c r="A185" s="11"/>
      <c r="B185" s="13" t="s">
        <v>309</v>
      </c>
      <c r="C185" s="13" t="s">
        <v>241</v>
      </c>
      <c r="D185" s="14" t="s">
        <v>8</v>
      </c>
      <c r="E185" s="33" t="n">
        <v>41275</v>
      </c>
      <c r="F185" s="16" t="s">
        <v>9</v>
      </c>
    </row>
    <row r="186" customFormat="false" ht="12.75" hidden="true" customHeight="true" outlineLevel="0" collapsed="false">
      <c r="A186" s="1" t="n">
        <v>2139</v>
      </c>
      <c r="B186" s="125" t="s">
        <v>310</v>
      </c>
      <c r="C186" s="125" t="s">
        <v>311</v>
      </c>
      <c r="D186" s="24" t="s">
        <v>8</v>
      </c>
      <c r="E186" s="126" t="n">
        <v>42239</v>
      </c>
      <c r="F186" s="127" t="s">
        <v>9</v>
      </c>
      <c r="G186" s="10" t="n">
        <v>500</v>
      </c>
    </row>
    <row r="187" customFormat="false" ht="12.75" hidden="true" customHeight="true" outlineLevel="0" collapsed="false">
      <c r="A187" s="1" t="n">
        <v>3043</v>
      </c>
      <c r="B187" s="79" t="s">
        <v>312</v>
      </c>
      <c r="C187" s="79" t="s">
        <v>78</v>
      </c>
      <c r="D187" s="36" t="s">
        <v>8</v>
      </c>
      <c r="E187" s="37" t="n">
        <v>41676</v>
      </c>
      <c r="F187" s="16" t="s">
        <v>52</v>
      </c>
      <c r="G187" s="80" t="s">
        <v>70</v>
      </c>
    </row>
    <row r="188" customFormat="false" ht="12.75" hidden="true" customHeight="true" outlineLevel="0" collapsed="false">
      <c r="A188" s="17" t="n">
        <v>3081</v>
      </c>
      <c r="B188" s="23" t="s">
        <v>313</v>
      </c>
      <c r="C188" s="23" t="s">
        <v>314</v>
      </c>
      <c r="D188" s="24" t="s">
        <v>8</v>
      </c>
      <c r="E188" s="128" t="n">
        <v>41637</v>
      </c>
      <c r="F188" s="26" t="s">
        <v>17</v>
      </c>
      <c r="G188" s="22" t="n">
        <v>500</v>
      </c>
    </row>
    <row r="189" customFormat="false" ht="12.75" hidden="true" customHeight="true" outlineLevel="0" collapsed="false">
      <c r="A189" s="1" t="n">
        <v>1064</v>
      </c>
      <c r="B189" s="79" t="s">
        <v>315</v>
      </c>
      <c r="C189" s="79" t="s">
        <v>316</v>
      </c>
      <c r="D189" s="36" t="s">
        <v>8</v>
      </c>
      <c r="E189" s="37" t="n">
        <v>42760</v>
      </c>
      <c r="F189" s="16" t="s">
        <v>52</v>
      </c>
      <c r="G189" s="80" t="s">
        <v>70</v>
      </c>
    </row>
    <row r="190" customFormat="false" ht="23.25" hidden="true" customHeight="true" outlineLevel="0" collapsed="false">
      <c r="A190" s="11"/>
      <c r="B190" s="82" t="s">
        <v>317</v>
      </c>
      <c r="C190" s="40" t="s">
        <v>318</v>
      </c>
      <c r="D190" s="14" t="s">
        <v>8</v>
      </c>
      <c r="E190" s="59" t="n">
        <v>41683</v>
      </c>
      <c r="F190" s="16" t="s">
        <v>52</v>
      </c>
    </row>
    <row r="191" customFormat="false" ht="12.75" hidden="true" customHeight="true" outlineLevel="0" collapsed="false">
      <c r="A191" s="11"/>
      <c r="B191" s="60" t="s">
        <v>319</v>
      </c>
      <c r="C191" s="61" t="s">
        <v>260</v>
      </c>
      <c r="D191" s="14" t="s">
        <v>8</v>
      </c>
      <c r="E191" s="33" t="n">
        <v>40544</v>
      </c>
      <c r="F191" s="16" t="s">
        <v>9</v>
      </c>
    </row>
    <row r="192" customFormat="false" ht="23.25" hidden="true" customHeight="true" outlineLevel="0" collapsed="false">
      <c r="A192" s="11"/>
      <c r="B192" s="57" t="s">
        <v>320</v>
      </c>
      <c r="C192" s="58" t="s">
        <v>321</v>
      </c>
      <c r="D192" s="14" t="s">
        <v>8</v>
      </c>
      <c r="E192" s="59" t="n">
        <v>40331</v>
      </c>
      <c r="F192" s="16" t="s">
        <v>34</v>
      </c>
    </row>
    <row r="193" customFormat="false" ht="23.25" hidden="true" customHeight="true" outlineLevel="0" collapsed="false">
      <c r="A193" s="11"/>
      <c r="B193" s="39" t="s">
        <v>322</v>
      </c>
      <c r="C193" s="34" t="s">
        <v>323</v>
      </c>
      <c r="D193" s="14" t="s">
        <v>8</v>
      </c>
      <c r="E193" s="15" t="n">
        <v>42876</v>
      </c>
      <c r="F193" s="16" t="s">
        <v>29</v>
      </c>
    </row>
    <row r="194" customFormat="false" ht="12.75" hidden="true" customHeight="true" outlineLevel="0" collapsed="false">
      <c r="A194" s="1" t="n">
        <v>1053</v>
      </c>
      <c r="B194" s="108" t="s">
        <v>324</v>
      </c>
      <c r="C194" s="115" t="s">
        <v>323</v>
      </c>
      <c r="D194" s="36" t="s">
        <v>8</v>
      </c>
      <c r="E194" s="37" t="n">
        <v>42876</v>
      </c>
      <c r="F194" s="16" t="s">
        <v>29</v>
      </c>
      <c r="G194" s="50" t="s">
        <v>70</v>
      </c>
    </row>
    <row r="195" customFormat="false" ht="23.25" hidden="true" customHeight="true" outlineLevel="0" collapsed="false">
      <c r="A195" s="11"/>
      <c r="B195" s="39" t="s">
        <v>325</v>
      </c>
      <c r="C195" s="34" t="s">
        <v>326</v>
      </c>
      <c r="D195" s="14" t="s">
        <v>26</v>
      </c>
      <c r="E195" s="15" t="n">
        <v>44097</v>
      </c>
      <c r="F195" s="16" t="s">
        <v>29</v>
      </c>
    </row>
    <row r="196" customFormat="false" ht="23.25" hidden="true" customHeight="true" outlineLevel="0" collapsed="false">
      <c r="A196" s="11"/>
      <c r="B196" s="39" t="s">
        <v>325</v>
      </c>
      <c r="C196" s="34" t="s">
        <v>327</v>
      </c>
      <c r="D196" s="14" t="s">
        <v>26</v>
      </c>
      <c r="E196" s="15" t="n">
        <v>42481</v>
      </c>
      <c r="F196" s="16" t="s">
        <v>29</v>
      </c>
    </row>
    <row r="197" customFormat="false" ht="12.75" hidden="true" customHeight="true" outlineLevel="0" collapsed="false">
      <c r="A197" s="17" t="n">
        <v>3095</v>
      </c>
      <c r="B197" s="23" t="s">
        <v>328</v>
      </c>
      <c r="C197" s="23" t="s">
        <v>78</v>
      </c>
      <c r="D197" s="24" t="s">
        <v>8</v>
      </c>
      <c r="E197" s="43" t="n">
        <v>41823</v>
      </c>
      <c r="F197" s="26" t="s">
        <v>9</v>
      </c>
      <c r="G197" s="22" t="n">
        <v>500</v>
      </c>
    </row>
    <row r="198" customFormat="false" ht="23.25" hidden="true" customHeight="true" outlineLevel="0" collapsed="false">
      <c r="A198" s="11"/>
      <c r="B198" s="82" t="s">
        <v>329</v>
      </c>
      <c r="C198" s="40" t="s">
        <v>330</v>
      </c>
      <c r="D198" s="14" t="s">
        <v>26</v>
      </c>
      <c r="E198" s="59" t="n">
        <v>41718</v>
      </c>
      <c r="F198" s="16" t="s">
        <v>143</v>
      </c>
    </row>
    <row r="199" customFormat="false" ht="12.75" hidden="true" customHeight="true" outlineLevel="0" collapsed="false">
      <c r="A199" s="1" t="n">
        <v>3037</v>
      </c>
      <c r="B199" s="51" t="s">
        <v>329</v>
      </c>
      <c r="C199" s="51" t="s">
        <v>330</v>
      </c>
      <c r="D199" s="36" t="s">
        <v>26</v>
      </c>
      <c r="E199" s="37" t="n">
        <v>41718</v>
      </c>
      <c r="F199" s="16" t="s">
        <v>143</v>
      </c>
      <c r="G199" s="50" t="s">
        <v>70</v>
      </c>
    </row>
    <row r="200" customFormat="false" ht="12.75" hidden="true" customHeight="true" outlineLevel="0" collapsed="false">
      <c r="A200" s="1" t="n">
        <v>2020</v>
      </c>
      <c r="B200" s="51" t="s">
        <v>331</v>
      </c>
      <c r="C200" s="51" t="s">
        <v>37</v>
      </c>
      <c r="D200" s="36" t="s">
        <v>8</v>
      </c>
      <c r="E200" s="52" t="n">
        <v>42597</v>
      </c>
      <c r="F200" s="24" t="s">
        <v>20</v>
      </c>
      <c r="G200" s="50" t="n">
        <v>500</v>
      </c>
    </row>
    <row r="201" customFormat="false" ht="23.25" hidden="true" customHeight="true" outlineLevel="0" collapsed="false">
      <c r="A201" s="11"/>
      <c r="B201" s="58" t="s">
        <v>332</v>
      </c>
      <c r="C201" s="58" t="s">
        <v>333</v>
      </c>
      <c r="D201" s="14" t="s">
        <v>8</v>
      </c>
      <c r="E201" s="59" t="n">
        <v>41522</v>
      </c>
      <c r="F201" s="16" t="s">
        <v>20</v>
      </c>
    </row>
    <row r="202" customFormat="false" ht="23.25" hidden="true" customHeight="true" outlineLevel="0" collapsed="false">
      <c r="A202" s="11"/>
      <c r="B202" s="40" t="s">
        <v>334</v>
      </c>
      <c r="C202" s="40" t="s">
        <v>335</v>
      </c>
      <c r="D202" s="14" t="s">
        <v>8</v>
      </c>
      <c r="E202" s="59" t="n">
        <v>41561</v>
      </c>
      <c r="F202" s="16" t="s">
        <v>52</v>
      </c>
    </row>
    <row r="203" customFormat="false" ht="12.75" hidden="true" customHeight="true" outlineLevel="0" collapsed="false">
      <c r="A203" s="11"/>
      <c r="B203" s="13" t="s">
        <v>336</v>
      </c>
      <c r="C203" s="13" t="s">
        <v>337</v>
      </c>
      <c r="D203" s="14" t="s">
        <v>8</v>
      </c>
      <c r="E203" s="52" t="n">
        <v>41491</v>
      </c>
      <c r="F203" s="16" t="s">
        <v>9</v>
      </c>
    </row>
    <row r="204" customFormat="false" ht="23.25" hidden="true" customHeight="true" outlineLevel="0" collapsed="false">
      <c r="A204" s="11"/>
      <c r="B204" s="82" t="s">
        <v>338</v>
      </c>
      <c r="C204" s="40" t="s">
        <v>318</v>
      </c>
      <c r="D204" s="14" t="s">
        <v>8</v>
      </c>
      <c r="E204" s="15" t="n">
        <v>42410</v>
      </c>
      <c r="F204" s="16" t="s">
        <v>17</v>
      </c>
    </row>
    <row r="205" customFormat="false" ht="12.75" hidden="true" customHeight="true" outlineLevel="0" collapsed="false">
      <c r="A205" s="1" t="n">
        <v>2116</v>
      </c>
      <c r="B205" s="44" t="s">
        <v>338</v>
      </c>
      <c r="C205" s="44" t="s">
        <v>318</v>
      </c>
      <c r="D205" s="24" t="s">
        <v>8</v>
      </c>
      <c r="E205" s="104" t="n">
        <v>42410</v>
      </c>
      <c r="F205" s="105" t="s">
        <v>17</v>
      </c>
      <c r="G205" s="1" t="n">
        <v>500</v>
      </c>
    </row>
    <row r="206" customFormat="false" ht="12.75" hidden="true" customHeight="true" outlineLevel="0" collapsed="false">
      <c r="A206" s="1" t="n">
        <v>2049</v>
      </c>
      <c r="B206" s="79" t="s">
        <v>339</v>
      </c>
      <c r="C206" s="79" t="s">
        <v>244</v>
      </c>
      <c r="D206" s="36" t="s">
        <v>8</v>
      </c>
      <c r="E206" s="37" t="n">
        <v>42384</v>
      </c>
      <c r="F206" s="16" t="s">
        <v>52</v>
      </c>
      <c r="G206" s="80" t="s">
        <v>70</v>
      </c>
    </row>
    <row r="207" customFormat="false" ht="23.25" hidden="true" customHeight="true" outlineLevel="0" collapsed="false">
      <c r="A207" s="11"/>
      <c r="B207" s="57" t="s">
        <v>340</v>
      </c>
      <c r="C207" s="28" t="s">
        <v>246</v>
      </c>
      <c r="D207" s="14" t="s">
        <v>8</v>
      </c>
      <c r="E207" s="59" t="n">
        <v>39482</v>
      </c>
      <c r="F207" s="16" t="s">
        <v>52</v>
      </c>
    </row>
    <row r="208" customFormat="false" ht="23.25" hidden="true" customHeight="true" outlineLevel="0" collapsed="false">
      <c r="A208" s="11"/>
      <c r="B208" s="57" t="s">
        <v>341</v>
      </c>
      <c r="C208" s="58" t="s">
        <v>132</v>
      </c>
      <c r="D208" s="14" t="s">
        <v>8</v>
      </c>
      <c r="E208" s="59" t="n">
        <v>40727</v>
      </c>
      <c r="F208" s="16" t="s">
        <v>34</v>
      </c>
    </row>
    <row r="209" customFormat="false" ht="12.75" hidden="true" customHeight="true" outlineLevel="0" collapsed="false">
      <c r="A209" s="11"/>
      <c r="B209" s="12" t="s">
        <v>342</v>
      </c>
      <c r="C209" s="13" t="s">
        <v>337</v>
      </c>
      <c r="D209" s="14" t="s">
        <v>26</v>
      </c>
      <c r="E209" s="33" t="n">
        <v>41640</v>
      </c>
      <c r="F209" s="16" t="s">
        <v>9</v>
      </c>
    </row>
    <row r="210" customFormat="false" ht="12.75" hidden="true" customHeight="true" outlineLevel="0" collapsed="false">
      <c r="A210" s="11"/>
      <c r="B210" s="13" t="s">
        <v>342</v>
      </c>
      <c r="C210" s="13" t="s">
        <v>343</v>
      </c>
      <c r="D210" s="14" t="s">
        <v>26</v>
      </c>
      <c r="E210" s="33" t="n">
        <v>40909</v>
      </c>
      <c r="F210" s="16" t="s">
        <v>9</v>
      </c>
    </row>
    <row r="211" customFormat="false" ht="23.25" hidden="true" customHeight="true" outlineLevel="0" collapsed="false">
      <c r="A211" s="11"/>
      <c r="B211" s="82" t="s">
        <v>344</v>
      </c>
      <c r="C211" s="98" t="s">
        <v>345</v>
      </c>
      <c r="D211" s="14" t="s">
        <v>8</v>
      </c>
      <c r="E211" s="59" t="n">
        <v>41834</v>
      </c>
      <c r="F211" s="16" t="s">
        <v>17</v>
      </c>
    </row>
    <row r="212" customFormat="false" ht="23.25" hidden="true" customHeight="true" outlineLevel="0" collapsed="false">
      <c r="A212" s="11"/>
      <c r="B212" s="57" t="s">
        <v>346</v>
      </c>
      <c r="C212" s="58" t="s">
        <v>75</v>
      </c>
      <c r="D212" s="14" t="s">
        <v>8</v>
      </c>
      <c r="E212" s="59" t="n">
        <v>40870</v>
      </c>
      <c r="F212" s="16" t="s">
        <v>34</v>
      </c>
    </row>
    <row r="213" customFormat="false" ht="12.75" hidden="true" customHeight="true" outlineLevel="0" collapsed="false">
      <c r="A213" s="42" t="n">
        <v>4072</v>
      </c>
      <c r="B213" s="44" t="s">
        <v>346</v>
      </c>
      <c r="C213" s="44" t="s">
        <v>75</v>
      </c>
      <c r="D213" s="24" t="s">
        <v>8</v>
      </c>
      <c r="E213" s="45" t="n">
        <v>40870</v>
      </c>
      <c r="F213" s="26" t="s">
        <v>34</v>
      </c>
      <c r="G213" s="22" t="n">
        <v>500</v>
      </c>
    </row>
    <row r="214" customFormat="false" ht="12.75" hidden="true" customHeight="true" outlineLevel="0" collapsed="false">
      <c r="A214" s="1" t="n">
        <v>3057</v>
      </c>
      <c r="B214" s="108" t="s">
        <v>347</v>
      </c>
      <c r="C214" s="115" t="s">
        <v>78</v>
      </c>
      <c r="D214" s="36" t="s">
        <v>8</v>
      </c>
      <c r="E214" s="37" t="n">
        <v>41466</v>
      </c>
      <c r="F214" s="16" t="s">
        <v>29</v>
      </c>
      <c r="G214" s="50" t="s">
        <v>70</v>
      </c>
    </row>
    <row r="215" customFormat="false" ht="12.75" hidden="true" customHeight="true" outlineLevel="0" collapsed="false">
      <c r="A215" s="11"/>
      <c r="B215" s="129" t="s">
        <v>348</v>
      </c>
      <c r="C215" s="129" t="s">
        <v>349</v>
      </c>
      <c r="D215" s="14" t="s">
        <v>8</v>
      </c>
      <c r="E215" s="130" t="n">
        <v>42451</v>
      </c>
      <c r="F215" s="16" t="s">
        <v>129</v>
      </c>
    </row>
    <row r="216" customFormat="false" ht="23.25" hidden="true" customHeight="true" outlineLevel="0" collapsed="false">
      <c r="A216" s="11"/>
      <c r="B216" s="60" t="s">
        <v>350</v>
      </c>
      <c r="C216" s="131" t="s">
        <v>351</v>
      </c>
      <c r="D216" s="14" t="s">
        <v>26</v>
      </c>
      <c r="E216" s="59" t="n">
        <v>41816</v>
      </c>
      <c r="F216" s="16" t="s">
        <v>12</v>
      </c>
    </row>
    <row r="217" customFormat="false" ht="23.25" hidden="true" customHeight="true" outlineLevel="0" collapsed="false">
      <c r="A217" s="11"/>
      <c r="B217" s="57" t="s">
        <v>352</v>
      </c>
      <c r="C217" s="58" t="s">
        <v>132</v>
      </c>
      <c r="D217" s="14" t="s">
        <v>8</v>
      </c>
      <c r="E217" s="59" t="n">
        <v>40269</v>
      </c>
      <c r="F217" s="16" t="s">
        <v>34</v>
      </c>
    </row>
    <row r="218" customFormat="false" ht="12.75" hidden="true" customHeight="true" outlineLevel="0" collapsed="false">
      <c r="A218" s="42" t="n">
        <v>4083</v>
      </c>
      <c r="B218" s="44" t="s">
        <v>352</v>
      </c>
      <c r="C218" s="44" t="s">
        <v>132</v>
      </c>
      <c r="D218" s="24" t="s">
        <v>8</v>
      </c>
      <c r="E218" s="45" t="n">
        <v>40269</v>
      </c>
      <c r="F218" s="26" t="s">
        <v>34</v>
      </c>
      <c r="G218" s="22" t="n">
        <v>500</v>
      </c>
    </row>
    <row r="219" customFormat="false" ht="12.75" hidden="true" customHeight="true" outlineLevel="0" collapsed="false">
      <c r="A219" s="1" t="n">
        <v>2148</v>
      </c>
      <c r="B219" s="44" t="s">
        <v>352</v>
      </c>
      <c r="C219" s="44" t="s">
        <v>353</v>
      </c>
      <c r="D219" s="24" t="s">
        <v>8</v>
      </c>
      <c r="E219" s="45" t="n">
        <v>42637</v>
      </c>
      <c r="F219" s="26" t="s">
        <v>34</v>
      </c>
      <c r="G219" s="22" t="n">
        <v>500</v>
      </c>
    </row>
    <row r="220" customFormat="false" ht="12.75" hidden="true" customHeight="true" outlineLevel="0" collapsed="false">
      <c r="A220" s="1" t="n">
        <v>2149</v>
      </c>
      <c r="B220" s="44" t="s">
        <v>354</v>
      </c>
      <c r="C220" s="74" t="s">
        <v>355</v>
      </c>
      <c r="D220" s="24" t="s">
        <v>8</v>
      </c>
      <c r="E220" s="45" t="n">
        <v>42130</v>
      </c>
      <c r="F220" s="26" t="s">
        <v>34</v>
      </c>
      <c r="G220" s="22" t="n">
        <v>500</v>
      </c>
    </row>
    <row r="221" customFormat="false" ht="12.75" hidden="true" customHeight="true" outlineLevel="0" collapsed="false">
      <c r="A221" s="11"/>
      <c r="B221" s="62" t="s">
        <v>356</v>
      </c>
      <c r="C221" s="62" t="s">
        <v>357</v>
      </c>
      <c r="D221" s="14" t="s">
        <v>26</v>
      </c>
      <c r="E221" s="132" t="n">
        <v>41317</v>
      </c>
      <c r="F221" s="24" t="s">
        <v>9</v>
      </c>
    </row>
    <row r="222" customFormat="false" ht="23.25" hidden="true" customHeight="true" outlineLevel="0" collapsed="false">
      <c r="A222" s="11"/>
      <c r="B222" s="82" t="s">
        <v>358</v>
      </c>
      <c r="C222" s="40" t="s">
        <v>359</v>
      </c>
      <c r="D222" s="14" t="s">
        <v>8</v>
      </c>
      <c r="E222" s="15" t="n">
        <v>42875</v>
      </c>
      <c r="F222" s="16" t="s">
        <v>143</v>
      </c>
    </row>
    <row r="223" customFormat="false" ht="23.25" hidden="true" customHeight="true" outlineLevel="0" collapsed="false">
      <c r="A223" s="11"/>
      <c r="B223" s="82" t="s">
        <v>360</v>
      </c>
      <c r="C223" s="40" t="s">
        <v>361</v>
      </c>
      <c r="D223" s="14" t="s">
        <v>8</v>
      </c>
      <c r="E223" s="59" t="n">
        <v>41769</v>
      </c>
      <c r="F223" s="16" t="s">
        <v>52</v>
      </c>
    </row>
    <row r="224" customFormat="false" ht="12.75" hidden="true" customHeight="true" outlineLevel="0" collapsed="false">
      <c r="A224" s="1" t="n">
        <v>3032</v>
      </c>
      <c r="B224" s="79" t="s">
        <v>360</v>
      </c>
      <c r="C224" s="79" t="s">
        <v>361</v>
      </c>
      <c r="D224" s="36" t="s">
        <v>8</v>
      </c>
      <c r="E224" s="37" t="n">
        <v>41769</v>
      </c>
      <c r="F224" s="16" t="s">
        <v>52</v>
      </c>
      <c r="G224" s="80" t="s">
        <v>70</v>
      </c>
    </row>
    <row r="225" customFormat="false" ht="23.25" hidden="true" customHeight="true" outlineLevel="0" collapsed="false">
      <c r="A225" s="11"/>
      <c r="B225" s="57" t="s">
        <v>362</v>
      </c>
      <c r="C225" s="58" t="s">
        <v>61</v>
      </c>
      <c r="D225" s="14" t="s">
        <v>8</v>
      </c>
      <c r="E225" s="59" t="n">
        <v>40655</v>
      </c>
      <c r="F225" s="16" t="s">
        <v>17</v>
      </c>
    </row>
    <row r="226" customFormat="false" ht="12.75" hidden="true" customHeight="true" outlineLevel="0" collapsed="false">
      <c r="A226" s="1" t="n">
        <v>2150</v>
      </c>
      <c r="B226" s="44" t="s">
        <v>363</v>
      </c>
      <c r="C226" s="44" t="s">
        <v>364</v>
      </c>
      <c r="D226" s="24" t="s">
        <v>8</v>
      </c>
      <c r="E226" s="45" t="n">
        <v>42390</v>
      </c>
      <c r="F226" s="26" t="s">
        <v>34</v>
      </c>
      <c r="G226" s="22" t="n">
        <v>500</v>
      </c>
    </row>
    <row r="227" customFormat="false" ht="12.75" hidden="true" customHeight="true" outlineLevel="0" collapsed="false">
      <c r="A227" s="11"/>
      <c r="B227" s="12" t="s">
        <v>365</v>
      </c>
      <c r="C227" s="13" t="s">
        <v>246</v>
      </c>
      <c r="D227" s="14" t="s">
        <v>8</v>
      </c>
      <c r="E227" s="52" t="n">
        <v>42008</v>
      </c>
      <c r="F227" s="16" t="s">
        <v>9</v>
      </c>
    </row>
    <row r="228" customFormat="false" ht="12.75" hidden="true" customHeight="true" outlineLevel="0" collapsed="false">
      <c r="A228" s="1" t="n">
        <v>3051</v>
      </c>
      <c r="B228" s="108" t="s">
        <v>366</v>
      </c>
      <c r="C228" s="115" t="s">
        <v>61</v>
      </c>
      <c r="D228" s="36" t="s">
        <v>8</v>
      </c>
      <c r="E228" s="37" t="n">
        <v>41567</v>
      </c>
      <c r="F228" s="16" t="s">
        <v>29</v>
      </c>
      <c r="G228" s="50" t="s">
        <v>70</v>
      </c>
    </row>
    <row r="229" customFormat="false" ht="12.75" hidden="true" customHeight="true" outlineLevel="0" collapsed="false">
      <c r="A229" s="1" t="n">
        <v>2095</v>
      </c>
      <c r="B229" s="108" t="s">
        <v>367</v>
      </c>
      <c r="C229" s="115" t="s">
        <v>368</v>
      </c>
      <c r="D229" s="36" t="s">
        <v>8</v>
      </c>
      <c r="E229" s="37" t="n">
        <v>42114</v>
      </c>
      <c r="F229" s="16" t="s">
        <v>29</v>
      </c>
      <c r="G229" s="50" t="s">
        <v>70</v>
      </c>
    </row>
    <row r="230" customFormat="false" ht="12.75" hidden="true" customHeight="true" outlineLevel="0" collapsed="false">
      <c r="A230" s="1" t="n">
        <v>1054</v>
      </c>
      <c r="B230" s="51" t="s">
        <v>369</v>
      </c>
      <c r="C230" s="51" t="s">
        <v>370</v>
      </c>
      <c r="D230" s="36" t="s">
        <v>8</v>
      </c>
      <c r="E230" s="37" t="n">
        <v>42829</v>
      </c>
      <c r="F230" s="16" t="s">
        <v>197</v>
      </c>
      <c r="G230" s="50" t="n">
        <v>500</v>
      </c>
    </row>
    <row r="231" customFormat="false" ht="23.25" hidden="true" customHeight="true" outlineLevel="0" collapsed="false">
      <c r="A231" s="11"/>
      <c r="B231" s="39" t="s">
        <v>371</v>
      </c>
      <c r="C231" s="40" t="s">
        <v>372</v>
      </c>
      <c r="D231" s="14" t="s">
        <v>8</v>
      </c>
      <c r="E231" s="15" t="n">
        <v>42928</v>
      </c>
      <c r="F231" s="16" t="s">
        <v>29</v>
      </c>
    </row>
    <row r="232" customFormat="false" ht="12.75" hidden="true" customHeight="true" outlineLevel="0" collapsed="false">
      <c r="A232" s="1" t="n">
        <v>1048</v>
      </c>
      <c r="B232" s="108" t="s">
        <v>373</v>
      </c>
      <c r="C232" s="115" t="s">
        <v>171</v>
      </c>
      <c r="D232" s="36" t="s">
        <v>8</v>
      </c>
      <c r="E232" s="37" t="n">
        <v>42928</v>
      </c>
      <c r="F232" s="16" t="s">
        <v>29</v>
      </c>
      <c r="G232" s="50" t="s">
        <v>70</v>
      </c>
    </row>
    <row r="233" customFormat="false" ht="12.75" hidden="true" customHeight="true" outlineLevel="0" collapsed="false">
      <c r="A233" s="1" t="n">
        <v>3014</v>
      </c>
      <c r="B233" s="51" t="s">
        <v>374</v>
      </c>
      <c r="C233" s="51" t="s">
        <v>375</v>
      </c>
      <c r="D233" s="36" t="s">
        <v>8</v>
      </c>
      <c r="E233" s="52" t="n">
        <v>41908</v>
      </c>
      <c r="F233" s="24" t="s">
        <v>20</v>
      </c>
      <c r="G233" s="50" t="n">
        <v>500</v>
      </c>
    </row>
    <row r="234" customFormat="false" ht="12.75" hidden="true" customHeight="true" outlineLevel="0" collapsed="false">
      <c r="A234" s="42" t="n">
        <v>4031</v>
      </c>
      <c r="B234" s="51" t="s">
        <v>374</v>
      </c>
      <c r="C234" s="51" t="s">
        <v>376</v>
      </c>
      <c r="D234" s="36" t="s">
        <v>8</v>
      </c>
      <c r="E234" s="52" t="n">
        <v>40713</v>
      </c>
      <c r="F234" s="24" t="s">
        <v>20</v>
      </c>
      <c r="G234" s="50" t="n">
        <v>500</v>
      </c>
    </row>
    <row r="235" customFormat="false" ht="12.75" hidden="true" customHeight="true" outlineLevel="0" collapsed="false">
      <c r="A235" s="1" t="n">
        <v>2016</v>
      </c>
      <c r="B235" s="51" t="s">
        <v>377</v>
      </c>
      <c r="C235" s="51" t="s">
        <v>378</v>
      </c>
      <c r="D235" s="36" t="s">
        <v>8</v>
      </c>
      <c r="E235" s="52" t="n">
        <v>42644</v>
      </c>
      <c r="F235" s="24" t="s">
        <v>20</v>
      </c>
      <c r="G235" s="50" t="n">
        <v>500</v>
      </c>
    </row>
    <row r="236" customFormat="false" ht="12.75" hidden="true" customHeight="true" outlineLevel="0" collapsed="false">
      <c r="A236" s="1" t="n">
        <v>2138</v>
      </c>
      <c r="B236" s="53" t="s">
        <v>379</v>
      </c>
      <c r="C236" s="53" t="s">
        <v>380</v>
      </c>
      <c r="D236" s="24" t="s">
        <v>8</v>
      </c>
      <c r="E236" s="54" t="n">
        <v>42601</v>
      </c>
      <c r="F236" s="55" t="s">
        <v>9</v>
      </c>
      <c r="G236" s="56" t="n">
        <v>500</v>
      </c>
    </row>
    <row r="237" customFormat="false" ht="12.75" hidden="true" customHeight="true" outlineLevel="0" collapsed="false">
      <c r="A237" s="11"/>
      <c r="B237" s="13" t="s">
        <v>381</v>
      </c>
      <c r="C237" s="13" t="s">
        <v>382</v>
      </c>
      <c r="D237" s="14" t="s">
        <v>8</v>
      </c>
      <c r="E237" s="33" t="n">
        <v>41275</v>
      </c>
      <c r="F237" s="16" t="s">
        <v>9</v>
      </c>
    </row>
    <row r="238" customFormat="false" ht="23.25" hidden="true" customHeight="true" outlineLevel="0" collapsed="false">
      <c r="A238" s="11"/>
      <c r="B238" s="57" t="s">
        <v>383</v>
      </c>
      <c r="C238" s="58" t="s">
        <v>384</v>
      </c>
      <c r="D238" s="14" t="s">
        <v>8</v>
      </c>
      <c r="E238" s="59" t="n">
        <v>40865</v>
      </c>
      <c r="F238" s="16" t="s">
        <v>129</v>
      </c>
    </row>
    <row r="239" customFormat="false" ht="12.75" hidden="true" customHeight="true" outlineLevel="0" collapsed="false">
      <c r="A239" s="42" t="n">
        <v>4023</v>
      </c>
      <c r="B239" s="108" t="s">
        <v>383</v>
      </c>
      <c r="C239" s="108" t="s">
        <v>384</v>
      </c>
      <c r="D239" s="36" t="s">
        <v>8</v>
      </c>
      <c r="E239" s="37" t="n">
        <v>40865</v>
      </c>
      <c r="F239" s="109" t="s">
        <v>129</v>
      </c>
      <c r="G239" s="110" t="n">
        <v>538</v>
      </c>
    </row>
    <row r="240" customFormat="false" ht="12.75" hidden="true" customHeight="true" outlineLevel="0" collapsed="false">
      <c r="A240" s="1" t="n">
        <v>1016</v>
      </c>
      <c r="B240" s="79" t="s">
        <v>385</v>
      </c>
      <c r="C240" s="79" t="s">
        <v>386</v>
      </c>
      <c r="D240" s="36" t="s">
        <v>8</v>
      </c>
      <c r="E240" s="37" t="n">
        <v>43386</v>
      </c>
      <c r="F240" s="16" t="s">
        <v>52</v>
      </c>
      <c r="G240" s="80" t="s">
        <v>70</v>
      </c>
    </row>
    <row r="241" customFormat="false" ht="23.25" hidden="true" customHeight="true" outlineLevel="0" collapsed="false">
      <c r="A241" s="11"/>
      <c r="B241" s="61" t="s">
        <v>387</v>
      </c>
      <c r="C241" s="61" t="s">
        <v>388</v>
      </c>
      <c r="D241" s="14" t="s">
        <v>8</v>
      </c>
      <c r="E241" s="59" t="n">
        <v>41576</v>
      </c>
      <c r="F241" s="16" t="s">
        <v>20</v>
      </c>
    </row>
    <row r="242" customFormat="false" ht="23.25" hidden="true" customHeight="true" outlineLevel="0" collapsed="false">
      <c r="A242" s="11"/>
      <c r="B242" s="40" t="s">
        <v>389</v>
      </c>
      <c r="C242" s="40" t="s">
        <v>390</v>
      </c>
      <c r="D242" s="14" t="s">
        <v>8</v>
      </c>
      <c r="E242" s="59" t="n">
        <v>41349</v>
      </c>
      <c r="F242" s="16" t="s">
        <v>52</v>
      </c>
    </row>
    <row r="243" customFormat="false" ht="12.75" hidden="true" customHeight="true" outlineLevel="0" collapsed="false">
      <c r="A243" s="1" t="n">
        <v>3071</v>
      </c>
      <c r="B243" s="79" t="s">
        <v>389</v>
      </c>
      <c r="C243" s="79" t="s">
        <v>390</v>
      </c>
      <c r="D243" s="36" t="s">
        <v>8</v>
      </c>
      <c r="E243" s="37" t="n">
        <v>41349</v>
      </c>
      <c r="F243" s="16" t="s">
        <v>52</v>
      </c>
      <c r="G243" s="80" t="s">
        <v>70</v>
      </c>
    </row>
    <row r="244" customFormat="false" ht="23.25" hidden="true" customHeight="true" outlineLevel="0" collapsed="false">
      <c r="A244" s="11"/>
      <c r="B244" s="57" t="s">
        <v>389</v>
      </c>
      <c r="C244" s="58" t="s">
        <v>391</v>
      </c>
      <c r="D244" s="14" t="s">
        <v>8</v>
      </c>
      <c r="E244" s="59" t="n">
        <v>40541</v>
      </c>
      <c r="F244" s="16" t="s">
        <v>52</v>
      </c>
    </row>
    <row r="245" customFormat="false" ht="12.75" hidden="true" customHeight="true" outlineLevel="0" collapsed="false">
      <c r="A245" s="42" t="n">
        <v>4053</v>
      </c>
      <c r="B245" s="44" t="s">
        <v>392</v>
      </c>
      <c r="C245" s="44" t="s">
        <v>393</v>
      </c>
      <c r="D245" s="24" t="s">
        <v>8</v>
      </c>
      <c r="E245" s="104" t="n">
        <v>40465</v>
      </c>
      <c r="F245" s="105" t="s">
        <v>17</v>
      </c>
      <c r="G245" s="1" t="n">
        <v>500</v>
      </c>
    </row>
    <row r="246" customFormat="false" ht="12.75" hidden="true" customHeight="true" outlineLevel="0" collapsed="false">
      <c r="A246" s="1" t="n">
        <v>2084</v>
      </c>
      <c r="B246" s="51" t="s">
        <v>394</v>
      </c>
      <c r="C246" s="51" t="s">
        <v>214</v>
      </c>
      <c r="D246" s="36" t="s">
        <v>8</v>
      </c>
      <c r="E246" s="37" t="n">
        <v>42193</v>
      </c>
      <c r="F246" s="16" t="s">
        <v>143</v>
      </c>
      <c r="G246" s="50" t="s">
        <v>70</v>
      </c>
    </row>
    <row r="247" customFormat="false" ht="12.75" hidden="true" customHeight="true" outlineLevel="0" collapsed="false">
      <c r="A247" s="11"/>
      <c r="B247" s="13" t="s">
        <v>395</v>
      </c>
      <c r="C247" s="13" t="s">
        <v>244</v>
      </c>
      <c r="D247" s="14" t="s">
        <v>8</v>
      </c>
      <c r="E247" s="33" t="n">
        <v>40909</v>
      </c>
      <c r="F247" s="16" t="s">
        <v>9</v>
      </c>
    </row>
    <row r="248" customFormat="false" ht="12.75" hidden="true" customHeight="true" outlineLevel="0" collapsed="false">
      <c r="A248" s="11"/>
      <c r="B248" s="60" t="s">
        <v>395</v>
      </c>
      <c r="C248" s="61" t="s">
        <v>199</v>
      </c>
      <c r="D248" s="14" t="s">
        <v>8</v>
      </c>
      <c r="E248" s="33" t="n">
        <v>40179</v>
      </c>
      <c r="F248" s="16" t="s">
        <v>9</v>
      </c>
    </row>
    <row r="249" customFormat="false" ht="12.75" hidden="true" customHeight="true" outlineLevel="0" collapsed="false">
      <c r="A249" s="1" t="n">
        <v>1062</v>
      </c>
      <c r="B249" s="51" t="s">
        <v>396</v>
      </c>
      <c r="C249" s="51" t="s">
        <v>246</v>
      </c>
      <c r="D249" s="36" t="s">
        <v>8</v>
      </c>
      <c r="E249" s="52" t="n">
        <v>42785</v>
      </c>
      <c r="F249" s="24" t="s">
        <v>20</v>
      </c>
      <c r="G249" s="50" t="n">
        <v>500</v>
      </c>
    </row>
    <row r="250" customFormat="false" ht="23.25" hidden="true" customHeight="true" outlineLevel="0" collapsed="false">
      <c r="A250" s="11"/>
      <c r="B250" s="82" t="s">
        <v>397</v>
      </c>
      <c r="C250" s="40" t="s">
        <v>398</v>
      </c>
      <c r="D250" s="14" t="s">
        <v>8</v>
      </c>
      <c r="E250" s="59" t="n">
        <v>41792</v>
      </c>
      <c r="F250" s="16" t="s">
        <v>17</v>
      </c>
    </row>
    <row r="251" customFormat="false" ht="12.75" hidden="true" customHeight="true" outlineLevel="0" collapsed="false">
      <c r="A251" s="17" t="n">
        <v>3082</v>
      </c>
      <c r="B251" s="23" t="s">
        <v>397</v>
      </c>
      <c r="C251" s="23" t="s">
        <v>398</v>
      </c>
      <c r="D251" s="24" t="s">
        <v>8</v>
      </c>
      <c r="E251" s="25" t="n">
        <v>41792</v>
      </c>
      <c r="F251" s="26" t="s">
        <v>17</v>
      </c>
      <c r="G251" s="22" t="n">
        <v>500</v>
      </c>
    </row>
    <row r="252" customFormat="false" ht="12.75" hidden="true" customHeight="true" outlineLevel="0" collapsed="false">
      <c r="A252" s="17" t="n">
        <v>3104</v>
      </c>
      <c r="B252" s="44" t="s">
        <v>399</v>
      </c>
      <c r="C252" s="44" t="s">
        <v>400</v>
      </c>
      <c r="D252" s="24" t="s">
        <v>8</v>
      </c>
      <c r="E252" s="45" t="n">
        <v>41465</v>
      </c>
      <c r="F252" s="26" t="s">
        <v>34</v>
      </c>
      <c r="G252" s="22" t="n">
        <v>500</v>
      </c>
    </row>
    <row r="253" customFormat="false" ht="23.25" hidden="true" customHeight="true" outlineLevel="0" collapsed="false">
      <c r="A253" s="11"/>
      <c r="B253" s="57" t="s">
        <v>401</v>
      </c>
      <c r="C253" s="58" t="s">
        <v>132</v>
      </c>
      <c r="D253" s="14" t="s">
        <v>8</v>
      </c>
      <c r="E253" s="59" t="n">
        <v>39148</v>
      </c>
      <c r="F253" s="16" t="s">
        <v>20</v>
      </c>
    </row>
    <row r="254" customFormat="false" ht="12.75" hidden="true" customHeight="true" outlineLevel="0" collapsed="false">
      <c r="A254" s="1" t="n">
        <v>2151</v>
      </c>
      <c r="B254" s="44" t="s">
        <v>402</v>
      </c>
      <c r="C254" s="44" t="s">
        <v>165</v>
      </c>
      <c r="D254" s="24" t="s">
        <v>8</v>
      </c>
      <c r="E254" s="45" t="n">
        <v>42419</v>
      </c>
      <c r="F254" s="26" t="s">
        <v>34</v>
      </c>
      <c r="G254" s="22" t="n">
        <v>500</v>
      </c>
    </row>
    <row r="255" customFormat="false" ht="12.75" hidden="true" customHeight="true" outlineLevel="0" collapsed="false">
      <c r="A255" s="11"/>
      <c r="B255" s="60" t="s">
        <v>403</v>
      </c>
      <c r="C255" s="61" t="s">
        <v>404</v>
      </c>
      <c r="D255" s="14" t="s">
        <v>8</v>
      </c>
      <c r="E255" s="33" t="n">
        <v>40179</v>
      </c>
      <c r="F255" s="16" t="s">
        <v>9</v>
      </c>
    </row>
    <row r="256" customFormat="false" ht="12.75" hidden="true" customHeight="true" outlineLevel="0" collapsed="false">
      <c r="A256" s="1" t="n">
        <v>2109</v>
      </c>
      <c r="B256" s="79" t="s">
        <v>405</v>
      </c>
      <c r="C256" s="79" t="s">
        <v>406</v>
      </c>
      <c r="D256" s="36" t="s">
        <v>8</v>
      </c>
      <c r="E256" s="37" t="n">
        <v>42031</v>
      </c>
      <c r="F256" s="16" t="s">
        <v>52</v>
      </c>
      <c r="G256" s="80" t="s">
        <v>70</v>
      </c>
    </row>
    <row r="257" customFormat="false" ht="12.75" hidden="true" customHeight="true" outlineLevel="0" collapsed="false">
      <c r="A257" s="1" t="n">
        <v>1018</v>
      </c>
      <c r="B257" s="51" t="s">
        <v>407</v>
      </c>
      <c r="C257" s="51" t="s">
        <v>408</v>
      </c>
      <c r="D257" s="36" t="s">
        <v>26</v>
      </c>
      <c r="E257" s="37" t="n">
        <v>43293</v>
      </c>
      <c r="F257" s="16" t="s">
        <v>143</v>
      </c>
      <c r="G257" s="50" t="s">
        <v>70</v>
      </c>
    </row>
    <row r="258" customFormat="false" ht="13.5" hidden="true" customHeight="true" outlineLevel="0" collapsed="false">
      <c r="A258" s="1" t="n">
        <v>1019</v>
      </c>
      <c r="B258" s="51" t="s">
        <v>407</v>
      </c>
      <c r="C258" s="51" t="s">
        <v>409</v>
      </c>
      <c r="D258" s="36" t="s">
        <v>8</v>
      </c>
      <c r="E258" s="37" t="n">
        <v>43293</v>
      </c>
      <c r="F258" s="16" t="s">
        <v>143</v>
      </c>
      <c r="G258" s="50" t="s">
        <v>70</v>
      </c>
    </row>
    <row r="259" customFormat="false" ht="12.75" hidden="true" customHeight="true" outlineLevel="0" collapsed="false">
      <c r="A259" s="133"/>
      <c r="B259" s="129" t="s">
        <v>410</v>
      </c>
      <c r="C259" s="134" t="s">
        <v>411</v>
      </c>
      <c r="D259" s="135" t="s">
        <v>8</v>
      </c>
      <c r="E259" s="136" t="n">
        <v>42350</v>
      </c>
      <c r="F259" s="137" t="s">
        <v>20</v>
      </c>
    </row>
    <row r="260" customFormat="false" ht="23.25" hidden="true" customHeight="true" outlineLevel="0" collapsed="false">
      <c r="A260" s="11"/>
      <c r="B260" s="82" t="s">
        <v>412</v>
      </c>
      <c r="C260" s="40" t="s">
        <v>413</v>
      </c>
      <c r="D260" s="14" t="s">
        <v>26</v>
      </c>
      <c r="E260" s="15" t="n">
        <v>42845</v>
      </c>
      <c r="F260" s="16" t="s">
        <v>34</v>
      </c>
    </row>
    <row r="261" customFormat="false" ht="12.75" hidden="true" customHeight="true" outlineLevel="0" collapsed="false">
      <c r="A261" s="1" t="n">
        <v>1075</v>
      </c>
      <c r="B261" s="44" t="s">
        <v>412</v>
      </c>
      <c r="C261" s="44" t="s">
        <v>413</v>
      </c>
      <c r="D261" s="24" t="s">
        <v>26</v>
      </c>
      <c r="E261" s="45" t="n">
        <v>42845</v>
      </c>
      <c r="F261" s="26" t="s">
        <v>34</v>
      </c>
      <c r="G261" s="22" t="n">
        <v>500</v>
      </c>
    </row>
    <row r="262" customFormat="false" ht="12.75" hidden="true" customHeight="true" outlineLevel="0" collapsed="false">
      <c r="A262" s="11"/>
      <c r="B262" s="12" t="s">
        <v>414</v>
      </c>
      <c r="C262" s="13" t="s">
        <v>107</v>
      </c>
      <c r="D262" s="14" t="s">
        <v>8</v>
      </c>
      <c r="E262" s="138" t="n">
        <v>42691</v>
      </c>
      <c r="F262" s="16" t="s">
        <v>9</v>
      </c>
    </row>
    <row r="263" customFormat="false" ht="12.75" hidden="true" customHeight="true" outlineLevel="0" collapsed="false">
      <c r="A263" s="1" t="n">
        <v>2128</v>
      </c>
      <c r="B263" s="53" t="s">
        <v>415</v>
      </c>
      <c r="C263" s="53" t="s">
        <v>107</v>
      </c>
      <c r="D263" s="24" t="s">
        <v>8</v>
      </c>
      <c r="E263" s="54" t="n">
        <v>42691</v>
      </c>
      <c r="F263" s="55" t="s">
        <v>9</v>
      </c>
      <c r="G263" s="56" t="n">
        <v>504</v>
      </c>
    </row>
    <row r="264" customFormat="false" ht="12.75" hidden="true" customHeight="true" outlineLevel="0" collapsed="false">
      <c r="A264" s="1" t="n">
        <v>1034</v>
      </c>
      <c r="B264" s="79" t="s">
        <v>416</v>
      </c>
      <c r="C264" s="79" t="s">
        <v>417</v>
      </c>
      <c r="D264" s="36" t="s">
        <v>8</v>
      </c>
      <c r="E264" s="37" t="n">
        <v>43113</v>
      </c>
      <c r="F264" s="16" t="s">
        <v>52</v>
      </c>
      <c r="G264" s="80" t="s">
        <v>70</v>
      </c>
    </row>
    <row r="265" customFormat="false" ht="23.25" hidden="true" customHeight="true" outlineLevel="0" collapsed="false">
      <c r="A265" s="11"/>
      <c r="B265" s="82" t="s">
        <v>418</v>
      </c>
      <c r="C265" s="40" t="s">
        <v>419</v>
      </c>
      <c r="D265" s="14" t="s">
        <v>8</v>
      </c>
      <c r="E265" s="59" t="n">
        <v>42178</v>
      </c>
      <c r="F265" s="16" t="s">
        <v>34</v>
      </c>
    </row>
    <row r="266" customFormat="false" ht="12.75" hidden="true" customHeight="true" outlineLevel="0" collapsed="false">
      <c r="A266" s="1" t="n">
        <v>2152</v>
      </c>
      <c r="B266" s="44" t="s">
        <v>418</v>
      </c>
      <c r="C266" s="44" t="s">
        <v>419</v>
      </c>
      <c r="D266" s="24" t="s">
        <v>8</v>
      </c>
      <c r="E266" s="45" t="n">
        <v>42178</v>
      </c>
      <c r="F266" s="26" t="s">
        <v>34</v>
      </c>
      <c r="G266" s="22" t="n">
        <v>500</v>
      </c>
    </row>
    <row r="267" customFormat="false" ht="23.25" hidden="true" customHeight="true" outlineLevel="0" collapsed="false">
      <c r="A267" s="11"/>
      <c r="B267" s="82" t="s">
        <v>418</v>
      </c>
      <c r="C267" s="40" t="s">
        <v>420</v>
      </c>
      <c r="D267" s="14" t="s">
        <v>26</v>
      </c>
      <c r="E267" s="59" t="n">
        <v>42185</v>
      </c>
      <c r="F267" s="16" t="s">
        <v>34</v>
      </c>
    </row>
    <row r="268" customFormat="false" ht="12.75" hidden="true" customHeight="true" outlineLevel="0" collapsed="false">
      <c r="A268" s="1" t="n">
        <v>2153</v>
      </c>
      <c r="B268" s="44" t="s">
        <v>418</v>
      </c>
      <c r="C268" s="44" t="s">
        <v>420</v>
      </c>
      <c r="D268" s="24" t="s">
        <v>26</v>
      </c>
      <c r="E268" s="45" t="n">
        <v>42185</v>
      </c>
      <c r="F268" s="26" t="s">
        <v>34</v>
      </c>
      <c r="G268" s="22" t="n">
        <v>500</v>
      </c>
    </row>
    <row r="269" customFormat="false" ht="12.75" hidden="true" customHeight="true" outlineLevel="0" collapsed="false">
      <c r="A269" s="11"/>
      <c r="B269" s="39" t="s">
        <v>421</v>
      </c>
      <c r="C269" s="129" t="s">
        <v>422</v>
      </c>
      <c r="D269" s="14" t="s">
        <v>8</v>
      </c>
      <c r="E269" s="41" t="n">
        <v>41230</v>
      </c>
      <c r="F269" s="16" t="s">
        <v>29</v>
      </c>
    </row>
    <row r="270" customFormat="false" ht="13.5" hidden="true" customHeight="true" outlineLevel="0" collapsed="false">
      <c r="A270" s="1" t="n">
        <v>4098</v>
      </c>
      <c r="B270" s="39" t="s">
        <v>421</v>
      </c>
      <c r="C270" s="129" t="s">
        <v>422</v>
      </c>
      <c r="D270" s="14" t="s">
        <v>8</v>
      </c>
      <c r="E270" s="41" t="n">
        <v>41230</v>
      </c>
      <c r="F270" s="16" t="s">
        <v>29</v>
      </c>
      <c r="G270" s="22" t="n">
        <v>500</v>
      </c>
    </row>
    <row r="271" customFormat="false" ht="23.25" hidden="true" customHeight="true" outlineLevel="0" collapsed="false">
      <c r="A271" s="11"/>
      <c r="B271" s="82" t="s">
        <v>423</v>
      </c>
      <c r="C271" s="40" t="s">
        <v>424</v>
      </c>
      <c r="D271" s="14" t="s">
        <v>8</v>
      </c>
      <c r="E271" s="59" t="n">
        <v>41662</v>
      </c>
      <c r="F271" s="16" t="s">
        <v>34</v>
      </c>
    </row>
    <row r="272" customFormat="false" ht="23.25" hidden="true" customHeight="true" outlineLevel="0" collapsed="false">
      <c r="A272" s="11"/>
      <c r="B272" s="40" t="s">
        <v>425</v>
      </c>
      <c r="C272" s="40" t="s">
        <v>127</v>
      </c>
      <c r="D272" s="14" t="s">
        <v>8</v>
      </c>
      <c r="E272" s="59" t="n">
        <v>41313</v>
      </c>
      <c r="F272" s="16" t="s">
        <v>52</v>
      </c>
    </row>
    <row r="273" customFormat="false" ht="12.75" hidden="true" customHeight="true" outlineLevel="0" collapsed="false">
      <c r="A273" s="1" t="n">
        <v>3075</v>
      </c>
      <c r="B273" s="79" t="s">
        <v>425</v>
      </c>
      <c r="C273" s="79" t="s">
        <v>127</v>
      </c>
      <c r="D273" s="36" t="s">
        <v>8</v>
      </c>
      <c r="E273" s="37" t="n">
        <v>41313</v>
      </c>
      <c r="F273" s="16" t="s">
        <v>52</v>
      </c>
      <c r="G273" s="80" t="s">
        <v>70</v>
      </c>
    </row>
    <row r="274" customFormat="false" ht="12.75" hidden="true" customHeight="true" outlineLevel="0" collapsed="false">
      <c r="A274" s="11"/>
      <c r="B274" s="60" t="s">
        <v>426</v>
      </c>
      <c r="C274" s="61" t="s">
        <v>427</v>
      </c>
      <c r="D274" s="14" t="s">
        <v>8</v>
      </c>
      <c r="E274" s="33" t="n">
        <v>40544</v>
      </c>
      <c r="F274" s="16" t="s">
        <v>9</v>
      </c>
    </row>
    <row r="275" customFormat="false" ht="23.25" hidden="true" customHeight="true" outlineLevel="0" collapsed="false">
      <c r="A275" s="11"/>
      <c r="B275" s="40" t="s">
        <v>428</v>
      </c>
      <c r="C275" s="40" t="s">
        <v>429</v>
      </c>
      <c r="D275" s="14" t="s">
        <v>8</v>
      </c>
      <c r="E275" s="59" t="n">
        <v>41098</v>
      </c>
      <c r="F275" s="16" t="s">
        <v>52</v>
      </c>
    </row>
    <row r="276" customFormat="false" ht="12.75" hidden="true" customHeight="true" outlineLevel="0" collapsed="false">
      <c r="A276" s="11"/>
      <c r="B276" s="60" t="s">
        <v>430</v>
      </c>
      <c r="C276" s="61" t="s">
        <v>246</v>
      </c>
      <c r="D276" s="14" t="s">
        <v>8</v>
      </c>
      <c r="E276" s="52" t="n">
        <v>40791</v>
      </c>
      <c r="F276" s="16" t="s">
        <v>9</v>
      </c>
    </row>
    <row r="277" customFormat="false" ht="12.75" hidden="true" customHeight="true" outlineLevel="0" collapsed="false">
      <c r="A277" s="1" t="n">
        <v>2117</v>
      </c>
      <c r="B277" s="44" t="s">
        <v>431</v>
      </c>
      <c r="C277" s="44" t="s">
        <v>112</v>
      </c>
      <c r="D277" s="24" t="s">
        <v>8</v>
      </c>
      <c r="E277" s="107" t="n">
        <v>42604</v>
      </c>
      <c r="F277" s="105" t="s">
        <v>17</v>
      </c>
      <c r="G277" s="1" t="n">
        <v>500</v>
      </c>
    </row>
    <row r="278" customFormat="false" ht="23.25" hidden="true" customHeight="true" outlineLevel="0" collapsed="false">
      <c r="A278" s="11"/>
      <c r="B278" s="82" t="s">
        <v>432</v>
      </c>
      <c r="C278" s="40" t="s">
        <v>376</v>
      </c>
      <c r="D278" s="14" t="s">
        <v>8</v>
      </c>
      <c r="E278" s="59" t="n">
        <v>41657</v>
      </c>
      <c r="F278" s="16" t="s">
        <v>34</v>
      </c>
    </row>
    <row r="279" customFormat="false" ht="12.75" hidden="true" customHeight="true" outlineLevel="0" collapsed="false">
      <c r="A279" s="17" t="n">
        <v>3105</v>
      </c>
      <c r="B279" s="44" t="s">
        <v>432</v>
      </c>
      <c r="C279" s="44" t="s">
        <v>376</v>
      </c>
      <c r="D279" s="24" t="s">
        <v>8</v>
      </c>
      <c r="E279" s="45" t="n">
        <v>41657</v>
      </c>
      <c r="F279" s="26" t="s">
        <v>34</v>
      </c>
      <c r="G279" s="22" t="n">
        <v>500</v>
      </c>
    </row>
    <row r="280" customFormat="false" ht="23.25" hidden="true" customHeight="true" outlineLevel="0" collapsed="false">
      <c r="A280" s="11"/>
      <c r="B280" s="40" t="s">
        <v>432</v>
      </c>
      <c r="C280" s="40" t="s">
        <v>433</v>
      </c>
      <c r="D280" s="14" t="s">
        <v>26</v>
      </c>
      <c r="E280" s="59" t="n">
        <v>40922</v>
      </c>
      <c r="F280" s="16" t="s">
        <v>34</v>
      </c>
    </row>
    <row r="281" customFormat="false" ht="12.75" hidden="true" customHeight="true" outlineLevel="0" collapsed="false">
      <c r="A281" s="42" t="n">
        <v>4073</v>
      </c>
      <c r="B281" s="44" t="s">
        <v>432</v>
      </c>
      <c r="C281" s="44" t="s">
        <v>433</v>
      </c>
      <c r="D281" s="24" t="s">
        <v>26</v>
      </c>
      <c r="E281" s="45" t="n">
        <v>40922</v>
      </c>
      <c r="F281" s="26" t="s">
        <v>34</v>
      </c>
      <c r="G281" s="22" t="n">
        <v>500</v>
      </c>
    </row>
    <row r="282" customFormat="false" ht="12.75" hidden="true" customHeight="true" outlineLevel="0" collapsed="false">
      <c r="A282" s="1" t="n">
        <v>2112</v>
      </c>
      <c r="B282" s="79" t="s">
        <v>434</v>
      </c>
      <c r="C282" s="79" t="s">
        <v>201</v>
      </c>
      <c r="D282" s="36" t="s">
        <v>8</v>
      </c>
      <c r="E282" s="37" t="n">
        <v>42010</v>
      </c>
      <c r="F282" s="16" t="s">
        <v>52</v>
      </c>
      <c r="G282" s="80" t="s">
        <v>70</v>
      </c>
    </row>
    <row r="283" customFormat="false" ht="23.25" hidden="true" customHeight="true" outlineLevel="0" collapsed="false">
      <c r="A283" s="11"/>
      <c r="B283" s="82" t="s">
        <v>435</v>
      </c>
      <c r="C283" s="40" t="s">
        <v>436</v>
      </c>
      <c r="D283" s="14" t="s">
        <v>8</v>
      </c>
      <c r="E283" s="59" t="n">
        <v>42320</v>
      </c>
      <c r="F283" s="16" t="s">
        <v>52</v>
      </c>
    </row>
    <row r="284" customFormat="false" ht="23.25" hidden="true" customHeight="true" outlineLevel="0" collapsed="false">
      <c r="A284" s="11"/>
      <c r="B284" s="82" t="s">
        <v>435</v>
      </c>
      <c r="C284" s="40" t="s">
        <v>437</v>
      </c>
      <c r="D284" s="14" t="s">
        <v>8</v>
      </c>
      <c r="E284" s="59" t="n">
        <v>42206</v>
      </c>
      <c r="F284" s="16" t="s">
        <v>52</v>
      </c>
    </row>
    <row r="285" customFormat="false" ht="12.75" hidden="true" customHeight="true" outlineLevel="0" collapsed="false">
      <c r="A285" s="1" t="n">
        <v>1065</v>
      </c>
      <c r="B285" s="79" t="s">
        <v>438</v>
      </c>
      <c r="C285" s="79" t="s">
        <v>201</v>
      </c>
      <c r="D285" s="36" t="s">
        <v>8</v>
      </c>
      <c r="E285" s="37" t="n">
        <v>42752</v>
      </c>
      <c r="F285" s="16" t="s">
        <v>52</v>
      </c>
      <c r="G285" s="80" t="s">
        <v>70</v>
      </c>
    </row>
    <row r="286" customFormat="false" ht="23.25" hidden="true" customHeight="true" outlineLevel="0" collapsed="false">
      <c r="A286" s="11"/>
      <c r="B286" s="39" t="s">
        <v>439</v>
      </c>
      <c r="C286" s="34" t="s">
        <v>440</v>
      </c>
      <c r="D286" s="14" t="s">
        <v>26</v>
      </c>
      <c r="E286" s="15" t="n">
        <v>43780</v>
      </c>
      <c r="F286" s="16" t="s">
        <v>29</v>
      </c>
    </row>
    <row r="287" customFormat="false" ht="23.25" hidden="true" customHeight="true" outlineLevel="0" collapsed="false">
      <c r="A287" s="11"/>
      <c r="B287" s="60" t="s">
        <v>441</v>
      </c>
      <c r="C287" s="61" t="s">
        <v>442</v>
      </c>
      <c r="D287" s="14" t="s">
        <v>8</v>
      </c>
      <c r="E287" s="59" t="n">
        <v>40488</v>
      </c>
      <c r="F287" s="16" t="s">
        <v>12</v>
      </c>
    </row>
    <row r="288" customFormat="false" ht="12.75" hidden="true" customHeight="true" outlineLevel="0" collapsed="false">
      <c r="A288" s="11"/>
      <c r="B288" s="139" t="s">
        <v>443</v>
      </c>
      <c r="C288" s="139" t="s">
        <v>444</v>
      </c>
      <c r="D288" s="14" t="s">
        <v>8</v>
      </c>
      <c r="E288" s="140" t="n">
        <v>41157</v>
      </c>
      <c r="F288" s="16" t="s">
        <v>52</v>
      </c>
    </row>
    <row r="289" customFormat="false" ht="12.75" hidden="true" customHeight="true" outlineLevel="0" collapsed="false">
      <c r="A289" s="1" t="n">
        <v>2154</v>
      </c>
      <c r="B289" s="44" t="s">
        <v>445</v>
      </c>
      <c r="C289" s="44" t="s">
        <v>222</v>
      </c>
      <c r="D289" s="24" t="s">
        <v>8</v>
      </c>
      <c r="E289" s="45" t="n">
        <v>42600</v>
      </c>
      <c r="F289" s="26" t="s">
        <v>34</v>
      </c>
      <c r="G289" s="22" t="n">
        <v>500</v>
      </c>
    </row>
    <row r="290" customFormat="false" ht="23.25" hidden="true" customHeight="true" outlineLevel="0" collapsed="false">
      <c r="A290" s="11"/>
      <c r="B290" s="61" t="s">
        <v>446</v>
      </c>
      <c r="C290" s="61" t="s">
        <v>447</v>
      </c>
      <c r="D290" s="14" t="s">
        <v>8</v>
      </c>
      <c r="E290" s="59" t="n">
        <v>41013</v>
      </c>
      <c r="F290" s="16" t="s">
        <v>12</v>
      </c>
    </row>
    <row r="291" customFormat="false" ht="23.25" hidden="true" customHeight="true" outlineLevel="0" collapsed="false">
      <c r="A291" s="11"/>
      <c r="B291" s="61" t="s">
        <v>446</v>
      </c>
      <c r="C291" s="61" t="s">
        <v>448</v>
      </c>
      <c r="D291" s="14" t="s">
        <v>26</v>
      </c>
      <c r="E291" s="59" t="n">
        <v>41013</v>
      </c>
      <c r="F291" s="16" t="s">
        <v>12</v>
      </c>
    </row>
    <row r="292" customFormat="false" ht="12.75" hidden="true" customHeight="true" outlineLevel="0" collapsed="false">
      <c r="A292" s="1" t="n">
        <v>2089</v>
      </c>
      <c r="B292" s="108" t="s">
        <v>449</v>
      </c>
      <c r="C292" s="115" t="s">
        <v>450</v>
      </c>
      <c r="D292" s="36" t="s">
        <v>8</v>
      </c>
      <c r="E292" s="37" t="n">
        <v>42161</v>
      </c>
      <c r="F292" s="16" t="s">
        <v>29</v>
      </c>
      <c r="G292" s="50" t="s">
        <v>70</v>
      </c>
    </row>
    <row r="293" customFormat="false" ht="23.25" hidden="true" customHeight="true" outlineLevel="0" collapsed="false">
      <c r="A293" s="11"/>
      <c r="B293" s="13" t="s">
        <v>451</v>
      </c>
      <c r="C293" s="13" t="s">
        <v>353</v>
      </c>
      <c r="D293" s="14" t="s">
        <v>8</v>
      </c>
      <c r="E293" s="59" t="n">
        <v>41415</v>
      </c>
      <c r="F293" s="16" t="s">
        <v>119</v>
      </c>
    </row>
    <row r="294" customFormat="false" ht="12.75" hidden="true" customHeight="true" outlineLevel="0" collapsed="false">
      <c r="A294" s="1" t="n">
        <v>2033</v>
      </c>
      <c r="B294" s="79" t="s">
        <v>452</v>
      </c>
      <c r="C294" s="79" t="s">
        <v>214</v>
      </c>
      <c r="D294" s="36" t="s">
        <v>8</v>
      </c>
      <c r="E294" s="37" t="n">
        <v>42492</v>
      </c>
      <c r="F294" s="16" t="s">
        <v>52</v>
      </c>
      <c r="G294" s="80" t="s">
        <v>70</v>
      </c>
    </row>
    <row r="295" customFormat="false" ht="23.25" hidden="true" customHeight="true" outlineLevel="0" collapsed="false">
      <c r="A295" s="11"/>
      <c r="B295" s="12" t="s">
        <v>453</v>
      </c>
      <c r="C295" s="13" t="s">
        <v>454</v>
      </c>
      <c r="D295" s="14" t="s">
        <v>8</v>
      </c>
      <c r="E295" s="59" t="n">
        <v>42052</v>
      </c>
      <c r="F295" s="16" t="s">
        <v>12</v>
      </c>
    </row>
    <row r="296" customFormat="false" ht="12.75" hidden="true" customHeight="true" outlineLevel="0" collapsed="false">
      <c r="A296" s="1" t="n">
        <v>2106</v>
      </c>
      <c r="B296" s="108" t="s">
        <v>453</v>
      </c>
      <c r="C296" s="108" t="s">
        <v>455</v>
      </c>
      <c r="D296" s="36" t="s">
        <v>8</v>
      </c>
      <c r="E296" s="37" t="n">
        <v>42052</v>
      </c>
      <c r="F296" s="109" t="s">
        <v>129</v>
      </c>
      <c r="G296" s="110" t="n">
        <v>500</v>
      </c>
    </row>
    <row r="297" customFormat="false" ht="23.25" hidden="true" customHeight="true" outlineLevel="0" collapsed="false">
      <c r="A297" s="11"/>
      <c r="B297" s="12" t="s">
        <v>456</v>
      </c>
      <c r="C297" s="13" t="s">
        <v>457</v>
      </c>
      <c r="D297" s="14" t="s">
        <v>8</v>
      </c>
      <c r="E297" s="59" t="n">
        <v>41888</v>
      </c>
      <c r="F297" s="16" t="s">
        <v>12</v>
      </c>
    </row>
    <row r="298" customFormat="false" ht="23.25" hidden="true" customHeight="true" outlineLevel="0" collapsed="false">
      <c r="A298" s="11"/>
      <c r="B298" s="82" t="s">
        <v>458</v>
      </c>
      <c r="C298" s="40" t="s">
        <v>290</v>
      </c>
      <c r="D298" s="14" t="s">
        <v>8</v>
      </c>
      <c r="E298" s="15" t="n">
        <v>42669</v>
      </c>
      <c r="F298" s="16" t="s">
        <v>34</v>
      </c>
    </row>
    <row r="299" customFormat="false" ht="12.75" hidden="true" customHeight="true" outlineLevel="0" collapsed="false">
      <c r="A299" s="1" t="n">
        <v>2156</v>
      </c>
      <c r="B299" s="44" t="s">
        <v>458</v>
      </c>
      <c r="C299" s="44" t="s">
        <v>290</v>
      </c>
      <c r="D299" s="24" t="s">
        <v>8</v>
      </c>
      <c r="E299" s="45" t="n">
        <v>42669</v>
      </c>
      <c r="F299" s="26" t="s">
        <v>34</v>
      </c>
      <c r="G299" s="22" t="n">
        <v>500</v>
      </c>
    </row>
    <row r="300" customFormat="false" ht="23.25" hidden="true" customHeight="true" outlineLevel="0" collapsed="false">
      <c r="A300" s="11"/>
      <c r="B300" s="82" t="s">
        <v>458</v>
      </c>
      <c r="C300" s="40" t="s">
        <v>459</v>
      </c>
      <c r="D300" s="14" t="s">
        <v>8</v>
      </c>
      <c r="E300" s="15" t="n">
        <v>42669</v>
      </c>
      <c r="F300" s="16" t="s">
        <v>34</v>
      </c>
    </row>
    <row r="301" customFormat="false" ht="12.75" hidden="true" customHeight="true" outlineLevel="0" collapsed="false">
      <c r="A301" s="1" t="n">
        <v>2155</v>
      </c>
      <c r="B301" s="44" t="s">
        <v>458</v>
      </c>
      <c r="C301" s="44" t="s">
        <v>459</v>
      </c>
      <c r="D301" s="24" t="s">
        <v>8</v>
      </c>
      <c r="E301" s="45" t="n">
        <v>42669</v>
      </c>
      <c r="F301" s="26" t="s">
        <v>34</v>
      </c>
      <c r="G301" s="22" t="n">
        <v>500</v>
      </c>
    </row>
    <row r="302" customFormat="false" ht="23.25" hidden="true" customHeight="true" outlineLevel="0" collapsed="false">
      <c r="A302" s="11"/>
      <c r="B302" s="82" t="s">
        <v>460</v>
      </c>
      <c r="C302" s="40" t="s">
        <v>461</v>
      </c>
      <c r="D302" s="14" t="s">
        <v>8</v>
      </c>
      <c r="E302" s="15" t="n">
        <v>42633</v>
      </c>
      <c r="F302" s="16" t="s">
        <v>129</v>
      </c>
    </row>
    <row r="303" customFormat="false" ht="12.75" hidden="true" customHeight="true" outlineLevel="0" collapsed="false">
      <c r="A303" s="1" t="n">
        <v>2019</v>
      </c>
      <c r="B303" s="108" t="s">
        <v>460</v>
      </c>
      <c r="C303" s="108" t="s">
        <v>461</v>
      </c>
      <c r="D303" s="36" t="s">
        <v>8</v>
      </c>
      <c r="E303" s="37" t="n">
        <v>42633</v>
      </c>
      <c r="F303" s="109" t="s">
        <v>129</v>
      </c>
      <c r="G303" s="110" t="n">
        <v>500</v>
      </c>
    </row>
    <row r="304" customFormat="false" ht="23.25" hidden="true" customHeight="true" outlineLevel="0" collapsed="false">
      <c r="A304" s="11"/>
      <c r="B304" s="82" t="s">
        <v>460</v>
      </c>
      <c r="C304" s="40" t="s">
        <v>187</v>
      </c>
      <c r="D304" s="14" t="s">
        <v>8</v>
      </c>
      <c r="E304" s="15" t="n">
        <v>43092</v>
      </c>
      <c r="F304" s="16" t="s">
        <v>129</v>
      </c>
    </row>
    <row r="305" customFormat="false" ht="12.75" hidden="true" customHeight="true" outlineLevel="0" collapsed="false">
      <c r="A305" s="1" t="n">
        <v>1036</v>
      </c>
      <c r="B305" s="108" t="s">
        <v>460</v>
      </c>
      <c r="C305" s="108" t="s">
        <v>187</v>
      </c>
      <c r="D305" s="36" t="s">
        <v>8</v>
      </c>
      <c r="E305" s="37" t="n">
        <v>43092</v>
      </c>
      <c r="F305" s="109" t="s">
        <v>129</v>
      </c>
      <c r="G305" s="110" t="n">
        <v>500</v>
      </c>
    </row>
    <row r="306" customFormat="false" ht="12.75" hidden="true" customHeight="true" outlineLevel="0" collapsed="false">
      <c r="A306" s="42" t="n">
        <v>4022</v>
      </c>
      <c r="B306" s="79" t="s">
        <v>462</v>
      </c>
      <c r="C306" s="79" t="s">
        <v>107</v>
      </c>
      <c r="D306" s="36" t="s">
        <v>8</v>
      </c>
      <c r="E306" s="37" t="n">
        <v>40870</v>
      </c>
      <c r="F306" s="16" t="s">
        <v>52</v>
      </c>
      <c r="G306" s="80" t="s">
        <v>70</v>
      </c>
    </row>
    <row r="307" customFormat="false" ht="12.75" hidden="true" customHeight="true" outlineLevel="0" collapsed="false">
      <c r="A307" s="1" t="n">
        <v>2118</v>
      </c>
      <c r="B307" s="44" t="s">
        <v>463</v>
      </c>
      <c r="C307" s="44" t="s">
        <v>464</v>
      </c>
      <c r="D307" s="24" t="s">
        <v>8</v>
      </c>
      <c r="E307" s="107" t="n">
        <v>42433</v>
      </c>
      <c r="F307" s="105" t="s">
        <v>17</v>
      </c>
      <c r="G307" s="1" t="n">
        <v>500</v>
      </c>
    </row>
    <row r="308" customFormat="false" ht="23.25" hidden="true" customHeight="true" outlineLevel="0" collapsed="false">
      <c r="A308" s="11"/>
      <c r="B308" s="82" t="s">
        <v>465</v>
      </c>
      <c r="C308" s="40" t="s">
        <v>217</v>
      </c>
      <c r="D308" s="14" t="s">
        <v>8</v>
      </c>
      <c r="E308" s="59" t="n">
        <v>41691</v>
      </c>
      <c r="F308" s="16" t="s">
        <v>17</v>
      </c>
    </row>
    <row r="309" customFormat="false" ht="12.75" hidden="true" customHeight="true" outlineLevel="0" collapsed="false">
      <c r="A309" s="17" t="n">
        <v>3083</v>
      </c>
      <c r="B309" s="23" t="s">
        <v>465</v>
      </c>
      <c r="C309" s="23" t="s">
        <v>217</v>
      </c>
      <c r="D309" s="24" t="s">
        <v>8</v>
      </c>
      <c r="E309" s="25" t="n">
        <v>41691</v>
      </c>
      <c r="F309" s="26" t="s">
        <v>17</v>
      </c>
      <c r="G309" s="22" t="n">
        <v>500</v>
      </c>
    </row>
    <row r="310" customFormat="false" ht="23.25" hidden="true" customHeight="true" outlineLevel="0" collapsed="false">
      <c r="A310" s="11"/>
      <c r="B310" s="60" t="s">
        <v>466</v>
      </c>
      <c r="C310" s="61" t="s">
        <v>467</v>
      </c>
      <c r="D310" s="14" t="s">
        <v>8</v>
      </c>
      <c r="E310" s="59" t="n">
        <v>40763</v>
      </c>
      <c r="F310" s="16" t="s">
        <v>12</v>
      </c>
    </row>
    <row r="311" customFormat="false" ht="23.25" hidden="true" customHeight="true" outlineLevel="0" collapsed="false">
      <c r="A311" s="11"/>
      <c r="B311" s="141" t="s">
        <v>466</v>
      </c>
      <c r="C311" s="142" t="s">
        <v>468</v>
      </c>
      <c r="D311" s="14" t="s">
        <v>8</v>
      </c>
      <c r="E311" s="59" t="n">
        <v>40763</v>
      </c>
      <c r="F311" s="16" t="s">
        <v>12</v>
      </c>
    </row>
    <row r="312" customFormat="false" ht="13.5" hidden="true" customHeight="true" outlineLevel="0" collapsed="false">
      <c r="A312" s="1" t="n">
        <v>1015</v>
      </c>
      <c r="B312" s="143" t="s">
        <v>466</v>
      </c>
      <c r="C312" s="115" t="s">
        <v>469</v>
      </c>
      <c r="D312" s="36" t="s">
        <v>8</v>
      </c>
      <c r="E312" s="37" t="n">
        <v>43390</v>
      </c>
      <c r="F312" s="16" t="s">
        <v>29</v>
      </c>
      <c r="G312" s="50" t="s">
        <v>70</v>
      </c>
    </row>
    <row r="313" customFormat="false" ht="13.5" hidden="true" customHeight="true" outlineLevel="0" collapsed="false">
      <c r="A313" s="11"/>
      <c r="B313" s="12" t="s">
        <v>470</v>
      </c>
      <c r="C313" s="122" t="s">
        <v>471</v>
      </c>
      <c r="D313" s="14" t="s">
        <v>26</v>
      </c>
      <c r="E313" s="52" t="n">
        <v>41807</v>
      </c>
      <c r="F313" s="16" t="s">
        <v>9</v>
      </c>
    </row>
    <row r="314" customFormat="false" ht="13.5" hidden="true" customHeight="true" outlineLevel="0" collapsed="false">
      <c r="A314" s="1" t="n">
        <v>2024</v>
      </c>
      <c r="B314" s="144" t="s">
        <v>472</v>
      </c>
      <c r="C314" s="144" t="s">
        <v>337</v>
      </c>
      <c r="D314" s="145" t="s">
        <v>26</v>
      </c>
      <c r="E314" s="37" t="n">
        <v>42568</v>
      </c>
      <c r="F314" s="146" t="s">
        <v>29</v>
      </c>
      <c r="G314" s="50" t="s">
        <v>70</v>
      </c>
    </row>
    <row r="315" customFormat="false" ht="13.5" hidden="true" customHeight="true" outlineLevel="0" collapsed="false">
      <c r="A315" s="11"/>
      <c r="B315" s="147" t="s">
        <v>473</v>
      </c>
      <c r="C315" s="148" t="s">
        <v>337</v>
      </c>
      <c r="D315" s="149" t="s">
        <v>8</v>
      </c>
      <c r="E315" s="150" t="n">
        <v>42568</v>
      </c>
      <c r="F315" s="146" t="s">
        <v>29</v>
      </c>
    </row>
    <row r="316" customFormat="false" ht="23.25" hidden="true" customHeight="true" outlineLevel="0" collapsed="false">
      <c r="A316" s="11"/>
      <c r="B316" s="151" t="s">
        <v>473</v>
      </c>
      <c r="C316" s="151" t="s">
        <v>474</v>
      </c>
      <c r="D316" s="14" t="s">
        <v>26</v>
      </c>
      <c r="E316" s="152" t="n">
        <v>43592</v>
      </c>
      <c r="F316" s="16" t="s">
        <v>29</v>
      </c>
    </row>
    <row r="317" customFormat="false" ht="23.25" hidden="true" customHeight="true" outlineLevel="0" collapsed="false">
      <c r="A317" s="11"/>
      <c r="B317" s="119" t="s">
        <v>475</v>
      </c>
      <c r="C317" s="119" t="s">
        <v>63</v>
      </c>
      <c r="D317" s="153" t="s">
        <v>8</v>
      </c>
      <c r="E317" s="118" t="n">
        <v>41109</v>
      </c>
      <c r="F317" s="16" t="s">
        <v>34</v>
      </c>
    </row>
    <row r="318" customFormat="false" ht="23.25" hidden="true" customHeight="true" outlineLevel="0" collapsed="false">
      <c r="A318" s="11"/>
      <c r="B318" s="154" t="s">
        <v>476</v>
      </c>
      <c r="C318" s="119" t="s">
        <v>23</v>
      </c>
      <c r="D318" s="85" t="s">
        <v>8</v>
      </c>
      <c r="E318" s="155" t="n">
        <v>43363</v>
      </c>
      <c r="F318" s="156" t="s">
        <v>34</v>
      </c>
    </row>
    <row r="319" customFormat="false" ht="12.75" hidden="true" customHeight="true" outlineLevel="0" collapsed="false">
      <c r="A319" s="11"/>
      <c r="B319" s="83" t="s">
        <v>477</v>
      </c>
      <c r="C319" s="84" t="s">
        <v>67</v>
      </c>
      <c r="D319" s="85" t="s">
        <v>8</v>
      </c>
      <c r="E319" s="86" t="n">
        <v>41640</v>
      </c>
      <c r="F319" s="72" t="s">
        <v>9</v>
      </c>
    </row>
    <row r="320" customFormat="false" ht="12.75" hidden="true" customHeight="true" outlineLevel="0" collapsed="false">
      <c r="A320" s="11"/>
      <c r="B320" s="13" t="s">
        <v>478</v>
      </c>
      <c r="C320" s="13" t="s">
        <v>246</v>
      </c>
      <c r="D320" s="14" t="s">
        <v>8</v>
      </c>
      <c r="E320" s="33" t="n">
        <v>40909</v>
      </c>
      <c r="F320" s="16" t="s">
        <v>9</v>
      </c>
    </row>
    <row r="321" customFormat="false" ht="23.25" hidden="true" customHeight="true" outlineLevel="0" collapsed="false">
      <c r="A321" s="11"/>
      <c r="B321" s="157" t="s">
        <v>479</v>
      </c>
      <c r="C321" s="87" t="s">
        <v>228</v>
      </c>
      <c r="D321" s="158" t="s">
        <v>8</v>
      </c>
      <c r="E321" s="159" t="n">
        <v>42570</v>
      </c>
      <c r="F321" s="90" t="s">
        <v>52</v>
      </c>
    </row>
    <row r="322" customFormat="false" ht="12.75" hidden="true" customHeight="true" outlineLevel="0" collapsed="false">
      <c r="A322" s="1" t="n">
        <v>2022</v>
      </c>
      <c r="B322" s="81" t="s">
        <v>479</v>
      </c>
      <c r="C322" s="81" t="s">
        <v>228</v>
      </c>
      <c r="D322" s="160" t="s">
        <v>8</v>
      </c>
      <c r="E322" s="71" t="n">
        <v>42570</v>
      </c>
      <c r="F322" s="72" t="s">
        <v>52</v>
      </c>
      <c r="G322" s="80" t="s">
        <v>70</v>
      </c>
    </row>
    <row r="323" customFormat="false" ht="23.25" hidden="true" customHeight="true" outlineLevel="0" collapsed="false">
      <c r="A323" s="11"/>
      <c r="B323" s="39" t="s">
        <v>480</v>
      </c>
      <c r="C323" s="34" t="s">
        <v>393</v>
      </c>
      <c r="D323" s="14" t="s">
        <v>8</v>
      </c>
      <c r="E323" s="15" t="n">
        <v>43148</v>
      </c>
      <c r="F323" s="16" t="s">
        <v>29</v>
      </c>
    </row>
    <row r="324" customFormat="false" ht="12.75" hidden="true" customHeight="true" outlineLevel="0" collapsed="false">
      <c r="A324" s="1" t="n">
        <v>1061</v>
      </c>
      <c r="B324" s="161" t="s">
        <v>481</v>
      </c>
      <c r="C324" s="161" t="s">
        <v>482</v>
      </c>
      <c r="D324" s="7" t="s">
        <v>8</v>
      </c>
      <c r="E324" s="162" t="n">
        <v>42788</v>
      </c>
      <c r="F324" s="90" t="s">
        <v>52</v>
      </c>
      <c r="G324" s="80" t="s">
        <v>70</v>
      </c>
    </row>
    <row r="325" customFormat="false" ht="23.25" hidden="true" customHeight="true" outlineLevel="0" collapsed="false">
      <c r="A325" s="11"/>
      <c r="B325" s="163" t="s">
        <v>483</v>
      </c>
      <c r="C325" s="164" t="s">
        <v>484</v>
      </c>
      <c r="D325" s="85" t="s">
        <v>8</v>
      </c>
      <c r="E325" s="118" t="n">
        <v>41670</v>
      </c>
      <c r="F325" s="72" t="s">
        <v>12</v>
      </c>
    </row>
    <row r="326" customFormat="false" ht="12.75" hidden="true" customHeight="true" outlineLevel="0" collapsed="false">
      <c r="A326" s="1" t="n">
        <v>2157</v>
      </c>
      <c r="B326" s="44" t="s">
        <v>485</v>
      </c>
      <c r="C326" s="44" t="s">
        <v>486</v>
      </c>
      <c r="D326" s="24" t="s">
        <v>8</v>
      </c>
      <c r="E326" s="45" t="n">
        <v>42483</v>
      </c>
      <c r="F326" s="26" t="s">
        <v>34</v>
      </c>
      <c r="G326" s="22" t="n">
        <v>500</v>
      </c>
    </row>
    <row r="327" customFormat="false" ht="23.25" hidden="true" customHeight="true" outlineLevel="0" collapsed="false">
      <c r="A327" s="11"/>
      <c r="B327" s="12" t="s">
        <v>485</v>
      </c>
      <c r="C327" s="13" t="s">
        <v>323</v>
      </c>
      <c r="D327" s="14" t="s">
        <v>8</v>
      </c>
      <c r="E327" s="15" t="n">
        <v>42684</v>
      </c>
      <c r="F327" s="16" t="s">
        <v>29</v>
      </c>
    </row>
    <row r="328" customFormat="false" ht="12.75" hidden="true" customHeight="true" outlineLevel="0" collapsed="false">
      <c r="A328" s="1" t="n">
        <v>1076</v>
      </c>
      <c r="B328" s="165" t="s">
        <v>487</v>
      </c>
      <c r="C328" s="165" t="s">
        <v>222</v>
      </c>
      <c r="D328" s="166" t="s">
        <v>8</v>
      </c>
      <c r="E328" s="167" t="n">
        <v>44000</v>
      </c>
      <c r="F328" s="168" t="s">
        <v>34</v>
      </c>
      <c r="G328" s="22" t="n">
        <v>500</v>
      </c>
    </row>
    <row r="329" customFormat="false" ht="12.75" hidden="true" customHeight="true" outlineLevel="0" collapsed="false">
      <c r="A329" s="1" t="n">
        <v>1043</v>
      </c>
      <c r="B329" s="46" t="s">
        <v>488</v>
      </c>
      <c r="C329" s="46" t="s">
        <v>489</v>
      </c>
      <c r="D329" s="70" t="s">
        <v>8</v>
      </c>
      <c r="E329" s="71" t="n">
        <v>43035</v>
      </c>
      <c r="F329" s="72" t="s">
        <v>143</v>
      </c>
      <c r="G329" s="50" t="s">
        <v>70</v>
      </c>
    </row>
    <row r="330" customFormat="false" ht="23.25" hidden="true" customHeight="true" outlineLevel="0" collapsed="false">
      <c r="A330" s="11"/>
      <c r="B330" s="82" t="s">
        <v>490</v>
      </c>
      <c r="C330" s="40" t="s">
        <v>491</v>
      </c>
      <c r="D330" s="14" t="s">
        <v>8</v>
      </c>
      <c r="E330" s="15" t="n">
        <v>42573</v>
      </c>
      <c r="F330" s="16" t="s">
        <v>17</v>
      </c>
    </row>
    <row r="331" customFormat="false" ht="23.25" hidden="true" customHeight="true" outlineLevel="0" collapsed="false">
      <c r="A331" s="11"/>
      <c r="B331" s="87" t="s">
        <v>492</v>
      </c>
      <c r="C331" s="87" t="s">
        <v>493</v>
      </c>
      <c r="D331" s="88" t="s">
        <v>8</v>
      </c>
      <c r="E331" s="89" t="n">
        <v>41308</v>
      </c>
      <c r="F331" s="169" t="s">
        <v>17</v>
      </c>
    </row>
    <row r="332" customFormat="false" ht="23.25" hidden="true" customHeight="true" outlineLevel="0" collapsed="false">
      <c r="A332" s="11"/>
      <c r="B332" s="82" t="s">
        <v>494</v>
      </c>
      <c r="C332" s="40" t="s">
        <v>495</v>
      </c>
      <c r="D332" s="14" t="s">
        <v>26</v>
      </c>
      <c r="E332" s="15" t="n">
        <v>42430</v>
      </c>
      <c r="F332" s="170" t="s">
        <v>34</v>
      </c>
    </row>
    <row r="333" customFormat="false" ht="12.75" hidden="true" customHeight="true" outlineLevel="0" collapsed="false">
      <c r="A333" s="1" t="n">
        <v>2031</v>
      </c>
      <c r="B333" s="46" t="s">
        <v>496</v>
      </c>
      <c r="C333" s="46" t="s">
        <v>497</v>
      </c>
      <c r="D333" s="171" t="s">
        <v>8</v>
      </c>
      <c r="E333" s="48" t="n">
        <v>42499</v>
      </c>
      <c r="F333" s="24" t="s">
        <v>20</v>
      </c>
      <c r="G333" s="50" t="n">
        <v>500</v>
      </c>
    </row>
    <row r="334" customFormat="false" ht="12.75" hidden="true" customHeight="true" outlineLevel="0" collapsed="false">
      <c r="A334" s="1" t="n">
        <v>2110</v>
      </c>
      <c r="B334" s="103" t="s">
        <v>498</v>
      </c>
      <c r="C334" s="103" t="s">
        <v>499</v>
      </c>
      <c r="D334" s="70" t="s">
        <v>8</v>
      </c>
      <c r="E334" s="172" t="n">
        <v>42026</v>
      </c>
      <c r="F334" s="173" t="s">
        <v>20</v>
      </c>
      <c r="G334" s="50" t="n">
        <v>500</v>
      </c>
    </row>
    <row r="335" customFormat="false" ht="23.25" hidden="true" customHeight="true" outlineLevel="0" collapsed="false">
      <c r="A335" s="11"/>
      <c r="B335" s="82" t="s">
        <v>500</v>
      </c>
      <c r="C335" s="40" t="s">
        <v>501</v>
      </c>
      <c r="D335" s="14" t="s">
        <v>8</v>
      </c>
      <c r="E335" s="59" t="n">
        <v>42327</v>
      </c>
      <c r="F335" s="16" t="s">
        <v>52</v>
      </c>
    </row>
    <row r="336" customFormat="false" ht="12.75" hidden="true" customHeight="true" outlineLevel="0" collapsed="false">
      <c r="A336" s="17" t="n">
        <v>3084</v>
      </c>
      <c r="B336" s="23" t="s">
        <v>502</v>
      </c>
      <c r="C336" s="23" t="s">
        <v>37</v>
      </c>
      <c r="D336" s="24" t="s">
        <v>8</v>
      </c>
      <c r="E336" s="25" t="n">
        <v>41762</v>
      </c>
      <c r="F336" s="26" t="s">
        <v>17</v>
      </c>
      <c r="G336" s="22" t="n">
        <v>500</v>
      </c>
    </row>
    <row r="337" customFormat="false" ht="12.75" hidden="true" customHeight="true" outlineLevel="0" collapsed="false">
      <c r="A337" s="11"/>
      <c r="B337" s="91" t="s">
        <v>503</v>
      </c>
      <c r="C337" s="92" t="s">
        <v>47</v>
      </c>
      <c r="D337" s="88" t="s">
        <v>8</v>
      </c>
      <c r="E337" s="174" t="n">
        <v>43831</v>
      </c>
      <c r="F337" s="90" t="s">
        <v>9</v>
      </c>
    </row>
    <row r="338" customFormat="false" ht="12.75" hidden="true" customHeight="true" outlineLevel="0" collapsed="false">
      <c r="A338" s="1" t="n">
        <v>3016</v>
      </c>
      <c r="B338" s="46" t="s">
        <v>504</v>
      </c>
      <c r="C338" s="46" t="s">
        <v>505</v>
      </c>
      <c r="D338" s="171" t="s">
        <v>8</v>
      </c>
      <c r="E338" s="52" t="n">
        <v>41902</v>
      </c>
      <c r="F338" s="49" t="s">
        <v>20</v>
      </c>
      <c r="G338" s="50" t="n">
        <v>500</v>
      </c>
    </row>
    <row r="339" customFormat="false" ht="12.75" hidden="true" customHeight="true" outlineLevel="0" collapsed="false">
      <c r="A339" s="1" t="n">
        <v>1077</v>
      </c>
      <c r="B339" s="44" t="s">
        <v>506</v>
      </c>
      <c r="C339" s="44" t="s">
        <v>79</v>
      </c>
      <c r="D339" s="36" t="s">
        <v>8</v>
      </c>
      <c r="E339" s="45" t="n">
        <v>42997</v>
      </c>
      <c r="F339" s="26" t="s">
        <v>34</v>
      </c>
      <c r="G339" s="22" t="n">
        <v>500</v>
      </c>
    </row>
    <row r="340" customFormat="false" ht="23.25" hidden="true" customHeight="true" outlineLevel="0" collapsed="false">
      <c r="A340" s="11"/>
      <c r="B340" s="101" t="s">
        <v>507</v>
      </c>
      <c r="C340" s="98" t="s">
        <v>508</v>
      </c>
      <c r="D340" s="29" t="s">
        <v>26</v>
      </c>
      <c r="E340" s="175" t="n">
        <v>42540</v>
      </c>
      <c r="F340" s="31" t="s">
        <v>34</v>
      </c>
    </row>
    <row r="341" customFormat="false" ht="13.5" hidden="true" customHeight="true" outlineLevel="0" collapsed="false">
      <c r="A341" s="11"/>
      <c r="B341" s="95" t="s">
        <v>509</v>
      </c>
      <c r="C341" s="95" t="s">
        <v>510</v>
      </c>
      <c r="D341" s="85" t="s">
        <v>26</v>
      </c>
      <c r="E341" s="176" t="n">
        <v>41657</v>
      </c>
      <c r="F341" s="72" t="s">
        <v>29</v>
      </c>
    </row>
    <row r="342" customFormat="false" ht="12.75" hidden="true" customHeight="true" outlineLevel="0" collapsed="false">
      <c r="A342" s="1" t="n">
        <v>3045</v>
      </c>
      <c r="B342" s="123" t="s">
        <v>509</v>
      </c>
      <c r="C342" s="123" t="s">
        <v>510</v>
      </c>
      <c r="D342" s="36" t="s">
        <v>26</v>
      </c>
      <c r="E342" s="37" t="n">
        <v>41657</v>
      </c>
      <c r="F342" s="16" t="s">
        <v>29</v>
      </c>
      <c r="G342" s="50" t="s">
        <v>70</v>
      </c>
    </row>
    <row r="343" customFormat="false" ht="12.75" hidden="true" customHeight="true" outlineLevel="0" collapsed="false">
      <c r="A343" s="11"/>
      <c r="B343" s="177" t="s">
        <v>511</v>
      </c>
      <c r="C343" s="177" t="s">
        <v>112</v>
      </c>
      <c r="D343" s="178" t="s">
        <v>8</v>
      </c>
      <c r="E343" s="179" t="n">
        <v>41608</v>
      </c>
      <c r="F343" s="31" t="s">
        <v>9</v>
      </c>
    </row>
    <row r="344" customFormat="false" ht="12.75" hidden="true" customHeight="true" outlineLevel="0" collapsed="false">
      <c r="A344" s="1" t="n">
        <v>1030</v>
      </c>
      <c r="B344" s="51" t="s">
        <v>512</v>
      </c>
      <c r="C344" s="51" t="s">
        <v>513</v>
      </c>
      <c r="D344" s="36" t="s">
        <v>8</v>
      </c>
      <c r="E344" s="37" t="n">
        <v>43154</v>
      </c>
      <c r="F344" s="16" t="s">
        <v>143</v>
      </c>
      <c r="G344" s="50" t="s">
        <v>70</v>
      </c>
    </row>
    <row r="345" customFormat="false" ht="12.75" hidden="true" customHeight="true" outlineLevel="0" collapsed="false">
      <c r="A345" s="11"/>
      <c r="B345" s="92" t="s">
        <v>514</v>
      </c>
      <c r="C345" s="92" t="s">
        <v>515</v>
      </c>
      <c r="D345" s="158" t="s">
        <v>8</v>
      </c>
      <c r="E345" s="93" t="n">
        <v>40909</v>
      </c>
      <c r="F345" s="90" t="s">
        <v>9</v>
      </c>
    </row>
    <row r="346" customFormat="false" ht="23.25" hidden="true" customHeight="true" outlineLevel="0" collapsed="false">
      <c r="A346" s="11"/>
      <c r="B346" s="180" t="s">
        <v>514</v>
      </c>
      <c r="C346" s="180" t="s">
        <v>516</v>
      </c>
      <c r="D346" s="14" t="s">
        <v>8</v>
      </c>
      <c r="E346" s="118" t="n">
        <v>41104</v>
      </c>
      <c r="F346" s="16" t="s">
        <v>20</v>
      </c>
    </row>
    <row r="347" customFormat="false" ht="23.25" hidden="true" customHeight="true" outlineLevel="0" collapsed="false">
      <c r="A347" s="11"/>
      <c r="B347" s="154" t="s">
        <v>517</v>
      </c>
      <c r="C347" s="119" t="s">
        <v>518</v>
      </c>
      <c r="D347" s="85" t="s">
        <v>8</v>
      </c>
      <c r="E347" s="155" t="n">
        <v>42634</v>
      </c>
      <c r="F347" s="16" t="s">
        <v>143</v>
      </c>
    </row>
    <row r="348" customFormat="false" ht="13.5" hidden="true" customHeight="true" outlineLevel="0" collapsed="false">
      <c r="A348" s="11"/>
      <c r="B348" s="39" t="s">
        <v>519</v>
      </c>
      <c r="C348" s="39" t="s">
        <v>520</v>
      </c>
      <c r="D348" s="14" t="s">
        <v>8</v>
      </c>
      <c r="E348" s="73" t="n">
        <v>42113</v>
      </c>
      <c r="F348" s="170" t="s">
        <v>29</v>
      </c>
    </row>
    <row r="349" customFormat="false" ht="23.25" hidden="true" customHeight="true" outlineLevel="0" collapsed="false">
      <c r="A349" s="11"/>
      <c r="B349" s="13" t="s">
        <v>519</v>
      </c>
      <c r="C349" s="13" t="s">
        <v>521</v>
      </c>
      <c r="D349" s="14" t="s">
        <v>8</v>
      </c>
      <c r="E349" s="59" t="n">
        <v>41299</v>
      </c>
      <c r="F349" s="170" t="s">
        <v>29</v>
      </c>
    </row>
    <row r="350" customFormat="false" ht="23.25" hidden="true" customHeight="true" outlineLevel="0" collapsed="false">
      <c r="A350" s="11"/>
      <c r="B350" s="91" t="s">
        <v>522</v>
      </c>
      <c r="C350" s="92" t="s">
        <v>61</v>
      </c>
      <c r="D350" s="88" t="s">
        <v>8</v>
      </c>
      <c r="E350" s="89" t="n">
        <v>41953</v>
      </c>
      <c r="F350" s="90" t="s">
        <v>29</v>
      </c>
    </row>
    <row r="351" customFormat="false" ht="12.75" hidden="true" customHeight="true" outlineLevel="0" collapsed="false">
      <c r="A351" s="1" t="n">
        <v>3008</v>
      </c>
      <c r="B351" s="181" t="s">
        <v>522</v>
      </c>
      <c r="C351" s="182" t="s">
        <v>61</v>
      </c>
      <c r="D351" s="70" t="s">
        <v>8</v>
      </c>
      <c r="E351" s="71" t="n">
        <v>41953</v>
      </c>
      <c r="F351" s="72" t="s">
        <v>29</v>
      </c>
      <c r="G351" s="50" t="s">
        <v>70</v>
      </c>
    </row>
    <row r="352" customFormat="false" ht="13.5" hidden="true" customHeight="true" outlineLevel="0" collapsed="false">
      <c r="A352" s="11"/>
      <c r="B352" s="34" t="s">
        <v>523</v>
      </c>
      <c r="C352" s="39" t="s">
        <v>14</v>
      </c>
      <c r="D352" s="14" t="s">
        <v>8</v>
      </c>
      <c r="E352" s="73" t="n">
        <v>41648</v>
      </c>
      <c r="F352" s="16" t="s">
        <v>29</v>
      </c>
    </row>
    <row r="353" customFormat="false" ht="12.75" hidden="true" customHeight="true" outlineLevel="0" collapsed="false">
      <c r="A353" s="11"/>
      <c r="B353" s="183" t="s">
        <v>524</v>
      </c>
      <c r="C353" s="183" t="s">
        <v>525</v>
      </c>
      <c r="D353" s="184" t="s">
        <v>8</v>
      </c>
      <c r="E353" s="185" t="n">
        <v>41859</v>
      </c>
      <c r="F353" s="121" t="s">
        <v>20</v>
      </c>
    </row>
    <row r="354" customFormat="false" ht="13.5" hidden="true" customHeight="true" outlineLevel="0" collapsed="false">
      <c r="A354" s="11"/>
      <c r="B354" s="95" t="s">
        <v>526</v>
      </c>
      <c r="C354" s="95" t="s">
        <v>527</v>
      </c>
      <c r="D354" s="153" t="s">
        <v>8</v>
      </c>
      <c r="E354" s="73" t="n">
        <v>41831</v>
      </c>
      <c r="F354" s="16" t="s">
        <v>29</v>
      </c>
    </row>
    <row r="355" customFormat="false" ht="13.5" hidden="true" customHeight="true" outlineLevel="0" collapsed="false">
      <c r="A355" s="1" t="n">
        <v>2158</v>
      </c>
      <c r="B355" s="44" t="s">
        <v>528</v>
      </c>
      <c r="C355" s="44" t="s">
        <v>529</v>
      </c>
      <c r="D355" s="24" t="s">
        <v>8</v>
      </c>
      <c r="E355" s="45" t="n">
        <v>42066</v>
      </c>
      <c r="F355" s="186" t="s">
        <v>34</v>
      </c>
      <c r="G355" s="22" t="n">
        <v>500</v>
      </c>
    </row>
    <row r="356" customFormat="false" ht="12.75" hidden="true" customHeight="true" outlineLevel="0" collapsed="false">
      <c r="A356" s="17" t="n">
        <v>3106</v>
      </c>
      <c r="B356" s="165" t="s">
        <v>530</v>
      </c>
      <c r="C356" s="165" t="s">
        <v>531</v>
      </c>
      <c r="D356" s="187" t="s">
        <v>26</v>
      </c>
      <c r="E356" s="167" t="n">
        <v>41787</v>
      </c>
      <c r="F356" s="168" t="s">
        <v>34</v>
      </c>
      <c r="G356" s="22" t="n">
        <v>500</v>
      </c>
    </row>
    <row r="357" customFormat="false" ht="23.25" hidden="true" customHeight="true" outlineLevel="0" collapsed="false">
      <c r="A357" s="11"/>
      <c r="B357" s="154" t="s">
        <v>532</v>
      </c>
      <c r="C357" s="119" t="s">
        <v>533</v>
      </c>
      <c r="D357" s="14" t="s">
        <v>26</v>
      </c>
      <c r="E357" s="59" t="n">
        <v>41910</v>
      </c>
      <c r="F357" s="90" t="s">
        <v>34</v>
      </c>
    </row>
    <row r="358" customFormat="false" ht="12.75" hidden="true" customHeight="true" outlineLevel="0" collapsed="false">
      <c r="A358" s="11"/>
      <c r="B358" s="60" t="s">
        <v>534</v>
      </c>
      <c r="C358" s="61" t="s">
        <v>41</v>
      </c>
      <c r="D358" s="14" t="s">
        <v>8</v>
      </c>
      <c r="E358" s="33" t="n">
        <v>39448</v>
      </c>
      <c r="F358" s="90" t="s">
        <v>9</v>
      </c>
    </row>
    <row r="359" customFormat="false" ht="23.25" hidden="true" customHeight="true" outlineLevel="0" collapsed="false">
      <c r="A359" s="11"/>
      <c r="B359" s="119" t="s">
        <v>535</v>
      </c>
      <c r="C359" s="119" t="s">
        <v>536</v>
      </c>
      <c r="D359" s="14" t="s">
        <v>8</v>
      </c>
      <c r="E359" s="59" t="n">
        <v>41371</v>
      </c>
      <c r="F359" s="90" t="s">
        <v>52</v>
      </c>
    </row>
    <row r="360" customFormat="false" ht="12.75" hidden="true" customHeight="true" outlineLevel="0" collapsed="false">
      <c r="A360" s="1" t="n">
        <v>3070</v>
      </c>
      <c r="B360" s="79" t="s">
        <v>535</v>
      </c>
      <c r="C360" s="79" t="s">
        <v>536</v>
      </c>
      <c r="D360" s="188" t="s">
        <v>8</v>
      </c>
      <c r="E360" s="37" t="n">
        <v>41371</v>
      </c>
      <c r="F360" s="90" t="s">
        <v>52</v>
      </c>
      <c r="G360" s="80" t="s">
        <v>70</v>
      </c>
    </row>
    <row r="361" customFormat="false" ht="23.25" hidden="true" customHeight="true" outlineLevel="0" collapsed="false">
      <c r="A361" s="11"/>
      <c r="B361" s="82" t="s">
        <v>537</v>
      </c>
      <c r="C361" s="40" t="s">
        <v>14</v>
      </c>
      <c r="D361" s="14" t="s">
        <v>8</v>
      </c>
      <c r="E361" s="15" t="n">
        <v>42623</v>
      </c>
      <c r="F361" s="16" t="s">
        <v>52</v>
      </c>
    </row>
    <row r="362" customFormat="false" ht="13.5" hidden="true" customHeight="true" outlineLevel="0" collapsed="false">
      <c r="A362" s="11"/>
      <c r="B362" s="39" t="s">
        <v>538</v>
      </c>
      <c r="C362" s="39" t="s">
        <v>539</v>
      </c>
      <c r="D362" s="14" t="s">
        <v>8</v>
      </c>
      <c r="E362" s="73" t="n">
        <v>40849</v>
      </c>
      <c r="F362" s="16" t="s">
        <v>29</v>
      </c>
    </row>
    <row r="363" customFormat="false" ht="23.25" hidden="true" customHeight="true" outlineLevel="0" collapsed="false">
      <c r="A363" s="11"/>
      <c r="B363" s="82" t="s">
        <v>540</v>
      </c>
      <c r="C363" s="40" t="s">
        <v>541</v>
      </c>
      <c r="D363" s="14" t="s">
        <v>8</v>
      </c>
      <c r="E363" s="15" t="n">
        <v>42484</v>
      </c>
      <c r="F363" s="16" t="s">
        <v>34</v>
      </c>
    </row>
    <row r="364" customFormat="false" ht="12.75" hidden="true" customHeight="true" outlineLevel="0" collapsed="false">
      <c r="A364" s="1" t="n">
        <v>2159</v>
      </c>
      <c r="B364" s="65" t="s">
        <v>540</v>
      </c>
      <c r="C364" s="65" t="s">
        <v>541</v>
      </c>
      <c r="D364" s="19" t="s">
        <v>8</v>
      </c>
      <c r="E364" s="45" t="n">
        <v>42484</v>
      </c>
      <c r="F364" s="26" t="s">
        <v>34</v>
      </c>
      <c r="G364" s="22" t="n">
        <v>500</v>
      </c>
    </row>
    <row r="365" customFormat="false" ht="23.25" hidden="true" customHeight="true" outlineLevel="0" collapsed="false">
      <c r="A365" s="11"/>
      <c r="B365" s="82" t="s">
        <v>540</v>
      </c>
      <c r="C365" s="40" t="s">
        <v>542</v>
      </c>
      <c r="D365" s="14" t="s">
        <v>8</v>
      </c>
      <c r="E365" s="59" t="n">
        <v>41700</v>
      </c>
      <c r="F365" s="169" t="s">
        <v>34</v>
      </c>
    </row>
    <row r="366" customFormat="false" ht="12.75" hidden="true" customHeight="true" outlineLevel="0" collapsed="false">
      <c r="A366" s="17" t="n">
        <v>3107</v>
      </c>
      <c r="B366" s="65" t="s">
        <v>540</v>
      </c>
      <c r="C366" s="65" t="s">
        <v>542</v>
      </c>
      <c r="D366" s="19" t="s">
        <v>8</v>
      </c>
      <c r="E366" s="66" t="n">
        <v>41700</v>
      </c>
      <c r="F366" s="189" t="s">
        <v>34</v>
      </c>
      <c r="G366" s="22" t="n">
        <v>500</v>
      </c>
    </row>
    <row r="367" customFormat="false" ht="23.25" hidden="true" customHeight="true" outlineLevel="0" collapsed="false">
      <c r="A367" s="11"/>
      <c r="B367" s="82" t="s">
        <v>543</v>
      </c>
      <c r="C367" s="40" t="s">
        <v>22</v>
      </c>
      <c r="D367" s="14" t="s">
        <v>8</v>
      </c>
      <c r="E367" s="15" t="n">
        <v>42581</v>
      </c>
      <c r="F367" s="156" t="s">
        <v>34</v>
      </c>
    </row>
    <row r="368" customFormat="false" ht="12.75" hidden="true" customHeight="true" outlineLevel="0" collapsed="false">
      <c r="A368" s="11"/>
      <c r="B368" s="129" t="s">
        <v>544</v>
      </c>
      <c r="C368" s="129" t="s">
        <v>545</v>
      </c>
      <c r="D368" s="14" t="s">
        <v>8</v>
      </c>
      <c r="E368" s="130" t="n">
        <v>42474</v>
      </c>
      <c r="F368" s="16" t="s">
        <v>129</v>
      </c>
    </row>
    <row r="369" customFormat="false" ht="12.75" hidden="true" customHeight="true" outlineLevel="0" collapsed="false">
      <c r="A369" s="1" t="n">
        <v>2034</v>
      </c>
      <c r="B369" s="190" t="s">
        <v>544</v>
      </c>
      <c r="C369" s="190" t="s">
        <v>545</v>
      </c>
      <c r="D369" s="7" t="s">
        <v>8</v>
      </c>
      <c r="E369" s="162" t="n">
        <v>42474</v>
      </c>
      <c r="F369" s="191" t="s">
        <v>129</v>
      </c>
      <c r="G369" s="110" t="n">
        <v>500</v>
      </c>
    </row>
    <row r="370" customFormat="false" ht="13.5" hidden="true" customHeight="true" outlineLevel="0" collapsed="false">
      <c r="A370" s="11"/>
      <c r="B370" s="34" t="s">
        <v>546</v>
      </c>
      <c r="C370" s="39" t="s">
        <v>75</v>
      </c>
      <c r="D370" s="14" t="s">
        <v>8</v>
      </c>
      <c r="E370" s="73" t="n">
        <v>41705</v>
      </c>
      <c r="F370" s="170" t="s">
        <v>29</v>
      </c>
    </row>
    <row r="371" customFormat="false" ht="12.75" hidden="true" customHeight="true" outlineLevel="0" collapsed="false">
      <c r="A371" s="1" t="n">
        <v>2119</v>
      </c>
      <c r="B371" s="44" t="s">
        <v>547</v>
      </c>
      <c r="C371" s="44" t="s">
        <v>217</v>
      </c>
      <c r="D371" s="24" t="s">
        <v>8</v>
      </c>
      <c r="E371" s="104" t="n">
        <v>42616</v>
      </c>
      <c r="F371" s="192" t="s">
        <v>17</v>
      </c>
      <c r="G371" s="1" t="n">
        <v>500</v>
      </c>
    </row>
    <row r="372" customFormat="false" ht="23.25" hidden="true" customHeight="true" outlineLevel="0" collapsed="false">
      <c r="A372" s="11"/>
      <c r="B372" s="163" t="s">
        <v>548</v>
      </c>
      <c r="C372" s="164" t="s">
        <v>549</v>
      </c>
      <c r="D372" s="85" t="s">
        <v>8</v>
      </c>
      <c r="E372" s="118" t="n">
        <v>42031</v>
      </c>
      <c r="F372" s="156" t="s">
        <v>12</v>
      </c>
    </row>
    <row r="373" customFormat="false" ht="12.75" hidden="true" customHeight="true" outlineLevel="0" collapsed="false">
      <c r="A373" s="1" t="n">
        <v>2101</v>
      </c>
      <c r="B373" s="35" t="s">
        <v>550</v>
      </c>
      <c r="C373" s="34" t="s">
        <v>551</v>
      </c>
      <c r="D373" s="36" t="s">
        <v>26</v>
      </c>
      <c r="E373" s="37" t="n">
        <v>42069</v>
      </c>
      <c r="F373" s="16" t="s">
        <v>12</v>
      </c>
      <c r="G373" s="38" t="n">
        <v>500</v>
      </c>
    </row>
    <row r="374" customFormat="false" ht="12.75" hidden="true" customHeight="true" outlineLevel="0" collapsed="false">
      <c r="A374" s="1" t="n">
        <v>2160</v>
      </c>
      <c r="B374" s="165" t="s">
        <v>552</v>
      </c>
      <c r="C374" s="165" t="s">
        <v>61</v>
      </c>
      <c r="D374" s="121" t="s">
        <v>8</v>
      </c>
      <c r="E374" s="45" t="n">
        <v>42055</v>
      </c>
      <c r="F374" s="193" t="s">
        <v>34</v>
      </c>
      <c r="G374" s="22" t="n">
        <v>500</v>
      </c>
    </row>
    <row r="375" customFormat="false" ht="13.5" hidden="true" customHeight="true" outlineLevel="0" collapsed="false">
      <c r="A375" s="11"/>
      <c r="B375" s="57" t="s">
        <v>552</v>
      </c>
      <c r="C375" s="58" t="s">
        <v>553</v>
      </c>
      <c r="D375" s="14" t="s">
        <v>8</v>
      </c>
      <c r="E375" s="59" t="n">
        <v>40181</v>
      </c>
      <c r="F375" s="170" t="s">
        <v>34</v>
      </c>
    </row>
    <row r="376" customFormat="false" ht="12.75" hidden="true" customHeight="true" outlineLevel="0" collapsed="false">
      <c r="A376" s="42" t="n">
        <v>4033</v>
      </c>
      <c r="B376" s="108" t="s">
        <v>552</v>
      </c>
      <c r="C376" s="115" t="s">
        <v>554</v>
      </c>
      <c r="D376" s="36" t="s">
        <v>8</v>
      </c>
      <c r="E376" s="37" t="n">
        <v>40701</v>
      </c>
      <c r="F376" s="170" t="s">
        <v>29</v>
      </c>
      <c r="G376" s="50" t="s">
        <v>70</v>
      </c>
    </row>
    <row r="377" customFormat="false" ht="23.25" hidden="true" customHeight="true" outlineLevel="0" collapsed="false">
      <c r="A377" s="11"/>
      <c r="B377" s="82" t="s">
        <v>555</v>
      </c>
      <c r="C377" s="40" t="s">
        <v>556</v>
      </c>
      <c r="D377" s="14" t="s">
        <v>8</v>
      </c>
      <c r="E377" s="15" t="n">
        <v>42474</v>
      </c>
      <c r="F377" s="170" t="s">
        <v>52</v>
      </c>
    </row>
    <row r="378" customFormat="false" ht="12.75" hidden="true" customHeight="true" outlineLevel="0" collapsed="false">
      <c r="A378" s="1" t="n">
        <v>2035</v>
      </c>
      <c r="B378" s="79" t="s">
        <v>555</v>
      </c>
      <c r="C378" s="79" t="s">
        <v>556</v>
      </c>
      <c r="D378" s="36" t="s">
        <v>8</v>
      </c>
      <c r="E378" s="37" t="n">
        <v>42474</v>
      </c>
      <c r="F378" s="170" t="s">
        <v>52</v>
      </c>
      <c r="G378" s="80" t="s">
        <v>557</v>
      </c>
    </row>
    <row r="379" customFormat="false" ht="23.25" hidden="true" customHeight="true" outlineLevel="0" collapsed="false">
      <c r="A379" s="11"/>
      <c r="B379" s="157" t="s">
        <v>558</v>
      </c>
      <c r="C379" s="87" t="s">
        <v>559</v>
      </c>
      <c r="D379" s="158" t="s">
        <v>8</v>
      </c>
      <c r="E379" s="89" t="n">
        <v>40086</v>
      </c>
      <c r="F379" s="16" t="s">
        <v>20</v>
      </c>
    </row>
    <row r="380" customFormat="false" ht="13.5" hidden="true" customHeight="true" outlineLevel="0" collapsed="false">
      <c r="A380" s="11"/>
      <c r="B380" s="77" t="s">
        <v>560</v>
      </c>
      <c r="C380" s="77" t="s">
        <v>561</v>
      </c>
      <c r="D380" s="85" t="s">
        <v>8</v>
      </c>
      <c r="E380" s="176" t="n">
        <v>42239</v>
      </c>
      <c r="F380" s="16" t="s">
        <v>29</v>
      </c>
    </row>
    <row r="381" customFormat="false" ht="23.25" hidden="true" customHeight="true" outlineLevel="0" collapsed="false">
      <c r="A381" s="11"/>
      <c r="B381" s="154" t="s">
        <v>562</v>
      </c>
      <c r="C381" s="119" t="s">
        <v>520</v>
      </c>
      <c r="D381" s="85" t="s">
        <v>8</v>
      </c>
      <c r="E381" s="155" t="n">
        <v>42927</v>
      </c>
      <c r="F381" s="156" t="s">
        <v>34</v>
      </c>
    </row>
    <row r="382" customFormat="false" ht="12.75" hidden="true" customHeight="true" outlineLevel="0" collapsed="false">
      <c r="A382" s="1" t="n">
        <v>1078</v>
      </c>
      <c r="B382" s="44" t="s">
        <v>562</v>
      </c>
      <c r="C382" s="44" t="s">
        <v>520</v>
      </c>
      <c r="D382" s="36" t="s">
        <v>8</v>
      </c>
      <c r="E382" s="45" t="n">
        <v>42927</v>
      </c>
      <c r="F382" s="26" t="s">
        <v>34</v>
      </c>
      <c r="G382" s="22" t="n">
        <v>500</v>
      </c>
    </row>
    <row r="383" customFormat="false" ht="12.75" hidden="true" customHeight="true" outlineLevel="0" collapsed="false">
      <c r="A383" s="42" t="n">
        <v>4062</v>
      </c>
      <c r="B383" s="194" t="s">
        <v>563</v>
      </c>
      <c r="C383" s="194" t="s">
        <v>531</v>
      </c>
      <c r="D383" s="187" t="s">
        <v>26</v>
      </c>
      <c r="E383" s="195" t="n">
        <v>40738</v>
      </c>
      <c r="F383" s="168" t="s">
        <v>9</v>
      </c>
      <c r="G383" s="22" t="n">
        <v>500</v>
      </c>
    </row>
    <row r="384" customFormat="false" ht="12.75" hidden="true" customHeight="true" outlineLevel="0" collapsed="false">
      <c r="A384" s="1" t="n">
        <v>3026</v>
      </c>
      <c r="B384" s="196" t="s">
        <v>564</v>
      </c>
      <c r="C384" s="46" t="s">
        <v>565</v>
      </c>
      <c r="D384" s="36" t="s">
        <v>8</v>
      </c>
      <c r="E384" s="37" t="n">
        <v>41786</v>
      </c>
      <c r="F384" s="16" t="s">
        <v>197</v>
      </c>
      <c r="G384" s="50" t="n">
        <v>500</v>
      </c>
    </row>
    <row r="385" customFormat="false" ht="12.75" hidden="true" customHeight="true" outlineLevel="0" collapsed="false">
      <c r="A385" s="11"/>
      <c r="B385" s="13" t="s">
        <v>566</v>
      </c>
      <c r="C385" s="13" t="s">
        <v>311</v>
      </c>
      <c r="D385" s="14" t="s">
        <v>8</v>
      </c>
      <c r="E385" s="33" t="n">
        <v>41275</v>
      </c>
      <c r="F385" s="16" t="s">
        <v>9</v>
      </c>
    </row>
    <row r="386" customFormat="false" ht="12.75" hidden="true" customHeight="true" outlineLevel="0" collapsed="false">
      <c r="A386" s="1" t="n">
        <v>3030</v>
      </c>
      <c r="B386" s="181" t="s">
        <v>567</v>
      </c>
      <c r="C386" s="182" t="s">
        <v>406</v>
      </c>
      <c r="D386" s="70" t="s">
        <v>8</v>
      </c>
      <c r="E386" s="37" t="n">
        <v>41771</v>
      </c>
      <c r="F386" s="72" t="s">
        <v>29</v>
      </c>
      <c r="G386" s="50" t="s">
        <v>70</v>
      </c>
    </row>
    <row r="387" customFormat="false" ht="23.25" hidden="true" customHeight="true" outlineLevel="0" collapsed="false">
      <c r="A387" s="11"/>
      <c r="B387" s="12" t="s">
        <v>568</v>
      </c>
      <c r="C387" s="13" t="s">
        <v>569</v>
      </c>
      <c r="D387" s="14" t="s">
        <v>8</v>
      </c>
      <c r="E387" s="59" t="n">
        <v>40213</v>
      </c>
      <c r="F387" s="16" t="s">
        <v>29</v>
      </c>
    </row>
    <row r="388" customFormat="false" ht="12.75" hidden="true" customHeight="true" outlineLevel="0" collapsed="false">
      <c r="A388" s="1" t="n">
        <v>2120</v>
      </c>
      <c r="B388" s="74" t="s">
        <v>570</v>
      </c>
      <c r="C388" s="74" t="s">
        <v>571</v>
      </c>
      <c r="D388" s="49" t="s">
        <v>8</v>
      </c>
      <c r="E388" s="197" t="n">
        <v>42361</v>
      </c>
      <c r="F388" s="198" t="s">
        <v>17</v>
      </c>
      <c r="G388" s="1" t="n">
        <v>500</v>
      </c>
    </row>
    <row r="389" customFormat="false" ht="12.75" hidden="true" customHeight="true" outlineLevel="0" collapsed="false">
      <c r="A389" s="1" t="n">
        <v>1022</v>
      </c>
      <c r="B389" s="108" t="s">
        <v>572</v>
      </c>
      <c r="C389" s="115" t="s">
        <v>417</v>
      </c>
      <c r="D389" s="36" t="s">
        <v>8</v>
      </c>
      <c r="E389" s="71" t="n">
        <v>43233</v>
      </c>
      <c r="F389" s="170" t="s">
        <v>29</v>
      </c>
      <c r="G389" s="50" t="s">
        <v>70</v>
      </c>
    </row>
    <row r="390" customFormat="false" ht="12.75" hidden="true" customHeight="true" outlineLevel="0" collapsed="false">
      <c r="A390" s="17" t="n">
        <v>3108</v>
      </c>
      <c r="B390" s="165" t="s">
        <v>573</v>
      </c>
      <c r="C390" s="165" t="s">
        <v>574</v>
      </c>
      <c r="D390" s="121" t="s">
        <v>8</v>
      </c>
      <c r="E390" s="167" t="n">
        <v>41507</v>
      </c>
      <c r="F390" s="26" t="s">
        <v>34</v>
      </c>
      <c r="G390" s="22" t="n">
        <v>500</v>
      </c>
    </row>
    <row r="391" customFormat="false" ht="12.75" hidden="true" customHeight="true" outlineLevel="0" collapsed="false">
      <c r="A391" s="42" t="n">
        <v>4074</v>
      </c>
      <c r="B391" s="165" t="s">
        <v>575</v>
      </c>
      <c r="C391" s="165" t="s">
        <v>576</v>
      </c>
      <c r="D391" s="187" t="s">
        <v>8</v>
      </c>
      <c r="E391" s="167" t="n">
        <v>41104</v>
      </c>
      <c r="F391" s="168" t="s">
        <v>34</v>
      </c>
      <c r="G391" s="22" t="n">
        <v>500</v>
      </c>
    </row>
    <row r="392" customFormat="false" ht="12.75" hidden="true" customHeight="true" outlineLevel="0" collapsed="false">
      <c r="A392" s="42" t="n">
        <v>4054</v>
      </c>
      <c r="B392" s="44" t="s">
        <v>577</v>
      </c>
      <c r="C392" s="44" t="s">
        <v>578</v>
      </c>
      <c r="D392" s="24" t="s">
        <v>8</v>
      </c>
      <c r="E392" s="104" t="n">
        <v>41051</v>
      </c>
      <c r="F392" s="199" t="s">
        <v>17</v>
      </c>
      <c r="G392" s="1" t="n">
        <v>575</v>
      </c>
    </row>
    <row r="393" customFormat="false" ht="23.25" hidden="true" customHeight="true" outlineLevel="0" collapsed="false">
      <c r="A393" s="11"/>
      <c r="B393" s="98" t="s">
        <v>579</v>
      </c>
      <c r="C393" s="98" t="s">
        <v>31</v>
      </c>
      <c r="D393" s="29" t="s">
        <v>8</v>
      </c>
      <c r="E393" s="30" t="n">
        <v>41123</v>
      </c>
      <c r="F393" s="90" t="s">
        <v>34</v>
      </c>
    </row>
    <row r="394" customFormat="false" ht="12.75" hidden="true" customHeight="true" outlineLevel="0" collapsed="false">
      <c r="A394" s="42" t="n">
        <v>4075</v>
      </c>
      <c r="B394" s="165" t="s">
        <v>579</v>
      </c>
      <c r="C394" s="165" t="s">
        <v>31</v>
      </c>
      <c r="D394" s="121" t="s">
        <v>8</v>
      </c>
      <c r="E394" s="167" t="n">
        <v>41123</v>
      </c>
      <c r="F394" s="186" t="s">
        <v>34</v>
      </c>
      <c r="G394" s="22" t="n">
        <v>500</v>
      </c>
    </row>
    <row r="395" customFormat="false" ht="23.25" hidden="true" customHeight="true" outlineLevel="0" collapsed="false">
      <c r="A395" s="11"/>
      <c r="B395" s="60" t="s">
        <v>580</v>
      </c>
      <c r="C395" s="61" t="s">
        <v>581</v>
      </c>
      <c r="D395" s="14" t="s">
        <v>8</v>
      </c>
      <c r="E395" s="59" t="n">
        <v>41663</v>
      </c>
      <c r="F395" s="170" t="s">
        <v>12</v>
      </c>
    </row>
    <row r="396" customFormat="false" ht="13.5" hidden="true" customHeight="true" outlineLevel="0" collapsed="false">
      <c r="A396" s="11"/>
      <c r="B396" s="39" t="s">
        <v>582</v>
      </c>
      <c r="C396" s="39" t="s">
        <v>583</v>
      </c>
      <c r="D396" s="14" t="s">
        <v>8</v>
      </c>
      <c r="E396" s="73" t="n">
        <v>41988</v>
      </c>
      <c r="F396" s="170" t="s">
        <v>29</v>
      </c>
    </row>
    <row r="397" customFormat="false" ht="23.25" hidden="true" customHeight="true" outlineLevel="0" collapsed="false">
      <c r="A397" s="11"/>
      <c r="B397" s="177" t="s">
        <v>582</v>
      </c>
      <c r="C397" s="177" t="s">
        <v>584</v>
      </c>
      <c r="D397" s="178" t="s">
        <v>8</v>
      </c>
      <c r="E397" s="30" t="n">
        <v>41279</v>
      </c>
      <c r="F397" s="72" t="s">
        <v>29</v>
      </c>
    </row>
    <row r="398" customFormat="false" ht="12.75" hidden="true" customHeight="true" outlineLevel="0" collapsed="false">
      <c r="A398" s="1" t="n">
        <v>2096</v>
      </c>
      <c r="B398" s="79" t="s">
        <v>585</v>
      </c>
      <c r="C398" s="79" t="s">
        <v>63</v>
      </c>
      <c r="D398" s="36" t="s">
        <v>8</v>
      </c>
      <c r="E398" s="37" t="n">
        <v>42112</v>
      </c>
      <c r="F398" s="16" t="s">
        <v>52</v>
      </c>
      <c r="G398" s="80" t="s">
        <v>586</v>
      </c>
    </row>
    <row r="399" customFormat="false" ht="12.75" hidden="true" customHeight="true" outlineLevel="0" collapsed="false">
      <c r="A399" s="17" t="n">
        <v>3109</v>
      </c>
      <c r="B399" s="44" t="s">
        <v>585</v>
      </c>
      <c r="C399" s="44" t="s">
        <v>587</v>
      </c>
      <c r="D399" s="24" t="s">
        <v>8</v>
      </c>
      <c r="E399" s="45" t="n">
        <v>41412</v>
      </c>
      <c r="F399" s="26" t="s">
        <v>34</v>
      </c>
      <c r="G399" s="22" t="n">
        <v>500</v>
      </c>
    </row>
    <row r="400" customFormat="false" ht="12.75" hidden="true" customHeight="true" outlineLevel="0" collapsed="false">
      <c r="A400" s="1" t="n">
        <v>1079</v>
      </c>
      <c r="B400" s="65" t="s">
        <v>588</v>
      </c>
      <c r="C400" s="65" t="s">
        <v>406</v>
      </c>
      <c r="D400" s="70" t="s">
        <v>8</v>
      </c>
      <c r="E400" s="66" t="n">
        <v>43047</v>
      </c>
      <c r="F400" s="189" t="s">
        <v>34</v>
      </c>
      <c r="G400" s="22" t="n">
        <v>500</v>
      </c>
    </row>
    <row r="401" customFormat="false" ht="12.75" hidden="true" customHeight="true" outlineLevel="0" collapsed="false">
      <c r="A401" s="11"/>
      <c r="B401" s="83" t="s">
        <v>589</v>
      </c>
      <c r="C401" s="84" t="s">
        <v>590</v>
      </c>
      <c r="D401" s="85" t="s">
        <v>8</v>
      </c>
      <c r="E401" s="86" t="n">
        <v>41640</v>
      </c>
      <c r="F401" s="72" t="s">
        <v>9</v>
      </c>
    </row>
    <row r="402" customFormat="false" ht="12.75" hidden="true" customHeight="true" outlineLevel="0" collapsed="false">
      <c r="A402" s="11"/>
      <c r="B402" s="12" t="s">
        <v>591</v>
      </c>
      <c r="C402" s="13" t="s">
        <v>201</v>
      </c>
      <c r="D402" s="14" t="s">
        <v>8</v>
      </c>
      <c r="E402" s="33" t="n">
        <v>41640</v>
      </c>
      <c r="F402" s="16" t="s">
        <v>9</v>
      </c>
    </row>
    <row r="403" customFormat="false" ht="23.25" hidden="true" customHeight="true" outlineLevel="0" collapsed="false">
      <c r="A403" s="11"/>
      <c r="B403" s="87" t="s">
        <v>592</v>
      </c>
      <c r="C403" s="87" t="s">
        <v>593</v>
      </c>
      <c r="D403" s="88" t="s">
        <v>8</v>
      </c>
      <c r="E403" s="89" t="n">
        <v>41568</v>
      </c>
      <c r="F403" s="169" t="s">
        <v>34</v>
      </c>
    </row>
    <row r="404" customFormat="false" ht="23.25" hidden="true" customHeight="true" outlineLevel="0" collapsed="false">
      <c r="A404" s="11"/>
      <c r="B404" s="40" t="s">
        <v>594</v>
      </c>
      <c r="C404" s="40" t="s">
        <v>228</v>
      </c>
      <c r="D404" s="14" t="s">
        <v>8</v>
      </c>
      <c r="E404" s="59" t="n">
        <v>41089</v>
      </c>
      <c r="F404" s="170" t="s">
        <v>17</v>
      </c>
    </row>
    <row r="405" customFormat="false" ht="12.75" hidden="true" customHeight="true" outlineLevel="0" collapsed="false">
      <c r="A405" s="42" t="n">
        <v>4055</v>
      </c>
      <c r="B405" s="74" t="s">
        <v>594</v>
      </c>
      <c r="C405" s="74" t="s">
        <v>228</v>
      </c>
      <c r="D405" s="200" t="s">
        <v>8</v>
      </c>
      <c r="E405" s="201" t="n">
        <v>41089</v>
      </c>
      <c r="F405" s="96" t="s">
        <v>17</v>
      </c>
      <c r="G405" s="1" t="n">
        <v>500</v>
      </c>
    </row>
    <row r="406" customFormat="false" ht="12.75" hidden="true" customHeight="true" outlineLevel="0" collapsed="false">
      <c r="A406" s="11"/>
      <c r="B406" s="13" t="s">
        <v>595</v>
      </c>
      <c r="C406" s="13" t="s">
        <v>455</v>
      </c>
      <c r="D406" s="14" t="s">
        <v>8</v>
      </c>
      <c r="E406" s="52" t="n">
        <v>41280</v>
      </c>
      <c r="F406" s="16" t="s">
        <v>9</v>
      </c>
    </row>
    <row r="407" customFormat="false" ht="12.75" hidden="true" customHeight="true" outlineLevel="0" collapsed="false">
      <c r="A407" s="17" t="n">
        <v>3098</v>
      </c>
      <c r="B407" s="194" t="s">
        <v>596</v>
      </c>
      <c r="C407" s="194" t="s">
        <v>455</v>
      </c>
      <c r="D407" s="121" t="s">
        <v>8</v>
      </c>
      <c r="E407" s="195" t="n">
        <v>41280</v>
      </c>
      <c r="F407" s="193" t="s">
        <v>9</v>
      </c>
      <c r="G407" s="22" t="n">
        <v>500</v>
      </c>
    </row>
    <row r="408" customFormat="false" ht="23.25" hidden="true" customHeight="true" outlineLevel="0" collapsed="false">
      <c r="A408" s="11"/>
      <c r="B408" s="142" t="s">
        <v>597</v>
      </c>
      <c r="C408" s="142" t="s">
        <v>598</v>
      </c>
      <c r="D408" s="88" t="s">
        <v>8</v>
      </c>
      <c r="E408" s="89" t="n">
        <v>40958</v>
      </c>
      <c r="F408" s="16" t="s">
        <v>12</v>
      </c>
    </row>
    <row r="409" customFormat="false" ht="12.75" hidden="true" customHeight="true" outlineLevel="0" collapsed="false">
      <c r="A409" s="42" t="n">
        <v>4018</v>
      </c>
      <c r="B409" s="35" t="s">
        <v>597</v>
      </c>
      <c r="C409" s="34" t="s">
        <v>598</v>
      </c>
      <c r="D409" s="36" t="s">
        <v>8</v>
      </c>
      <c r="E409" s="37" t="n">
        <v>40958</v>
      </c>
      <c r="F409" s="16" t="s">
        <v>12</v>
      </c>
      <c r="G409" s="38" t="n">
        <v>500</v>
      </c>
    </row>
    <row r="410" customFormat="false" ht="23.25" hidden="true" customHeight="true" outlineLevel="0" collapsed="false">
      <c r="A410" s="11"/>
      <c r="B410" s="27" t="s">
        <v>599</v>
      </c>
      <c r="C410" s="28" t="s">
        <v>600</v>
      </c>
      <c r="D410" s="178" t="s">
        <v>26</v>
      </c>
      <c r="E410" s="175" t="n">
        <v>42873</v>
      </c>
      <c r="F410" s="72" t="s">
        <v>20</v>
      </c>
    </row>
    <row r="411" customFormat="false" ht="12.75" hidden="true" customHeight="true" outlineLevel="0" collapsed="false">
      <c r="A411" s="1" t="n">
        <v>3038</v>
      </c>
      <c r="B411" s="103" t="s">
        <v>599</v>
      </c>
      <c r="C411" s="103" t="s">
        <v>601</v>
      </c>
      <c r="D411" s="70" t="s">
        <v>8</v>
      </c>
      <c r="E411" s="172" t="n">
        <v>41714</v>
      </c>
      <c r="F411" s="19" t="s">
        <v>20</v>
      </c>
      <c r="G411" s="50" t="n">
        <v>500</v>
      </c>
    </row>
    <row r="412" customFormat="false" ht="23.25" hidden="true" customHeight="true" outlineLevel="0" collapsed="false">
      <c r="A412" s="11"/>
      <c r="B412" s="154" t="s">
        <v>599</v>
      </c>
      <c r="C412" s="119" t="s">
        <v>602</v>
      </c>
      <c r="D412" s="85" t="s">
        <v>8</v>
      </c>
      <c r="E412" s="118" t="n">
        <v>41714</v>
      </c>
      <c r="F412" s="16" t="s">
        <v>20</v>
      </c>
    </row>
    <row r="413" customFormat="false" ht="23.25" hidden="true" customHeight="true" outlineLevel="0" collapsed="false">
      <c r="A413" s="11"/>
      <c r="B413" s="202" t="s">
        <v>603</v>
      </c>
      <c r="C413" s="40" t="s">
        <v>604</v>
      </c>
      <c r="D413" s="14" t="s">
        <v>8</v>
      </c>
      <c r="E413" s="15" t="n">
        <v>42411</v>
      </c>
      <c r="F413" s="170" t="s">
        <v>52</v>
      </c>
    </row>
    <row r="414" customFormat="false" ht="12.75" hidden="true" customHeight="true" outlineLevel="0" collapsed="false">
      <c r="A414" s="1" t="n">
        <v>2044</v>
      </c>
      <c r="B414" s="203" t="s">
        <v>603</v>
      </c>
      <c r="C414" s="203" t="s">
        <v>604</v>
      </c>
      <c r="D414" s="171" t="s">
        <v>8</v>
      </c>
      <c r="E414" s="112" t="n">
        <v>42411</v>
      </c>
      <c r="F414" s="16" t="s">
        <v>52</v>
      </c>
      <c r="G414" s="80" t="s">
        <v>70</v>
      </c>
    </row>
    <row r="415" customFormat="false" ht="23.25" hidden="true" customHeight="true" outlineLevel="0" collapsed="false">
      <c r="A415" s="11"/>
      <c r="B415" s="82" t="s">
        <v>605</v>
      </c>
      <c r="C415" s="40" t="s">
        <v>43</v>
      </c>
      <c r="D415" s="14" t="s">
        <v>8</v>
      </c>
      <c r="E415" s="15" t="n">
        <v>42574</v>
      </c>
      <c r="F415" s="170" t="s">
        <v>34</v>
      </c>
    </row>
    <row r="416" customFormat="false" ht="12.75" hidden="true" customHeight="true" outlineLevel="0" collapsed="false">
      <c r="A416" s="1" t="n">
        <v>2161</v>
      </c>
      <c r="B416" s="44" t="s">
        <v>605</v>
      </c>
      <c r="C416" s="44" t="s">
        <v>43</v>
      </c>
      <c r="D416" s="24" t="s">
        <v>8</v>
      </c>
      <c r="E416" s="45" t="n">
        <v>42574</v>
      </c>
      <c r="F416" s="186" t="s">
        <v>34</v>
      </c>
      <c r="G416" s="22" t="n">
        <v>500</v>
      </c>
    </row>
    <row r="417" customFormat="false" ht="13.5" hidden="true" customHeight="true" outlineLevel="0" collapsed="false">
      <c r="A417" s="11"/>
      <c r="B417" s="204" t="s">
        <v>606</v>
      </c>
      <c r="C417" s="204" t="s">
        <v>607</v>
      </c>
      <c r="D417" s="88" t="s">
        <v>8</v>
      </c>
      <c r="E417" s="205" t="n">
        <v>42107</v>
      </c>
      <c r="F417" s="16" t="s">
        <v>29</v>
      </c>
    </row>
    <row r="418" customFormat="false" ht="23.25" hidden="true" customHeight="true" outlineLevel="0" collapsed="false">
      <c r="A418" s="11"/>
      <c r="B418" s="101" t="s">
        <v>608</v>
      </c>
      <c r="C418" s="98" t="s">
        <v>609</v>
      </c>
      <c r="D418" s="29" t="s">
        <v>8</v>
      </c>
      <c r="E418" s="30" t="n">
        <v>40165</v>
      </c>
      <c r="F418" s="90" t="s">
        <v>34</v>
      </c>
    </row>
    <row r="419" customFormat="false" ht="12.75" hidden="true" customHeight="true" outlineLevel="0" collapsed="false">
      <c r="A419" s="42" t="n">
        <v>4084</v>
      </c>
      <c r="B419" s="44" t="s">
        <v>608</v>
      </c>
      <c r="C419" s="44" t="s">
        <v>609</v>
      </c>
      <c r="D419" s="24" t="s">
        <v>8</v>
      </c>
      <c r="E419" s="45" t="n">
        <v>40165</v>
      </c>
      <c r="F419" s="186" t="s">
        <v>34</v>
      </c>
      <c r="G419" s="22" t="n">
        <v>500</v>
      </c>
    </row>
    <row r="420" customFormat="false" ht="23.25" hidden="true" customHeight="true" outlineLevel="0" collapsed="false">
      <c r="A420" s="11"/>
      <c r="B420" s="101" t="s">
        <v>610</v>
      </c>
      <c r="C420" s="98" t="s">
        <v>611</v>
      </c>
      <c r="D420" s="178" t="s">
        <v>8</v>
      </c>
      <c r="E420" s="30" t="n">
        <v>40757</v>
      </c>
      <c r="F420" s="16" t="s">
        <v>52</v>
      </c>
    </row>
    <row r="421" customFormat="false" ht="12.75" hidden="true" customHeight="true" outlineLevel="0" collapsed="false">
      <c r="A421" s="11"/>
      <c r="B421" s="12" t="s">
        <v>612</v>
      </c>
      <c r="C421" s="13" t="s">
        <v>393</v>
      </c>
      <c r="D421" s="14" t="s">
        <v>8</v>
      </c>
      <c r="E421" s="33" t="n">
        <v>39814</v>
      </c>
      <c r="F421" s="170" t="s">
        <v>9</v>
      </c>
    </row>
    <row r="422" customFormat="false" ht="23.25" hidden="true" customHeight="true" outlineLevel="0" collapsed="false">
      <c r="A422" s="11"/>
      <c r="B422" s="57" t="s">
        <v>613</v>
      </c>
      <c r="C422" s="58" t="s">
        <v>614</v>
      </c>
      <c r="D422" s="14" t="s">
        <v>8</v>
      </c>
      <c r="E422" s="59" t="n">
        <v>40466</v>
      </c>
      <c r="F422" s="170" t="s">
        <v>34</v>
      </c>
    </row>
    <row r="423" customFormat="false" ht="23.25" hidden="true" customHeight="true" outlineLevel="0" collapsed="false">
      <c r="A423" s="11"/>
      <c r="B423" s="61" t="s">
        <v>615</v>
      </c>
      <c r="C423" s="61" t="s">
        <v>447</v>
      </c>
      <c r="D423" s="14" t="s">
        <v>8</v>
      </c>
      <c r="E423" s="59" t="n">
        <v>41462</v>
      </c>
      <c r="F423" s="170" t="s">
        <v>12</v>
      </c>
    </row>
    <row r="424" customFormat="false" ht="12.75" hidden="true" customHeight="true" outlineLevel="0" collapsed="false">
      <c r="A424" s="1" t="n">
        <v>3058</v>
      </c>
      <c r="B424" s="111" t="s">
        <v>615</v>
      </c>
      <c r="C424" s="67" t="s">
        <v>447</v>
      </c>
      <c r="D424" s="171" t="s">
        <v>8</v>
      </c>
      <c r="E424" s="112" t="n">
        <v>41462</v>
      </c>
      <c r="F424" s="72" t="s">
        <v>12</v>
      </c>
      <c r="G424" s="38" t="n">
        <v>500</v>
      </c>
    </row>
    <row r="425" customFormat="false" ht="23.25" hidden="true" customHeight="true" outlineLevel="0" collapsed="false">
      <c r="A425" s="11"/>
      <c r="B425" s="83" t="s">
        <v>615</v>
      </c>
      <c r="C425" s="84" t="s">
        <v>616</v>
      </c>
      <c r="D425" s="85" t="s">
        <v>8</v>
      </c>
      <c r="E425" s="155" t="n">
        <v>42524</v>
      </c>
      <c r="F425" s="16" t="s">
        <v>29</v>
      </c>
    </row>
    <row r="426" customFormat="false" ht="12.75" hidden="true" customHeight="true" outlineLevel="0" collapsed="false">
      <c r="A426" s="11"/>
      <c r="B426" s="13" t="s">
        <v>617</v>
      </c>
      <c r="C426" s="13" t="s">
        <v>618</v>
      </c>
      <c r="D426" s="14" t="s">
        <v>8</v>
      </c>
      <c r="E426" s="52" t="n">
        <v>41276</v>
      </c>
      <c r="F426" s="90" t="s">
        <v>9</v>
      </c>
    </row>
    <row r="427" customFormat="false" ht="12.75" hidden="true" customHeight="true" outlineLevel="0" collapsed="false">
      <c r="A427" s="1" t="n">
        <v>3003</v>
      </c>
      <c r="B427" s="206" t="s">
        <v>619</v>
      </c>
      <c r="C427" s="151" t="s">
        <v>620</v>
      </c>
      <c r="D427" s="47" t="s">
        <v>26</v>
      </c>
      <c r="E427" s="71" t="n">
        <v>41984</v>
      </c>
      <c r="F427" s="16" t="s">
        <v>12</v>
      </c>
      <c r="G427" s="38" t="n">
        <v>500</v>
      </c>
    </row>
    <row r="428" customFormat="false" ht="13.5" hidden="true" customHeight="true" outlineLevel="0" collapsed="false">
      <c r="A428" s="42" t="n">
        <v>4076</v>
      </c>
      <c r="B428" s="65" t="s">
        <v>619</v>
      </c>
      <c r="C428" s="65" t="s">
        <v>75</v>
      </c>
      <c r="D428" s="19" t="s">
        <v>8</v>
      </c>
      <c r="E428" s="66" t="n">
        <v>40694</v>
      </c>
      <c r="F428" s="189" t="s">
        <v>34</v>
      </c>
      <c r="G428" s="22" t="n">
        <v>500</v>
      </c>
    </row>
    <row r="429" customFormat="false" ht="23.25" hidden="true" customHeight="true" outlineLevel="0" collapsed="false">
      <c r="A429" s="11"/>
      <c r="B429" s="82" t="s">
        <v>621</v>
      </c>
      <c r="C429" s="40" t="s">
        <v>622</v>
      </c>
      <c r="D429" s="14" t="s">
        <v>26</v>
      </c>
      <c r="E429" s="15" t="n">
        <v>42384</v>
      </c>
      <c r="F429" s="16" t="s">
        <v>52</v>
      </c>
    </row>
    <row r="430" customFormat="false" ht="12.75" hidden="true" customHeight="true" outlineLevel="0" collapsed="false">
      <c r="A430" s="1" t="n">
        <v>2050</v>
      </c>
      <c r="B430" s="161" t="s">
        <v>621</v>
      </c>
      <c r="C430" s="161" t="s">
        <v>622</v>
      </c>
      <c r="D430" s="7" t="s">
        <v>26</v>
      </c>
      <c r="E430" s="162" t="n">
        <v>42384</v>
      </c>
      <c r="F430" s="169" t="s">
        <v>52</v>
      </c>
      <c r="G430" s="80" t="s">
        <v>70</v>
      </c>
    </row>
    <row r="431" customFormat="false" ht="23.25" hidden="true" customHeight="true" outlineLevel="0" collapsed="false">
      <c r="A431" s="11"/>
      <c r="B431" s="157" t="s">
        <v>623</v>
      </c>
      <c r="C431" s="87" t="s">
        <v>624</v>
      </c>
      <c r="D431" s="88" t="s">
        <v>8</v>
      </c>
      <c r="E431" s="89" t="n">
        <v>41771</v>
      </c>
      <c r="F431" s="16" t="s">
        <v>52</v>
      </c>
    </row>
    <row r="432" customFormat="false" ht="13.5" hidden="true" customHeight="true" outlineLevel="0" collapsed="false">
      <c r="A432" s="11"/>
      <c r="B432" s="204" t="s">
        <v>625</v>
      </c>
      <c r="C432" s="204" t="s">
        <v>54</v>
      </c>
      <c r="D432" s="158" t="s">
        <v>8</v>
      </c>
      <c r="E432" s="205" t="n">
        <v>41806</v>
      </c>
      <c r="F432" s="90" t="s">
        <v>29</v>
      </c>
    </row>
    <row r="433" customFormat="false" ht="23.25" hidden="true" customHeight="true" outlineLevel="0" collapsed="false">
      <c r="A433" s="11"/>
      <c r="B433" s="154" t="s">
        <v>626</v>
      </c>
      <c r="C433" s="119" t="s">
        <v>199</v>
      </c>
      <c r="D433" s="153" t="s">
        <v>8</v>
      </c>
      <c r="E433" s="118" t="n">
        <v>42210</v>
      </c>
      <c r="F433" s="72" t="s">
        <v>34</v>
      </c>
    </row>
    <row r="434" customFormat="false" ht="23.25" hidden="true" customHeight="true" outlineLevel="0" collapsed="false">
      <c r="A434" s="11"/>
      <c r="B434" s="82" t="s">
        <v>627</v>
      </c>
      <c r="C434" s="40" t="s">
        <v>316</v>
      </c>
      <c r="D434" s="14" t="s">
        <v>8</v>
      </c>
      <c r="E434" s="15" t="n">
        <v>42822</v>
      </c>
      <c r="F434" s="16" t="s">
        <v>52</v>
      </c>
    </row>
    <row r="435" customFormat="false" ht="12.75" hidden="true" customHeight="true" outlineLevel="0" collapsed="false">
      <c r="A435" s="1" t="n">
        <v>2082</v>
      </c>
      <c r="B435" s="190" t="s">
        <v>628</v>
      </c>
      <c r="C435" s="207" t="s">
        <v>629</v>
      </c>
      <c r="D435" s="7" t="s">
        <v>8</v>
      </c>
      <c r="E435" s="162" t="n">
        <v>42208</v>
      </c>
      <c r="F435" s="90" t="s">
        <v>29</v>
      </c>
      <c r="G435" s="50" t="s">
        <v>70</v>
      </c>
    </row>
    <row r="436" customFormat="false" ht="15" hidden="true" customHeight="true" outlineLevel="0" collapsed="false">
      <c r="A436" s="1" t="n">
        <v>2179</v>
      </c>
      <c r="B436" s="208" t="s">
        <v>630</v>
      </c>
      <c r="C436" s="39" t="s">
        <v>76</v>
      </c>
      <c r="D436" s="14" t="s">
        <v>8</v>
      </c>
      <c r="E436" s="209"/>
      <c r="F436" s="170" t="s">
        <v>29</v>
      </c>
      <c r="G436" s="22" t="n">
        <v>500</v>
      </c>
    </row>
    <row r="437" customFormat="false" ht="12.75" hidden="true" customHeight="true" outlineLevel="0" collapsed="false">
      <c r="A437" s="11"/>
      <c r="B437" s="210" t="s">
        <v>631</v>
      </c>
      <c r="C437" s="177" t="s">
        <v>123</v>
      </c>
      <c r="D437" s="29" t="s">
        <v>8</v>
      </c>
      <c r="E437" s="211" t="n">
        <v>41640</v>
      </c>
      <c r="F437" s="16" t="s">
        <v>9</v>
      </c>
    </row>
    <row r="438" customFormat="false" ht="23.25" hidden="true" customHeight="true" outlineLevel="0" collapsed="false">
      <c r="A438" s="11"/>
      <c r="B438" s="154" t="s">
        <v>632</v>
      </c>
      <c r="C438" s="119" t="s">
        <v>633</v>
      </c>
      <c r="D438" s="85" t="s">
        <v>8</v>
      </c>
      <c r="E438" s="118" t="n">
        <v>40485</v>
      </c>
      <c r="F438" s="31" t="s">
        <v>34</v>
      </c>
    </row>
    <row r="439" customFormat="false" ht="12.75" hidden="true" customHeight="true" outlineLevel="0" collapsed="false">
      <c r="A439" s="42" t="n">
        <v>4085</v>
      </c>
      <c r="B439" s="44" t="s">
        <v>632</v>
      </c>
      <c r="C439" s="44" t="s">
        <v>633</v>
      </c>
      <c r="D439" s="24" t="s">
        <v>8</v>
      </c>
      <c r="E439" s="45" t="n">
        <v>40485</v>
      </c>
      <c r="F439" s="26" t="s">
        <v>34</v>
      </c>
      <c r="G439" s="22" t="n">
        <v>500</v>
      </c>
    </row>
    <row r="440" customFormat="false" ht="23.25" hidden="true" customHeight="true" outlineLevel="0" collapsed="false">
      <c r="A440" s="11"/>
      <c r="B440" s="157" t="s">
        <v>632</v>
      </c>
      <c r="C440" s="87" t="s">
        <v>634</v>
      </c>
      <c r="D440" s="88" t="s">
        <v>8</v>
      </c>
      <c r="E440" s="89" t="n">
        <v>41798</v>
      </c>
      <c r="F440" s="169" t="s">
        <v>34</v>
      </c>
    </row>
    <row r="441" customFormat="false" ht="12.75" hidden="true" customHeight="true" outlineLevel="0" collapsed="false">
      <c r="A441" s="17" t="n">
        <v>3110</v>
      </c>
      <c r="B441" s="165" t="s">
        <v>632</v>
      </c>
      <c r="C441" s="165" t="s">
        <v>634</v>
      </c>
      <c r="D441" s="121" t="s">
        <v>8</v>
      </c>
      <c r="E441" s="167" t="n">
        <v>41798</v>
      </c>
      <c r="F441" s="26" t="s">
        <v>34</v>
      </c>
      <c r="G441" s="22" t="n">
        <v>500</v>
      </c>
    </row>
    <row r="442" customFormat="false" ht="12.75" hidden="true" customHeight="true" outlineLevel="0" collapsed="false">
      <c r="A442" s="1" t="n">
        <v>3077</v>
      </c>
      <c r="B442" s="46" t="s">
        <v>635</v>
      </c>
      <c r="C442" s="46" t="s">
        <v>78</v>
      </c>
      <c r="D442" s="47" t="s">
        <v>8</v>
      </c>
      <c r="E442" s="37" t="n">
        <v>41292</v>
      </c>
      <c r="F442" s="90" t="s">
        <v>143</v>
      </c>
      <c r="G442" s="50" t="s">
        <v>636</v>
      </c>
    </row>
    <row r="443" customFormat="false" ht="23.25" hidden="true" customHeight="true" outlineLevel="0" collapsed="false">
      <c r="A443" s="11"/>
      <c r="B443" s="154" t="s">
        <v>637</v>
      </c>
      <c r="C443" s="119" t="s">
        <v>271</v>
      </c>
      <c r="D443" s="85" t="s">
        <v>8</v>
      </c>
      <c r="E443" s="59" t="n">
        <v>41890</v>
      </c>
      <c r="F443" s="156" t="s">
        <v>17</v>
      </c>
    </row>
    <row r="444" customFormat="false" ht="12.75" hidden="true" customHeight="true" outlineLevel="0" collapsed="false">
      <c r="A444" s="1" t="n">
        <v>2039</v>
      </c>
      <c r="B444" s="51" t="s">
        <v>638</v>
      </c>
      <c r="C444" s="51" t="s">
        <v>639</v>
      </c>
      <c r="D444" s="36" t="s">
        <v>8</v>
      </c>
      <c r="E444" s="52" t="n">
        <v>42456</v>
      </c>
      <c r="F444" s="24" t="s">
        <v>20</v>
      </c>
      <c r="G444" s="50" t="n">
        <v>500</v>
      </c>
    </row>
    <row r="445" customFormat="false" ht="23.25" hidden="true" customHeight="true" outlineLevel="0" collapsed="false">
      <c r="A445" s="11"/>
      <c r="B445" s="142" t="s">
        <v>640</v>
      </c>
      <c r="C445" s="142" t="s">
        <v>641</v>
      </c>
      <c r="D445" s="88" t="s">
        <v>8</v>
      </c>
      <c r="E445" s="59" t="n">
        <v>41628</v>
      </c>
      <c r="F445" s="90" t="s">
        <v>12</v>
      </c>
    </row>
    <row r="446" customFormat="false" ht="12.75" hidden="true" customHeight="true" outlineLevel="0" collapsed="false">
      <c r="A446" s="1" t="n">
        <v>1057</v>
      </c>
      <c r="B446" s="35" t="s">
        <v>640</v>
      </c>
      <c r="C446" s="34" t="s">
        <v>642</v>
      </c>
      <c r="D446" s="36" t="s">
        <v>8</v>
      </c>
      <c r="E446" s="37" t="n">
        <v>42825</v>
      </c>
      <c r="F446" s="16" t="s">
        <v>12</v>
      </c>
      <c r="G446" s="38" t="n">
        <v>503</v>
      </c>
    </row>
    <row r="447" customFormat="false" ht="12.75" hidden="true" customHeight="true" outlineLevel="0" collapsed="false">
      <c r="A447" s="42" t="n">
        <v>4056</v>
      </c>
      <c r="B447" s="44" t="s">
        <v>643</v>
      </c>
      <c r="C447" s="44" t="s">
        <v>644</v>
      </c>
      <c r="D447" s="24" t="s">
        <v>8</v>
      </c>
      <c r="E447" s="104" t="n">
        <v>40898</v>
      </c>
      <c r="F447" s="105" t="s">
        <v>17</v>
      </c>
      <c r="G447" s="1" t="n">
        <v>500</v>
      </c>
    </row>
    <row r="448" customFormat="false" ht="12.75" hidden="true" customHeight="true" outlineLevel="0" collapsed="false">
      <c r="A448" s="1" t="n">
        <v>2130</v>
      </c>
      <c r="B448" s="53" t="s">
        <v>645</v>
      </c>
      <c r="C448" s="53" t="s">
        <v>639</v>
      </c>
      <c r="D448" s="24" t="s">
        <v>8</v>
      </c>
      <c r="E448" s="54" t="n">
        <v>42030</v>
      </c>
      <c r="F448" s="55" t="s">
        <v>9</v>
      </c>
      <c r="G448" s="56" t="n">
        <v>500</v>
      </c>
    </row>
    <row r="449" customFormat="false" ht="12.75" hidden="true" customHeight="true" outlineLevel="0" collapsed="false">
      <c r="A449" s="11"/>
      <c r="B449" s="12" t="s">
        <v>646</v>
      </c>
      <c r="C449" s="13" t="s">
        <v>647</v>
      </c>
      <c r="D449" s="14" t="s">
        <v>8</v>
      </c>
      <c r="E449" s="32" t="n">
        <v>43101</v>
      </c>
      <c r="F449" s="16" t="s">
        <v>9</v>
      </c>
    </row>
    <row r="450" customFormat="false" ht="23.25" hidden="true" customHeight="true" outlineLevel="0" collapsed="false">
      <c r="A450" s="11"/>
      <c r="B450" s="82" t="s">
        <v>648</v>
      </c>
      <c r="C450" s="40" t="s">
        <v>179</v>
      </c>
      <c r="D450" s="14" t="s">
        <v>8</v>
      </c>
      <c r="E450" s="15" t="n">
        <v>43674</v>
      </c>
      <c r="F450" s="16" t="s">
        <v>34</v>
      </c>
    </row>
    <row r="451" customFormat="false" ht="23.25" hidden="true" customHeight="true" outlineLevel="0" collapsed="false">
      <c r="A451" s="11"/>
      <c r="B451" s="40" t="s">
        <v>649</v>
      </c>
      <c r="C451" s="40" t="s">
        <v>63</v>
      </c>
      <c r="D451" s="14" t="s">
        <v>8</v>
      </c>
      <c r="E451" s="59" t="n">
        <v>41394</v>
      </c>
      <c r="F451" s="16" t="s">
        <v>52</v>
      </c>
    </row>
    <row r="452" customFormat="false" ht="23.25" hidden="true" customHeight="true" outlineLevel="0" collapsed="false">
      <c r="A452" s="11"/>
      <c r="B452" s="82" t="s">
        <v>650</v>
      </c>
      <c r="C452" s="40" t="s">
        <v>651</v>
      </c>
      <c r="D452" s="14" t="s">
        <v>26</v>
      </c>
      <c r="E452" s="59" t="n">
        <v>40743</v>
      </c>
      <c r="F452" s="16" t="s">
        <v>52</v>
      </c>
    </row>
    <row r="453" customFormat="false" ht="23.25" hidden="true" customHeight="true" outlineLevel="0" collapsed="false">
      <c r="A453" s="11"/>
      <c r="B453" s="82" t="s">
        <v>652</v>
      </c>
      <c r="C453" s="40" t="s">
        <v>653</v>
      </c>
      <c r="D453" s="14" t="s">
        <v>26</v>
      </c>
      <c r="E453" s="15" t="n">
        <v>43694</v>
      </c>
      <c r="F453" s="16" t="s">
        <v>52</v>
      </c>
    </row>
    <row r="454" customFormat="false" ht="12.75" hidden="true" customHeight="true" outlineLevel="0" collapsed="false">
      <c r="A454" s="1" t="n">
        <v>1006</v>
      </c>
      <c r="B454" s="79" t="s">
        <v>652</v>
      </c>
      <c r="C454" s="79" t="s">
        <v>653</v>
      </c>
      <c r="D454" s="36" t="s">
        <v>26</v>
      </c>
      <c r="E454" s="37" t="n">
        <v>43694</v>
      </c>
      <c r="F454" s="16" t="s">
        <v>52</v>
      </c>
      <c r="G454" s="80" t="s">
        <v>70</v>
      </c>
    </row>
    <row r="455" customFormat="false" ht="23.25" hidden="true" customHeight="true" outlineLevel="0" collapsed="false">
      <c r="A455" s="11"/>
      <c r="B455" s="82" t="s">
        <v>654</v>
      </c>
      <c r="C455" s="40" t="s">
        <v>655</v>
      </c>
      <c r="D455" s="14" t="s">
        <v>8</v>
      </c>
      <c r="E455" s="15" t="n">
        <v>42951</v>
      </c>
      <c r="F455" s="16" t="s">
        <v>119</v>
      </c>
    </row>
    <row r="456" customFormat="false" ht="12.75" hidden="true" customHeight="true" outlineLevel="0" collapsed="false">
      <c r="A456" s="1" t="n">
        <v>2068</v>
      </c>
      <c r="B456" s="81" t="s">
        <v>656</v>
      </c>
      <c r="C456" s="81" t="s">
        <v>112</v>
      </c>
      <c r="D456" s="70" t="s">
        <v>8</v>
      </c>
      <c r="E456" s="37" t="n">
        <v>42266</v>
      </c>
      <c r="F456" s="72" t="s">
        <v>52</v>
      </c>
      <c r="G456" s="80" t="s">
        <v>70</v>
      </c>
    </row>
    <row r="457" customFormat="false" ht="23.25" hidden="true" customHeight="true" outlineLevel="0" collapsed="false">
      <c r="A457" s="11"/>
      <c r="B457" s="40" t="s">
        <v>657</v>
      </c>
      <c r="C457" s="40" t="s">
        <v>199</v>
      </c>
      <c r="D457" s="14" t="s">
        <v>8</v>
      </c>
      <c r="E457" s="59" t="n">
        <v>41202</v>
      </c>
      <c r="F457" s="16" t="s">
        <v>52</v>
      </c>
    </row>
    <row r="458" customFormat="false" ht="12.75" hidden="true" customHeight="true" outlineLevel="0" collapsed="false">
      <c r="A458" s="42" t="n">
        <v>4005</v>
      </c>
      <c r="B458" s="161" t="s">
        <v>657</v>
      </c>
      <c r="C458" s="161" t="s">
        <v>199</v>
      </c>
      <c r="D458" s="7" t="s">
        <v>8</v>
      </c>
      <c r="E458" s="37" t="n">
        <v>41202</v>
      </c>
      <c r="F458" s="90" t="s">
        <v>52</v>
      </c>
      <c r="G458" s="80" t="s">
        <v>70</v>
      </c>
    </row>
    <row r="459" customFormat="false" ht="12.75" hidden="true" customHeight="true" outlineLevel="0" collapsed="false">
      <c r="A459" s="17" t="n">
        <v>3130</v>
      </c>
      <c r="B459" s="39" t="s">
        <v>658</v>
      </c>
      <c r="C459" s="39" t="s">
        <v>659</v>
      </c>
      <c r="D459" s="24" t="s">
        <v>8</v>
      </c>
      <c r="E459" s="32" t="n">
        <v>41640</v>
      </c>
      <c r="F459" s="105" t="s">
        <v>119</v>
      </c>
      <c r="G459" s="1" t="n">
        <v>500</v>
      </c>
    </row>
    <row r="460" customFormat="false" ht="12.75" hidden="true" customHeight="true" outlineLevel="0" collapsed="false">
      <c r="A460" s="133"/>
      <c r="B460" s="44" t="s">
        <v>660</v>
      </c>
      <c r="C460" s="134" t="s">
        <v>246</v>
      </c>
      <c r="D460" s="14" t="s">
        <v>8</v>
      </c>
      <c r="E460" s="136" t="n">
        <v>42104</v>
      </c>
      <c r="F460" s="16" t="s">
        <v>119</v>
      </c>
    </row>
    <row r="461" customFormat="false" ht="12.75" hidden="true" customHeight="true" outlineLevel="0" collapsed="false">
      <c r="A461" s="1" t="n">
        <v>2078</v>
      </c>
      <c r="B461" s="51" t="s">
        <v>661</v>
      </c>
      <c r="C461" s="51" t="s">
        <v>662</v>
      </c>
      <c r="D461" s="36" t="s">
        <v>8</v>
      </c>
      <c r="E461" s="37" t="n">
        <v>42227</v>
      </c>
      <c r="F461" s="146" t="s">
        <v>197</v>
      </c>
      <c r="G461" s="50" t="n">
        <v>500</v>
      </c>
    </row>
    <row r="462" customFormat="false" ht="23.25" hidden="true" customHeight="true" outlineLevel="0" collapsed="false">
      <c r="A462" s="11"/>
      <c r="B462" s="82" t="s">
        <v>663</v>
      </c>
      <c r="C462" s="40" t="s">
        <v>123</v>
      </c>
      <c r="D462" s="14" t="s">
        <v>8</v>
      </c>
      <c r="E462" s="59" t="n">
        <v>41979</v>
      </c>
      <c r="F462" s="146" t="s">
        <v>52</v>
      </c>
    </row>
    <row r="463" customFormat="false" ht="23.25" hidden="true" customHeight="true" outlineLevel="0" collapsed="false">
      <c r="A463" s="11"/>
      <c r="B463" s="82" t="s">
        <v>664</v>
      </c>
      <c r="C463" s="40" t="s">
        <v>665</v>
      </c>
      <c r="D463" s="14" t="s">
        <v>8</v>
      </c>
      <c r="E463" s="15" t="n">
        <v>42372</v>
      </c>
      <c r="F463" s="16" t="s">
        <v>129</v>
      </c>
    </row>
    <row r="464" customFormat="false" ht="12.75" hidden="true" customHeight="true" outlineLevel="0" collapsed="false">
      <c r="A464" s="1" t="n">
        <v>2018</v>
      </c>
      <c r="B464" s="108" t="s">
        <v>666</v>
      </c>
      <c r="C464" s="115" t="s">
        <v>667</v>
      </c>
      <c r="D464" s="36" t="s">
        <v>8</v>
      </c>
      <c r="E464" s="37" t="n">
        <v>42637</v>
      </c>
      <c r="F464" s="16" t="s">
        <v>29</v>
      </c>
      <c r="G464" s="50" t="s">
        <v>70</v>
      </c>
    </row>
    <row r="465" customFormat="false" ht="12.75" hidden="true" customHeight="true" outlineLevel="0" collapsed="false">
      <c r="A465" s="11"/>
      <c r="B465" s="13" t="s">
        <v>668</v>
      </c>
      <c r="C465" s="13" t="s">
        <v>210</v>
      </c>
      <c r="D465" s="14" t="s">
        <v>8</v>
      </c>
      <c r="E465" s="33" t="n">
        <v>41275</v>
      </c>
      <c r="F465" s="16" t="s">
        <v>9</v>
      </c>
    </row>
    <row r="466" customFormat="false" ht="23.25" hidden="true" customHeight="true" outlineLevel="0" collapsed="false">
      <c r="A466" s="11"/>
      <c r="B466" s="40" t="s">
        <v>669</v>
      </c>
      <c r="C466" s="40" t="s">
        <v>670</v>
      </c>
      <c r="D466" s="14" t="s">
        <v>8</v>
      </c>
      <c r="E466" s="59" t="n">
        <v>41385</v>
      </c>
      <c r="F466" s="16" t="s">
        <v>34</v>
      </c>
    </row>
    <row r="467" customFormat="false" ht="12.75" hidden="true" customHeight="true" outlineLevel="0" collapsed="false">
      <c r="A467" s="1" t="n">
        <v>1007</v>
      </c>
      <c r="B467" s="79" t="s">
        <v>671</v>
      </c>
      <c r="C467" s="79" t="s">
        <v>16</v>
      </c>
      <c r="D467" s="36" t="s">
        <v>8</v>
      </c>
      <c r="E467" s="37" t="n">
        <v>43686</v>
      </c>
      <c r="F467" s="16" t="s">
        <v>52</v>
      </c>
      <c r="G467" s="80" t="s">
        <v>70</v>
      </c>
    </row>
    <row r="468" customFormat="false" ht="12.75" hidden="true" customHeight="true" outlineLevel="0" collapsed="false">
      <c r="A468" s="11"/>
      <c r="B468" s="13" t="s">
        <v>672</v>
      </c>
      <c r="C468" s="13" t="s">
        <v>673</v>
      </c>
      <c r="D468" s="14" t="s">
        <v>8</v>
      </c>
      <c r="E468" s="33" t="n">
        <v>40909</v>
      </c>
      <c r="F468" s="16" t="s">
        <v>9</v>
      </c>
    </row>
    <row r="469" customFormat="false" ht="12.75" hidden="true" customHeight="true" outlineLevel="0" collapsed="false">
      <c r="A469" s="11"/>
      <c r="B469" s="12" t="s">
        <v>672</v>
      </c>
      <c r="C469" s="13" t="s">
        <v>235</v>
      </c>
      <c r="D469" s="14" t="s">
        <v>8</v>
      </c>
      <c r="E469" s="33" t="n">
        <v>42005</v>
      </c>
      <c r="F469" s="16" t="s">
        <v>9</v>
      </c>
    </row>
    <row r="470" customFormat="false" ht="13.5" hidden="true" customHeight="true" outlineLevel="0" collapsed="false">
      <c r="A470" s="42" t="n">
        <v>4049</v>
      </c>
      <c r="B470" s="79" t="s">
        <v>674</v>
      </c>
      <c r="C470" s="79" t="s">
        <v>675</v>
      </c>
      <c r="D470" s="36" t="s">
        <v>8</v>
      </c>
      <c r="E470" s="37" t="n">
        <v>40011</v>
      </c>
      <c r="F470" s="16" t="s">
        <v>52</v>
      </c>
      <c r="G470" s="80" t="s">
        <v>676</v>
      </c>
    </row>
    <row r="471" customFormat="false" ht="12.75" hidden="true" customHeight="true" outlineLevel="0" collapsed="false">
      <c r="A471" s="17" t="n">
        <v>3111</v>
      </c>
      <c r="B471" s="44" t="s">
        <v>677</v>
      </c>
      <c r="C471" s="44" t="s">
        <v>678</v>
      </c>
      <c r="D471" s="24" t="s">
        <v>8</v>
      </c>
      <c r="E471" s="212" t="n">
        <v>41602</v>
      </c>
      <c r="F471" s="26" t="s">
        <v>34</v>
      </c>
      <c r="G471" s="22" t="n">
        <v>500</v>
      </c>
    </row>
    <row r="472" customFormat="false" ht="12.75" hidden="true" customHeight="true" outlineLevel="0" collapsed="false">
      <c r="A472" s="17" t="n">
        <v>3112</v>
      </c>
      <c r="B472" s="44" t="s">
        <v>679</v>
      </c>
      <c r="C472" s="44" t="s">
        <v>680</v>
      </c>
      <c r="D472" s="24" t="s">
        <v>8</v>
      </c>
      <c r="E472" s="212" t="n">
        <v>41454</v>
      </c>
      <c r="F472" s="26" t="s">
        <v>34</v>
      </c>
      <c r="G472" s="22" t="n">
        <v>500</v>
      </c>
    </row>
    <row r="473" customFormat="false" ht="12.75" hidden="true" customHeight="true" outlineLevel="0" collapsed="false">
      <c r="A473" s="11"/>
      <c r="B473" s="60" t="s">
        <v>681</v>
      </c>
      <c r="C473" s="61" t="s">
        <v>316</v>
      </c>
      <c r="D473" s="14" t="s">
        <v>8</v>
      </c>
      <c r="E473" s="33" t="n">
        <v>40544</v>
      </c>
      <c r="F473" s="16" t="s">
        <v>9</v>
      </c>
    </row>
    <row r="474" customFormat="false" ht="12.75" hidden="true" customHeight="true" outlineLevel="0" collapsed="false">
      <c r="A474" s="1" t="n">
        <v>2070</v>
      </c>
      <c r="B474" s="79" t="s">
        <v>682</v>
      </c>
      <c r="C474" s="79" t="s">
        <v>400</v>
      </c>
      <c r="D474" s="36" t="s">
        <v>8</v>
      </c>
      <c r="E474" s="37" t="n">
        <v>42261</v>
      </c>
      <c r="F474" s="16" t="s">
        <v>52</v>
      </c>
      <c r="G474" s="80" t="s">
        <v>70</v>
      </c>
    </row>
    <row r="475" customFormat="false" ht="12.75" hidden="true" customHeight="true" outlineLevel="0" collapsed="false">
      <c r="A475" s="1" t="n">
        <v>1010</v>
      </c>
      <c r="B475" s="79" t="s">
        <v>683</v>
      </c>
      <c r="C475" s="79" t="s">
        <v>165</v>
      </c>
      <c r="D475" s="36" t="s">
        <v>8</v>
      </c>
      <c r="E475" s="37" t="n">
        <v>43506</v>
      </c>
      <c r="F475" s="16" t="s">
        <v>52</v>
      </c>
      <c r="G475" s="80" t="s">
        <v>70</v>
      </c>
    </row>
    <row r="476" customFormat="false" ht="12.75" hidden="true" customHeight="true" outlineLevel="0" collapsed="false">
      <c r="A476" s="11"/>
      <c r="B476" s="60" t="s">
        <v>684</v>
      </c>
      <c r="C476" s="61" t="s">
        <v>250</v>
      </c>
      <c r="D476" s="14" t="s">
        <v>8</v>
      </c>
      <c r="E476" s="33" t="n">
        <v>40544</v>
      </c>
      <c r="F476" s="16" t="s">
        <v>9</v>
      </c>
    </row>
    <row r="477" customFormat="false" ht="13.5" hidden="true" customHeight="true" outlineLevel="0" collapsed="false">
      <c r="A477" s="11"/>
      <c r="B477" s="39" t="s">
        <v>685</v>
      </c>
      <c r="C477" s="129" t="s">
        <v>686</v>
      </c>
      <c r="D477" s="14" t="s">
        <v>8</v>
      </c>
      <c r="E477" s="73" t="n">
        <v>41703</v>
      </c>
      <c r="F477" s="16" t="s">
        <v>29</v>
      </c>
    </row>
    <row r="478" customFormat="false" ht="23.25" hidden="true" customHeight="true" outlineLevel="0" collapsed="false">
      <c r="A478" s="11"/>
      <c r="B478" s="82" t="s">
        <v>687</v>
      </c>
      <c r="C478" s="40" t="s">
        <v>406</v>
      </c>
      <c r="D478" s="14" t="s">
        <v>8</v>
      </c>
      <c r="E478" s="59" t="n">
        <v>41770</v>
      </c>
      <c r="F478" s="16" t="s">
        <v>52</v>
      </c>
    </row>
    <row r="479" customFormat="false" ht="12.75" hidden="true" customHeight="true" outlineLevel="0" collapsed="false">
      <c r="A479" s="1" t="n">
        <v>3054</v>
      </c>
      <c r="B479" s="108" t="s">
        <v>688</v>
      </c>
      <c r="C479" s="115" t="s">
        <v>689</v>
      </c>
      <c r="D479" s="36" t="s">
        <v>8</v>
      </c>
      <c r="E479" s="37" t="n">
        <v>41533</v>
      </c>
      <c r="F479" s="16" t="s">
        <v>29</v>
      </c>
      <c r="G479" s="50" t="s">
        <v>70</v>
      </c>
    </row>
    <row r="480" customFormat="false" ht="23.25" hidden="true" customHeight="true" outlineLevel="0" collapsed="false">
      <c r="A480" s="11"/>
      <c r="B480" s="60" t="s">
        <v>690</v>
      </c>
      <c r="C480" s="61" t="s">
        <v>447</v>
      </c>
      <c r="D480" s="14" t="s">
        <v>8</v>
      </c>
      <c r="E480" s="15" t="n">
        <v>42560</v>
      </c>
      <c r="F480" s="16" t="s">
        <v>12</v>
      </c>
    </row>
    <row r="481" customFormat="false" ht="23.25" hidden="true" customHeight="true" outlineLevel="0" collapsed="false">
      <c r="A481" s="11"/>
      <c r="B481" s="60" t="s">
        <v>690</v>
      </c>
      <c r="C481" s="61" t="s">
        <v>691</v>
      </c>
      <c r="D481" s="14" t="s">
        <v>8</v>
      </c>
      <c r="E481" s="59" t="n">
        <v>41782</v>
      </c>
      <c r="F481" s="16" t="s">
        <v>12</v>
      </c>
    </row>
    <row r="482" customFormat="false" ht="12.75" hidden="true" customHeight="true" outlineLevel="0" collapsed="false">
      <c r="A482" s="11"/>
      <c r="B482" s="12" t="s">
        <v>692</v>
      </c>
      <c r="C482" s="13" t="s">
        <v>337</v>
      </c>
      <c r="D482" s="14" t="s">
        <v>26</v>
      </c>
      <c r="E482" s="33" t="n">
        <v>41640</v>
      </c>
      <c r="F482" s="16" t="s">
        <v>9</v>
      </c>
    </row>
    <row r="483" customFormat="false" ht="12.75" hidden="true" customHeight="true" outlineLevel="0" collapsed="false">
      <c r="A483" s="11"/>
      <c r="B483" s="13" t="s">
        <v>692</v>
      </c>
      <c r="C483" s="13" t="s">
        <v>693</v>
      </c>
      <c r="D483" s="14" t="s">
        <v>8</v>
      </c>
      <c r="E483" s="33" t="n">
        <v>40909</v>
      </c>
      <c r="F483" s="16" t="s">
        <v>9</v>
      </c>
    </row>
    <row r="484" customFormat="false" ht="12.75" hidden="true" customHeight="true" outlineLevel="0" collapsed="false">
      <c r="A484" s="11"/>
      <c r="B484" s="12" t="s">
        <v>694</v>
      </c>
      <c r="C484" s="13" t="s">
        <v>83</v>
      </c>
      <c r="D484" s="14" t="s">
        <v>8</v>
      </c>
      <c r="E484" s="33" t="n">
        <v>41640</v>
      </c>
      <c r="F484" s="16" t="s">
        <v>9</v>
      </c>
    </row>
    <row r="485" customFormat="false" ht="23.25" hidden="true" customHeight="true" outlineLevel="0" collapsed="false">
      <c r="A485" s="11"/>
      <c r="B485" s="57" t="s">
        <v>695</v>
      </c>
      <c r="C485" s="58" t="s">
        <v>222</v>
      </c>
      <c r="D485" s="14" t="s">
        <v>8</v>
      </c>
      <c r="E485" s="59" t="n">
        <v>41970</v>
      </c>
      <c r="F485" s="16" t="s">
        <v>20</v>
      </c>
    </row>
    <row r="486" customFormat="false" ht="12.75" hidden="true" customHeight="true" outlineLevel="0" collapsed="false">
      <c r="A486" s="42" t="n">
        <v>4003</v>
      </c>
      <c r="B486" s="79" t="s">
        <v>696</v>
      </c>
      <c r="C486" s="79" t="s">
        <v>112</v>
      </c>
      <c r="D486" s="36" t="s">
        <v>8</v>
      </c>
      <c r="E486" s="37" t="n">
        <v>41243</v>
      </c>
      <c r="F486" s="16" t="s">
        <v>52</v>
      </c>
      <c r="G486" s="80" t="s">
        <v>70</v>
      </c>
    </row>
    <row r="487" customFormat="false" ht="12.75" hidden="true" customHeight="true" outlineLevel="0" collapsed="false">
      <c r="A487" s="17" t="n">
        <v>3085</v>
      </c>
      <c r="B487" s="23" t="s">
        <v>697</v>
      </c>
      <c r="C487" s="23" t="s">
        <v>698</v>
      </c>
      <c r="D487" s="24" t="s">
        <v>8</v>
      </c>
      <c r="E487" s="128" t="n">
        <v>41938</v>
      </c>
      <c r="F487" s="26" t="s">
        <v>17</v>
      </c>
      <c r="G487" s="22" t="n">
        <v>500</v>
      </c>
    </row>
    <row r="488" customFormat="false" ht="12.75" hidden="true" customHeight="true" outlineLevel="0" collapsed="false">
      <c r="A488" s="1" t="n">
        <v>2040</v>
      </c>
      <c r="B488" s="79" t="s">
        <v>699</v>
      </c>
      <c r="C488" s="79" t="s">
        <v>700</v>
      </c>
      <c r="D488" s="36" t="s">
        <v>8</v>
      </c>
      <c r="E488" s="37" t="n">
        <v>42454</v>
      </c>
      <c r="F488" s="16" t="s">
        <v>52</v>
      </c>
      <c r="G488" s="80" t="s">
        <v>70</v>
      </c>
    </row>
    <row r="489" customFormat="false" ht="12.75" hidden="true" customHeight="true" outlineLevel="0" collapsed="false">
      <c r="A489" s="1" t="n">
        <v>3068</v>
      </c>
      <c r="B489" s="35" t="s">
        <v>701</v>
      </c>
      <c r="C489" s="34" t="s">
        <v>702</v>
      </c>
      <c r="D489" s="36" t="s">
        <v>8</v>
      </c>
      <c r="E489" s="37" t="n">
        <v>41376</v>
      </c>
      <c r="F489" s="16" t="s">
        <v>12</v>
      </c>
      <c r="G489" s="38" t="n">
        <v>500</v>
      </c>
    </row>
    <row r="490" customFormat="false" ht="12.75" hidden="true" customHeight="true" outlineLevel="0" collapsed="false">
      <c r="A490" s="42" t="n">
        <v>4077</v>
      </c>
      <c r="B490" s="44" t="s">
        <v>703</v>
      </c>
      <c r="C490" s="44" t="s">
        <v>527</v>
      </c>
      <c r="D490" s="24" t="s">
        <v>8</v>
      </c>
      <c r="E490" s="45" t="n">
        <v>40932</v>
      </c>
      <c r="F490" s="26" t="s">
        <v>34</v>
      </c>
      <c r="G490" s="22" t="n">
        <v>500</v>
      </c>
    </row>
    <row r="491" customFormat="false" ht="12.75" hidden="true" customHeight="true" outlineLevel="0" collapsed="false">
      <c r="A491" s="42" t="n">
        <v>4078</v>
      </c>
      <c r="B491" s="44" t="s">
        <v>703</v>
      </c>
      <c r="C491" s="44" t="s">
        <v>260</v>
      </c>
      <c r="D491" s="24" t="s">
        <v>8</v>
      </c>
      <c r="E491" s="45" t="n">
        <v>40932</v>
      </c>
      <c r="F491" s="26" t="s">
        <v>34</v>
      </c>
      <c r="G491" s="22" t="n">
        <v>500</v>
      </c>
    </row>
    <row r="492" customFormat="false" ht="12.75" hidden="true" customHeight="true" outlineLevel="0" collapsed="false">
      <c r="A492" s="1" t="n">
        <v>2010</v>
      </c>
      <c r="B492" s="79" t="s">
        <v>704</v>
      </c>
      <c r="C492" s="79" t="s">
        <v>217</v>
      </c>
      <c r="D492" s="36" t="s">
        <v>8</v>
      </c>
      <c r="E492" s="37" t="n">
        <v>42671</v>
      </c>
      <c r="F492" s="16" t="s">
        <v>52</v>
      </c>
      <c r="G492" s="80" t="s">
        <v>70</v>
      </c>
    </row>
    <row r="493" customFormat="false" ht="12.75" hidden="true" customHeight="true" outlineLevel="0" collapsed="false">
      <c r="A493" s="11"/>
      <c r="B493" s="13" t="s">
        <v>705</v>
      </c>
      <c r="C493" s="122" t="s">
        <v>706</v>
      </c>
      <c r="D493" s="14" t="s">
        <v>8</v>
      </c>
      <c r="E493" s="33" t="n">
        <v>40909</v>
      </c>
      <c r="F493" s="90" t="s">
        <v>9</v>
      </c>
    </row>
    <row r="494" customFormat="false" ht="12.75" hidden="true" customHeight="true" outlineLevel="0" collapsed="false">
      <c r="A494" s="11"/>
      <c r="B494" s="12" t="s">
        <v>707</v>
      </c>
      <c r="C494" s="13" t="s">
        <v>109</v>
      </c>
      <c r="D494" s="14" t="s">
        <v>26</v>
      </c>
      <c r="E494" s="32" t="n">
        <v>43101</v>
      </c>
      <c r="F494" s="16" t="s">
        <v>9</v>
      </c>
    </row>
    <row r="495" customFormat="false" ht="12.75" hidden="true" customHeight="true" outlineLevel="0" collapsed="false">
      <c r="A495" s="42" t="n">
        <v>4026</v>
      </c>
      <c r="B495" s="79" t="s">
        <v>708</v>
      </c>
      <c r="C495" s="79" t="s">
        <v>709</v>
      </c>
      <c r="D495" s="36" t="s">
        <v>8</v>
      </c>
      <c r="E495" s="37" t="n">
        <v>40859</v>
      </c>
      <c r="F495" s="16" t="s">
        <v>52</v>
      </c>
      <c r="G495" s="80" t="s">
        <v>70</v>
      </c>
    </row>
    <row r="496" customFormat="false" ht="12.75" hidden="true" customHeight="true" outlineLevel="0" collapsed="false">
      <c r="A496" s="1" t="n">
        <v>1055</v>
      </c>
      <c r="B496" s="79" t="s">
        <v>710</v>
      </c>
      <c r="C496" s="79" t="s">
        <v>711</v>
      </c>
      <c r="D496" s="36" t="s">
        <v>8</v>
      </c>
      <c r="E496" s="37" t="n">
        <v>42826</v>
      </c>
      <c r="F496" s="16" t="s">
        <v>52</v>
      </c>
      <c r="G496" s="80" t="s">
        <v>70</v>
      </c>
    </row>
    <row r="497" customFormat="false" ht="23.25" hidden="true" customHeight="true" outlineLevel="0" collapsed="false">
      <c r="A497" s="11"/>
      <c r="B497" s="82" t="s">
        <v>712</v>
      </c>
      <c r="C497" s="40" t="s">
        <v>713</v>
      </c>
      <c r="D497" s="14" t="s">
        <v>8</v>
      </c>
      <c r="E497" s="15" t="n">
        <v>43372</v>
      </c>
      <c r="F497" s="16" t="s">
        <v>52</v>
      </c>
    </row>
    <row r="498" customFormat="false" ht="12.75" hidden="true" customHeight="true" outlineLevel="0" collapsed="false">
      <c r="A498" s="1" t="n">
        <v>3006</v>
      </c>
      <c r="B498" s="79" t="s">
        <v>712</v>
      </c>
      <c r="C498" s="79" t="s">
        <v>259</v>
      </c>
      <c r="D498" s="36" t="s">
        <v>8</v>
      </c>
      <c r="E498" s="37" t="n">
        <v>41969</v>
      </c>
      <c r="F498" s="90" t="s">
        <v>52</v>
      </c>
      <c r="G498" s="80" t="s">
        <v>70</v>
      </c>
    </row>
    <row r="499" customFormat="false" ht="23.25" hidden="true" customHeight="true" outlineLevel="0" collapsed="false">
      <c r="A499" s="11"/>
      <c r="B499" s="57" t="s">
        <v>714</v>
      </c>
      <c r="C499" s="58" t="s">
        <v>244</v>
      </c>
      <c r="D499" s="14" t="s">
        <v>8</v>
      </c>
      <c r="E499" s="59" t="n">
        <v>40745</v>
      </c>
      <c r="F499" s="16" t="s">
        <v>52</v>
      </c>
    </row>
    <row r="500" customFormat="false" ht="23.25" hidden="true" customHeight="true" outlineLevel="0" collapsed="false">
      <c r="A500" s="11"/>
      <c r="B500" s="82" t="s">
        <v>714</v>
      </c>
      <c r="C500" s="40" t="s">
        <v>215</v>
      </c>
      <c r="D500" s="14" t="s">
        <v>8</v>
      </c>
      <c r="E500" s="59" t="n">
        <v>41682</v>
      </c>
      <c r="F500" s="16" t="s">
        <v>52</v>
      </c>
    </row>
    <row r="501" customFormat="false" ht="12.75" hidden="true" customHeight="true" outlineLevel="0" collapsed="false">
      <c r="A501" s="1" t="n">
        <v>3042</v>
      </c>
      <c r="B501" s="79" t="s">
        <v>714</v>
      </c>
      <c r="C501" s="79" t="s">
        <v>215</v>
      </c>
      <c r="D501" s="36" t="s">
        <v>8</v>
      </c>
      <c r="E501" s="37" t="n">
        <v>41682</v>
      </c>
      <c r="F501" s="16" t="s">
        <v>52</v>
      </c>
      <c r="G501" s="80" t="s">
        <v>70</v>
      </c>
    </row>
    <row r="502" customFormat="false" ht="23.25" hidden="true" customHeight="true" outlineLevel="0" collapsed="false">
      <c r="A502" s="11"/>
      <c r="B502" s="40" t="s">
        <v>715</v>
      </c>
      <c r="C502" s="40" t="s">
        <v>716</v>
      </c>
      <c r="D502" s="14" t="s">
        <v>8</v>
      </c>
      <c r="E502" s="59" t="n">
        <v>41577</v>
      </c>
      <c r="F502" s="16" t="s">
        <v>34</v>
      </c>
    </row>
    <row r="503" customFormat="false" ht="12.75" hidden="true" customHeight="true" outlineLevel="0" collapsed="false">
      <c r="A503" s="42" t="n">
        <v>4086</v>
      </c>
      <c r="B503" s="44" t="s">
        <v>717</v>
      </c>
      <c r="C503" s="44" t="s">
        <v>244</v>
      </c>
      <c r="D503" s="24" t="s">
        <v>8</v>
      </c>
      <c r="E503" s="45" t="n">
        <v>39194</v>
      </c>
      <c r="F503" s="26" t="s">
        <v>34</v>
      </c>
      <c r="G503" s="22" t="n">
        <v>500</v>
      </c>
    </row>
    <row r="504" customFormat="false" ht="12.75" hidden="true" customHeight="true" outlineLevel="0" collapsed="false">
      <c r="A504" s="1" t="n">
        <v>3007</v>
      </c>
      <c r="B504" s="108" t="s">
        <v>718</v>
      </c>
      <c r="C504" s="115" t="s">
        <v>719</v>
      </c>
      <c r="D504" s="36" t="s">
        <v>8</v>
      </c>
      <c r="E504" s="37" t="n">
        <v>41956</v>
      </c>
      <c r="F504" s="16" t="s">
        <v>29</v>
      </c>
      <c r="G504" s="50" t="s">
        <v>70</v>
      </c>
    </row>
    <row r="505" customFormat="false" ht="12.75" hidden="true" customHeight="true" outlineLevel="0" collapsed="false">
      <c r="A505" s="11"/>
      <c r="B505" s="13" t="s">
        <v>720</v>
      </c>
      <c r="C505" s="13" t="s">
        <v>214</v>
      </c>
      <c r="D505" s="14" t="s">
        <v>8</v>
      </c>
      <c r="E505" s="33" t="n">
        <v>41275</v>
      </c>
      <c r="F505" s="16" t="s">
        <v>9</v>
      </c>
    </row>
    <row r="506" customFormat="false" ht="12.75" hidden="true" customHeight="true" outlineLevel="0" collapsed="false">
      <c r="A506" s="42" t="n">
        <v>4011</v>
      </c>
      <c r="B506" s="79" t="s">
        <v>721</v>
      </c>
      <c r="C506" s="79" t="s">
        <v>722</v>
      </c>
      <c r="D506" s="36" t="s">
        <v>26</v>
      </c>
      <c r="E506" s="37" t="n">
        <v>41161</v>
      </c>
      <c r="F506" s="16" t="s">
        <v>52</v>
      </c>
      <c r="G506" s="80" t="s">
        <v>70</v>
      </c>
    </row>
    <row r="507" customFormat="false" ht="12.75" hidden="true" customHeight="true" outlineLevel="0" collapsed="false">
      <c r="A507" s="1" t="n">
        <v>2111</v>
      </c>
      <c r="B507" s="79" t="s">
        <v>721</v>
      </c>
      <c r="C507" s="79" t="s">
        <v>723</v>
      </c>
      <c r="D507" s="36" t="s">
        <v>8</v>
      </c>
      <c r="E507" s="37" t="n">
        <v>42019</v>
      </c>
      <c r="F507" s="16" t="s">
        <v>52</v>
      </c>
      <c r="G507" s="80" t="s">
        <v>70</v>
      </c>
    </row>
    <row r="508" customFormat="false" ht="12.75" hidden="true" customHeight="true" outlineLevel="0" collapsed="false">
      <c r="A508" s="1" t="n">
        <v>2162</v>
      </c>
      <c r="B508" s="44" t="s">
        <v>724</v>
      </c>
      <c r="C508" s="44" t="s">
        <v>31</v>
      </c>
      <c r="D508" s="24" t="s">
        <v>8</v>
      </c>
      <c r="E508" s="45" t="n">
        <v>42066</v>
      </c>
      <c r="F508" s="26" t="s">
        <v>34</v>
      </c>
      <c r="G508" s="22" t="n">
        <v>500</v>
      </c>
    </row>
    <row r="509" customFormat="false" ht="12.75" hidden="true" customHeight="true" outlineLevel="0" collapsed="false">
      <c r="A509" s="1" t="n">
        <v>2137</v>
      </c>
      <c r="B509" s="125" t="s">
        <v>725</v>
      </c>
      <c r="C509" s="125" t="s">
        <v>726</v>
      </c>
      <c r="D509" s="24" t="s">
        <v>8</v>
      </c>
      <c r="E509" s="126" t="n">
        <v>42011</v>
      </c>
      <c r="F509" s="127" t="s">
        <v>9</v>
      </c>
      <c r="G509" s="10" t="n">
        <v>500</v>
      </c>
    </row>
    <row r="510" customFormat="false" ht="23.25" hidden="true" customHeight="true" outlineLevel="0" collapsed="false">
      <c r="A510" s="11"/>
      <c r="B510" s="82" t="s">
        <v>727</v>
      </c>
      <c r="C510" s="40" t="s">
        <v>134</v>
      </c>
      <c r="D510" s="14" t="s">
        <v>8</v>
      </c>
      <c r="E510" s="15" t="n">
        <v>42417</v>
      </c>
      <c r="F510" s="16" t="s">
        <v>52</v>
      </c>
    </row>
    <row r="511" customFormat="false" ht="12.75" hidden="true" customHeight="true" outlineLevel="0" collapsed="false">
      <c r="A511" s="1" t="n">
        <v>2121</v>
      </c>
      <c r="B511" s="44" t="s">
        <v>728</v>
      </c>
      <c r="C511" s="44" t="s">
        <v>729</v>
      </c>
      <c r="D511" s="24" t="s">
        <v>8</v>
      </c>
      <c r="E511" s="104" t="n">
        <v>42478</v>
      </c>
      <c r="F511" s="105" t="s">
        <v>17</v>
      </c>
      <c r="G511" s="1" t="n">
        <v>500</v>
      </c>
    </row>
    <row r="512" customFormat="false" ht="12.75" hidden="true" customHeight="true" outlineLevel="0" collapsed="false">
      <c r="A512" s="11"/>
      <c r="B512" s="13" t="s">
        <v>730</v>
      </c>
      <c r="C512" s="13" t="s">
        <v>260</v>
      </c>
      <c r="D512" s="14" t="s">
        <v>8</v>
      </c>
      <c r="E512" s="33" t="n">
        <v>41275</v>
      </c>
      <c r="F512" s="16" t="s">
        <v>9</v>
      </c>
    </row>
    <row r="513" customFormat="false" ht="12.75" hidden="true" customHeight="true" outlineLevel="0" collapsed="false">
      <c r="A513" s="42" t="n">
        <v>4057</v>
      </c>
      <c r="B513" s="23" t="s">
        <v>731</v>
      </c>
      <c r="C513" s="23" t="s">
        <v>361</v>
      </c>
      <c r="D513" s="24" t="s">
        <v>8</v>
      </c>
      <c r="E513" s="104" t="n">
        <v>40220</v>
      </c>
      <c r="F513" s="105" t="s">
        <v>17</v>
      </c>
      <c r="G513" s="1" t="n">
        <v>500</v>
      </c>
    </row>
    <row r="514" customFormat="false" ht="12.75" hidden="true" customHeight="true" outlineLevel="0" collapsed="false">
      <c r="A514" s="11"/>
      <c r="B514" s="13" t="s">
        <v>732</v>
      </c>
      <c r="C514" s="13" t="s">
        <v>314</v>
      </c>
      <c r="D514" s="14" t="s">
        <v>8</v>
      </c>
      <c r="E514" s="33" t="n">
        <v>41275</v>
      </c>
      <c r="F514" s="16" t="s">
        <v>9</v>
      </c>
    </row>
    <row r="515" customFormat="false" ht="12.75" hidden="true" customHeight="true" outlineLevel="0" collapsed="false">
      <c r="A515" s="11"/>
      <c r="B515" s="60" t="s">
        <v>733</v>
      </c>
      <c r="C515" s="61" t="s">
        <v>734</v>
      </c>
      <c r="D515" s="14" t="s">
        <v>8</v>
      </c>
      <c r="E515" s="33" t="n">
        <v>39814</v>
      </c>
      <c r="F515" s="90" t="s">
        <v>9</v>
      </c>
    </row>
    <row r="516" customFormat="false" ht="12.75" hidden="true" customHeight="true" outlineLevel="0" collapsed="false">
      <c r="A516" s="1" t="n">
        <v>2093</v>
      </c>
      <c r="B516" s="51" t="s">
        <v>735</v>
      </c>
      <c r="C516" s="51" t="s">
        <v>736</v>
      </c>
      <c r="D516" s="36" t="s">
        <v>8</v>
      </c>
      <c r="E516" s="37" t="n">
        <v>42118</v>
      </c>
      <c r="F516" s="16" t="s">
        <v>197</v>
      </c>
      <c r="G516" s="50" t="n">
        <v>500</v>
      </c>
    </row>
    <row r="517" customFormat="false" ht="12.75" hidden="true" customHeight="true" outlineLevel="0" collapsed="false">
      <c r="A517" s="17" t="n">
        <v>3113</v>
      </c>
      <c r="B517" s="44" t="s">
        <v>737</v>
      </c>
      <c r="C517" s="44" t="s">
        <v>738</v>
      </c>
      <c r="D517" s="24" t="s">
        <v>8</v>
      </c>
      <c r="E517" s="45" t="n">
        <v>41476</v>
      </c>
      <c r="F517" s="26" t="s">
        <v>34</v>
      </c>
      <c r="G517" s="22" t="n">
        <v>500</v>
      </c>
    </row>
    <row r="518" customFormat="false" ht="12.75" hidden="true" customHeight="true" outlineLevel="0" collapsed="false">
      <c r="A518" s="1" t="n">
        <v>2001</v>
      </c>
      <c r="B518" s="108" t="s">
        <v>739</v>
      </c>
      <c r="C518" s="108" t="s">
        <v>740</v>
      </c>
      <c r="D518" s="36" t="s">
        <v>8</v>
      </c>
      <c r="E518" s="37" t="n">
        <v>42722</v>
      </c>
      <c r="F518" s="213" t="s">
        <v>129</v>
      </c>
      <c r="G518" s="110" t="n">
        <v>500</v>
      </c>
    </row>
    <row r="519" customFormat="false" ht="12.75" hidden="true" customHeight="true" outlineLevel="0" collapsed="false">
      <c r="A519" s="1" t="n">
        <v>1032</v>
      </c>
      <c r="B519" s="123" t="s">
        <v>741</v>
      </c>
      <c r="C519" s="123" t="s">
        <v>742</v>
      </c>
      <c r="D519" s="36" t="s">
        <v>26</v>
      </c>
      <c r="E519" s="37" t="n">
        <v>43121</v>
      </c>
      <c r="F519" s="16" t="s">
        <v>29</v>
      </c>
      <c r="G519" s="50" t="s">
        <v>70</v>
      </c>
    </row>
    <row r="520" customFormat="false" ht="12.75" hidden="true" customHeight="true" outlineLevel="0" collapsed="false">
      <c r="A520" s="1" t="n">
        <v>2063</v>
      </c>
      <c r="B520" s="108" t="s">
        <v>741</v>
      </c>
      <c r="C520" s="115" t="s">
        <v>743</v>
      </c>
      <c r="D520" s="36" t="s">
        <v>8</v>
      </c>
      <c r="E520" s="37" t="n">
        <v>42304</v>
      </c>
      <c r="F520" s="16" t="s">
        <v>29</v>
      </c>
      <c r="G520" s="50" t="s">
        <v>70</v>
      </c>
    </row>
    <row r="521" customFormat="false" ht="12.75" hidden="true" customHeight="true" outlineLevel="0" collapsed="false">
      <c r="A521" s="11"/>
      <c r="B521" s="214" t="s">
        <v>744</v>
      </c>
      <c r="C521" s="51" t="s">
        <v>210</v>
      </c>
      <c r="D521" s="14" t="s">
        <v>8</v>
      </c>
      <c r="E521" s="215" t="n">
        <v>42425</v>
      </c>
      <c r="F521" s="24" t="s">
        <v>129</v>
      </c>
    </row>
    <row r="522" customFormat="false" ht="12.75" hidden="true" customHeight="true" outlineLevel="0" collapsed="false">
      <c r="A522" s="11"/>
      <c r="B522" s="214" t="s">
        <v>744</v>
      </c>
      <c r="C522" s="62" t="s">
        <v>745</v>
      </c>
      <c r="D522" s="14" t="s">
        <v>8</v>
      </c>
      <c r="E522" s="215" t="n">
        <v>42425</v>
      </c>
      <c r="F522" s="24" t="s">
        <v>129</v>
      </c>
    </row>
    <row r="523" customFormat="false" ht="12.75" hidden="true" customHeight="true" outlineLevel="0" collapsed="false">
      <c r="A523" s="11"/>
      <c r="B523" s="12" t="s">
        <v>746</v>
      </c>
      <c r="C523" s="13" t="s">
        <v>747</v>
      </c>
      <c r="D523" s="14" t="s">
        <v>8</v>
      </c>
      <c r="E523" s="33" t="n">
        <v>40544</v>
      </c>
      <c r="F523" s="16" t="s">
        <v>9</v>
      </c>
    </row>
    <row r="524" customFormat="false" ht="12.75" hidden="true" customHeight="true" outlineLevel="0" collapsed="false">
      <c r="A524" s="11"/>
      <c r="B524" s="12" t="s">
        <v>746</v>
      </c>
      <c r="C524" s="13" t="s">
        <v>459</v>
      </c>
      <c r="D524" s="14" t="s">
        <v>8</v>
      </c>
      <c r="E524" s="33" t="n">
        <v>41640</v>
      </c>
      <c r="F524" s="16" t="s">
        <v>9</v>
      </c>
    </row>
    <row r="525" customFormat="false" ht="23.25" hidden="true" customHeight="true" outlineLevel="0" collapsed="false">
      <c r="A525" s="11"/>
      <c r="B525" s="82" t="s">
        <v>748</v>
      </c>
      <c r="C525" s="40" t="s">
        <v>14</v>
      </c>
      <c r="D525" s="14" t="s">
        <v>8</v>
      </c>
      <c r="E525" s="59" t="n">
        <v>39226</v>
      </c>
      <c r="F525" s="16" t="s">
        <v>17</v>
      </c>
    </row>
    <row r="526" customFormat="false" ht="12.75" hidden="true" customHeight="true" outlineLevel="0" collapsed="false">
      <c r="A526" s="42" t="n">
        <v>4030</v>
      </c>
      <c r="B526" s="79" t="s">
        <v>749</v>
      </c>
      <c r="C526" s="79" t="s">
        <v>750</v>
      </c>
      <c r="D526" s="36" t="s">
        <v>8</v>
      </c>
      <c r="E526" s="37" t="n">
        <v>40756</v>
      </c>
      <c r="F526" s="16" t="s">
        <v>52</v>
      </c>
      <c r="G526" s="80" t="s">
        <v>70</v>
      </c>
    </row>
    <row r="527" customFormat="false" ht="12.75" hidden="true" customHeight="true" outlineLevel="0" collapsed="false">
      <c r="A527" s="1" t="n">
        <v>2079</v>
      </c>
      <c r="B527" s="51" t="s">
        <v>751</v>
      </c>
      <c r="C527" s="51" t="s">
        <v>290</v>
      </c>
      <c r="D527" s="36" t="s">
        <v>8</v>
      </c>
      <c r="E527" s="37" t="n">
        <v>42221</v>
      </c>
      <c r="F527" s="16" t="s">
        <v>143</v>
      </c>
      <c r="G527" s="50" t="s">
        <v>70</v>
      </c>
    </row>
    <row r="528" customFormat="false" ht="12.75" hidden="true" customHeight="true" outlineLevel="0" collapsed="false">
      <c r="A528" s="1" t="n">
        <v>3059</v>
      </c>
      <c r="B528" s="51" t="s">
        <v>752</v>
      </c>
      <c r="C528" s="51" t="s">
        <v>753</v>
      </c>
      <c r="D528" s="36" t="s">
        <v>8</v>
      </c>
      <c r="E528" s="37" t="n">
        <v>41455</v>
      </c>
      <c r="F528" s="16" t="s">
        <v>197</v>
      </c>
      <c r="G528" s="50" t="n">
        <v>500</v>
      </c>
    </row>
    <row r="529" customFormat="false" ht="12.75" hidden="true" customHeight="true" outlineLevel="0" collapsed="false">
      <c r="A529" s="11"/>
      <c r="B529" s="216" t="s">
        <v>754</v>
      </c>
      <c r="C529" s="217" t="s">
        <v>755</v>
      </c>
      <c r="D529" s="218" t="s">
        <v>8</v>
      </c>
      <c r="E529" s="219" t="n">
        <v>41440</v>
      </c>
      <c r="F529" s="220" t="s">
        <v>29</v>
      </c>
    </row>
    <row r="530" customFormat="false" ht="23.25" hidden="true" customHeight="true" outlineLevel="0" collapsed="false">
      <c r="A530" s="11"/>
      <c r="B530" s="82" t="s">
        <v>756</v>
      </c>
      <c r="C530" s="40" t="s">
        <v>757</v>
      </c>
      <c r="D530" s="14" t="s">
        <v>8</v>
      </c>
      <c r="E530" s="15" t="n">
        <v>42793</v>
      </c>
      <c r="F530" s="90" t="s">
        <v>34</v>
      </c>
    </row>
    <row r="531" customFormat="false" ht="12.75" hidden="true" customHeight="true" outlineLevel="0" collapsed="false">
      <c r="A531" s="1" t="n">
        <v>1044</v>
      </c>
      <c r="B531" s="108" t="s">
        <v>758</v>
      </c>
      <c r="C531" s="115" t="s">
        <v>759</v>
      </c>
      <c r="D531" s="36" t="s">
        <v>8</v>
      </c>
      <c r="E531" s="37" t="n">
        <v>43033</v>
      </c>
      <c r="F531" s="90" t="s">
        <v>29</v>
      </c>
      <c r="G531" s="50" t="s">
        <v>70</v>
      </c>
    </row>
    <row r="532" customFormat="false" ht="12.75" hidden="true" customHeight="true" outlineLevel="0" collapsed="false">
      <c r="A532" s="11"/>
      <c r="B532" s="12" t="s">
        <v>760</v>
      </c>
      <c r="C532" s="13" t="s">
        <v>761</v>
      </c>
      <c r="D532" s="14" t="s">
        <v>8</v>
      </c>
      <c r="E532" s="52" t="n">
        <v>39719</v>
      </c>
      <c r="F532" s="16" t="s">
        <v>9</v>
      </c>
    </row>
    <row r="533" customFormat="false" ht="13.5" hidden="true" customHeight="true" outlineLevel="0" collapsed="false">
      <c r="A533" s="11"/>
      <c r="B533" s="39" t="s">
        <v>762</v>
      </c>
      <c r="C533" s="39" t="s">
        <v>242</v>
      </c>
      <c r="D533" s="14" t="s">
        <v>8</v>
      </c>
      <c r="E533" s="73" t="n">
        <v>42138</v>
      </c>
      <c r="F533" s="90" t="s">
        <v>29</v>
      </c>
    </row>
    <row r="534" customFormat="false" ht="12.75" hidden="true" customHeight="true" outlineLevel="0" collapsed="false">
      <c r="A534" s="11"/>
      <c r="B534" s="12" t="s">
        <v>763</v>
      </c>
      <c r="C534" s="62" t="s">
        <v>75</v>
      </c>
      <c r="D534" s="14" t="s">
        <v>8</v>
      </c>
      <c r="E534" s="138" t="n">
        <v>40569</v>
      </c>
      <c r="F534" s="24" t="s">
        <v>52</v>
      </c>
    </row>
    <row r="535" customFormat="false" ht="12.75" hidden="true" customHeight="true" outlineLevel="0" collapsed="false">
      <c r="A535" s="42" t="n">
        <v>4079</v>
      </c>
      <c r="B535" s="44" t="s">
        <v>764</v>
      </c>
      <c r="C535" s="44" t="s">
        <v>250</v>
      </c>
      <c r="D535" s="24" t="s">
        <v>8</v>
      </c>
      <c r="E535" s="45" t="n">
        <v>41258</v>
      </c>
      <c r="F535" s="26" t="s">
        <v>34</v>
      </c>
      <c r="G535" s="22" t="n">
        <v>500</v>
      </c>
    </row>
    <row r="536" customFormat="false" ht="12.75" hidden="true" customHeight="true" outlineLevel="0" collapsed="false">
      <c r="A536" s="1" t="n">
        <v>2163</v>
      </c>
      <c r="B536" s="44" t="s">
        <v>765</v>
      </c>
      <c r="C536" s="44" t="s">
        <v>165</v>
      </c>
      <c r="D536" s="24" t="s">
        <v>8</v>
      </c>
      <c r="E536" s="45" t="n">
        <v>42088</v>
      </c>
      <c r="F536" s="26" t="s">
        <v>34</v>
      </c>
      <c r="G536" s="22" t="n">
        <v>500</v>
      </c>
    </row>
    <row r="537" customFormat="false" ht="12.75" hidden="true" customHeight="true" outlineLevel="0" collapsed="false">
      <c r="A537" s="17" t="n">
        <v>3094</v>
      </c>
      <c r="B537" s="23" t="s">
        <v>766</v>
      </c>
      <c r="C537" s="23" t="s">
        <v>14</v>
      </c>
      <c r="D537" s="24" t="s">
        <v>8</v>
      </c>
      <c r="E537" s="43" t="n">
        <v>41915</v>
      </c>
      <c r="F537" s="168" t="s">
        <v>9</v>
      </c>
      <c r="G537" s="22" t="n">
        <v>500</v>
      </c>
    </row>
    <row r="538" customFormat="false" ht="12.75" hidden="true" customHeight="true" outlineLevel="0" collapsed="false">
      <c r="A538" s="11"/>
      <c r="B538" s="12" t="s">
        <v>767</v>
      </c>
      <c r="C538" s="13" t="s">
        <v>199</v>
      </c>
      <c r="D538" s="14" t="s">
        <v>8</v>
      </c>
      <c r="E538" s="52" t="n">
        <v>40801</v>
      </c>
      <c r="F538" s="16" t="s">
        <v>9</v>
      </c>
    </row>
    <row r="539" customFormat="false" ht="23.25" hidden="true" customHeight="true" outlineLevel="0" collapsed="false">
      <c r="A539" s="11"/>
      <c r="B539" s="82" t="s">
        <v>768</v>
      </c>
      <c r="C539" s="40" t="s">
        <v>769</v>
      </c>
      <c r="D539" s="14" t="s">
        <v>8</v>
      </c>
      <c r="E539" s="59" t="n">
        <v>40213</v>
      </c>
      <c r="F539" s="16" t="s">
        <v>20</v>
      </c>
    </row>
    <row r="540" customFormat="false" ht="12.75" hidden="true" customHeight="true" outlineLevel="0" collapsed="false">
      <c r="A540" s="1" t="n">
        <v>3021</v>
      </c>
      <c r="B540" s="51" t="s">
        <v>770</v>
      </c>
      <c r="C540" s="51" t="s">
        <v>771</v>
      </c>
      <c r="D540" s="36" t="s">
        <v>8</v>
      </c>
      <c r="E540" s="52" t="n">
        <v>41839</v>
      </c>
      <c r="F540" s="121" t="s">
        <v>20</v>
      </c>
      <c r="G540" s="50" t="n">
        <v>500</v>
      </c>
    </row>
    <row r="541" customFormat="false" ht="12.75" hidden="true" customHeight="true" outlineLevel="0" collapsed="false">
      <c r="A541" s="42" t="n">
        <v>4006</v>
      </c>
      <c r="B541" s="79" t="s">
        <v>772</v>
      </c>
      <c r="C541" s="79" t="s">
        <v>773</v>
      </c>
      <c r="D541" s="36" t="s">
        <v>8</v>
      </c>
      <c r="E541" s="37" t="n">
        <v>41202</v>
      </c>
      <c r="F541" s="90" t="s">
        <v>52</v>
      </c>
      <c r="G541" s="80" t="s">
        <v>70</v>
      </c>
    </row>
    <row r="542" customFormat="false" ht="12.75" hidden="true" customHeight="true" outlineLevel="0" collapsed="false">
      <c r="A542" s="1" t="n">
        <v>2017</v>
      </c>
      <c r="B542" s="79" t="s">
        <v>772</v>
      </c>
      <c r="C542" s="79" t="s">
        <v>774</v>
      </c>
      <c r="D542" s="36" t="s">
        <v>8</v>
      </c>
      <c r="E542" s="37" t="n">
        <v>42641</v>
      </c>
      <c r="F542" s="16" t="s">
        <v>52</v>
      </c>
      <c r="G542" s="80" t="s">
        <v>70</v>
      </c>
    </row>
    <row r="543" customFormat="false" ht="12.75" hidden="true" customHeight="true" outlineLevel="0" collapsed="false">
      <c r="A543" s="1" t="n">
        <v>2032</v>
      </c>
      <c r="B543" s="79" t="s">
        <v>775</v>
      </c>
      <c r="C543" s="79" t="s">
        <v>776</v>
      </c>
      <c r="D543" s="36" t="s">
        <v>8</v>
      </c>
      <c r="E543" s="37" t="n">
        <v>42499</v>
      </c>
      <c r="F543" s="90" t="s">
        <v>52</v>
      </c>
      <c r="G543" s="80" t="s">
        <v>70</v>
      </c>
    </row>
    <row r="544" customFormat="false" ht="12.75" hidden="true" customHeight="true" outlineLevel="0" collapsed="false">
      <c r="A544" s="1" t="n">
        <v>1003</v>
      </c>
      <c r="B544" s="79" t="s">
        <v>775</v>
      </c>
      <c r="C544" s="79" t="s">
        <v>777</v>
      </c>
      <c r="D544" s="36" t="s">
        <v>26</v>
      </c>
      <c r="E544" s="37" t="n">
        <v>43962</v>
      </c>
      <c r="F544" s="90" t="s">
        <v>52</v>
      </c>
      <c r="G544" s="80" t="s">
        <v>70</v>
      </c>
    </row>
    <row r="545" customFormat="false" ht="12.75" hidden="true" customHeight="true" outlineLevel="0" collapsed="false">
      <c r="A545" s="1" t="n">
        <v>3005</v>
      </c>
      <c r="B545" s="79" t="s">
        <v>775</v>
      </c>
      <c r="C545" s="79" t="s">
        <v>778</v>
      </c>
      <c r="D545" s="36" t="s">
        <v>8</v>
      </c>
      <c r="E545" s="37" t="n">
        <v>41979</v>
      </c>
      <c r="F545" s="16" t="s">
        <v>52</v>
      </c>
      <c r="G545" s="80" t="s">
        <v>70</v>
      </c>
    </row>
    <row r="546" customFormat="false" ht="12.75" hidden="true" customHeight="true" outlineLevel="0" collapsed="false">
      <c r="A546" s="1" t="n">
        <v>2076</v>
      </c>
      <c r="B546" s="79" t="s">
        <v>779</v>
      </c>
      <c r="C546" s="79" t="s">
        <v>314</v>
      </c>
      <c r="D546" s="36" t="s">
        <v>8</v>
      </c>
      <c r="E546" s="37" t="n">
        <v>42230</v>
      </c>
      <c r="F546" s="16" t="s">
        <v>52</v>
      </c>
      <c r="G546" s="80" t="s">
        <v>780</v>
      </c>
    </row>
    <row r="547" customFormat="false" ht="23.25" hidden="true" customHeight="true" outlineLevel="0" collapsed="false">
      <c r="A547" s="11"/>
      <c r="B547" s="39" t="s">
        <v>781</v>
      </c>
      <c r="C547" s="34" t="s">
        <v>782</v>
      </c>
      <c r="D547" s="14" t="s">
        <v>26</v>
      </c>
      <c r="E547" s="15" t="n">
        <v>42780</v>
      </c>
      <c r="F547" s="16" t="s">
        <v>29</v>
      </c>
    </row>
    <row r="548" customFormat="false" ht="23.25" hidden="true" customHeight="true" outlineLevel="0" collapsed="false">
      <c r="A548" s="11"/>
      <c r="B548" s="39" t="s">
        <v>781</v>
      </c>
      <c r="C548" s="34" t="s">
        <v>783</v>
      </c>
      <c r="D548" s="14" t="s">
        <v>26</v>
      </c>
      <c r="E548" s="15" t="n">
        <v>43511</v>
      </c>
      <c r="F548" s="16" t="s">
        <v>29</v>
      </c>
    </row>
    <row r="549" customFormat="false" ht="12.75" hidden="true" customHeight="true" outlineLevel="0" collapsed="false">
      <c r="A549" s="1" t="n">
        <v>3011</v>
      </c>
      <c r="B549" s="108" t="s">
        <v>784</v>
      </c>
      <c r="C549" s="108" t="s">
        <v>271</v>
      </c>
      <c r="D549" s="36" t="s">
        <v>8</v>
      </c>
      <c r="E549" s="37" t="n">
        <v>41927</v>
      </c>
      <c r="F549" s="109" t="s">
        <v>129</v>
      </c>
      <c r="G549" s="110" t="n">
        <v>500</v>
      </c>
    </row>
    <row r="550" customFormat="false" ht="12.75" hidden="true" customHeight="true" outlineLevel="0" collapsed="false">
      <c r="A550" s="1" t="n">
        <v>1038</v>
      </c>
      <c r="B550" s="108" t="s">
        <v>784</v>
      </c>
      <c r="C550" s="108" t="s">
        <v>785</v>
      </c>
      <c r="D550" s="36" t="s">
        <v>26</v>
      </c>
      <c r="E550" s="37" t="n">
        <v>43086</v>
      </c>
      <c r="F550" s="109" t="s">
        <v>129</v>
      </c>
      <c r="G550" s="110" t="n">
        <v>500</v>
      </c>
    </row>
    <row r="551" customFormat="false" ht="12.75" hidden="true" customHeight="true" outlineLevel="0" collapsed="false">
      <c r="A551" s="1" t="n">
        <v>1058</v>
      </c>
      <c r="B551" s="35" t="s">
        <v>786</v>
      </c>
      <c r="C551" s="34" t="s">
        <v>787</v>
      </c>
      <c r="D551" s="14" t="s">
        <v>26</v>
      </c>
      <c r="E551" s="37" t="n">
        <v>42820</v>
      </c>
      <c r="F551" s="90" t="s">
        <v>12</v>
      </c>
      <c r="G551" s="38" t="n">
        <v>500</v>
      </c>
    </row>
    <row r="552" customFormat="false" ht="12.75" hidden="true" customHeight="true" outlineLevel="0" collapsed="false">
      <c r="A552" s="1" t="n">
        <v>2025</v>
      </c>
      <c r="B552" s="35" t="s">
        <v>788</v>
      </c>
      <c r="C552" s="34" t="s">
        <v>789</v>
      </c>
      <c r="D552" s="36" t="s">
        <v>8</v>
      </c>
      <c r="E552" s="37" t="n">
        <v>42558</v>
      </c>
      <c r="F552" s="90" t="s">
        <v>12</v>
      </c>
      <c r="G552" s="38" t="n">
        <v>500</v>
      </c>
    </row>
    <row r="553" customFormat="false" ht="12.75" hidden="true" customHeight="true" outlineLevel="0" collapsed="false">
      <c r="A553" s="42" t="n">
        <v>4020</v>
      </c>
      <c r="B553" s="35" t="s">
        <v>788</v>
      </c>
      <c r="C553" s="34" t="s">
        <v>790</v>
      </c>
      <c r="D553" s="36" t="s">
        <v>8</v>
      </c>
      <c r="E553" s="37" t="n">
        <v>40905</v>
      </c>
      <c r="F553" s="16" t="s">
        <v>12</v>
      </c>
      <c r="G553" s="38" t="n">
        <v>500</v>
      </c>
    </row>
    <row r="554" customFormat="false" ht="13.5" hidden="true" customHeight="true" outlineLevel="0" collapsed="false">
      <c r="A554" s="11"/>
      <c r="B554" s="34" t="s">
        <v>791</v>
      </c>
      <c r="C554" s="44" t="s">
        <v>244</v>
      </c>
      <c r="D554" s="14" t="s">
        <v>8</v>
      </c>
      <c r="E554" s="73" t="n">
        <v>39250</v>
      </c>
      <c r="F554" s="16" t="s">
        <v>29</v>
      </c>
    </row>
    <row r="555" customFormat="false" ht="12.75" hidden="true" customHeight="true" outlineLevel="0" collapsed="false">
      <c r="A555" s="1" t="n">
        <v>1049</v>
      </c>
      <c r="B555" s="108" t="s">
        <v>792</v>
      </c>
      <c r="C555" s="115" t="s">
        <v>267</v>
      </c>
      <c r="D555" s="36" t="s">
        <v>8</v>
      </c>
      <c r="E555" s="37" t="n">
        <v>42892</v>
      </c>
      <c r="F555" s="16" t="s">
        <v>29</v>
      </c>
      <c r="G555" s="50" t="s">
        <v>70</v>
      </c>
    </row>
    <row r="556" customFormat="false" ht="12.75" hidden="true" customHeight="true" outlineLevel="0" collapsed="false">
      <c r="A556" s="42" t="n">
        <v>4047</v>
      </c>
      <c r="B556" s="81" t="s">
        <v>793</v>
      </c>
      <c r="C556" s="81" t="s">
        <v>417</v>
      </c>
      <c r="D556" s="36" t="s">
        <v>8</v>
      </c>
      <c r="E556" s="37" t="n">
        <v>40069</v>
      </c>
      <c r="F556" s="90" t="s">
        <v>52</v>
      </c>
      <c r="G556" s="80" t="s">
        <v>794</v>
      </c>
    </row>
    <row r="557" customFormat="false" ht="12.75" hidden="true" customHeight="true" outlineLevel="0" collapsed="false">
      <c r="A557" s="1" t="n">
        <v>3025</v>
      </c>
      <c r="B557" s="35" t="s">
        <v>795</v>
      </c>
      <c r="C557" s="34" t="s">
        <v>796</v>
      </c>
      <c r="D557" s="36" t="s">
        <v>8</v>
      </c>
      <c r="E557" s="37" t="n">
        <v>41802</v>
      </c>
      <c r="F557" s="16" t="s">
        <v>12</v>
      </c>
      <c r="G557" s="38" t="n">
        <v>500</v>
      </c>
    </row>
    <row r="558" customFormat="false" ht="12.75" hidden="true" customHeight="true" outlineLevel="0" collapsed="false">
      <c r="A558" s="1" t="n">
        <v>2067</v>
      </c>
      <c r="B558" s="108" t="s">
        <v>773</v>
      </c>
      <c r="C558" s="115" t="s">
        <v>797</v>
      </c>
      <c r="D558" s="36" t="s">
        <v>8</v>
      </c>
      <c r="E558" s="37" t="n">
        <v>42282</v>
      </c>
      <c r="F558" s="16" t="s">
        <v>29</v>
      </c>
      <c r="G558" s="50" t="s">
        <v>70</v>
      </c>
    </row>
    <row r="559" customFormat="false" ht="12.75" hidden="true" customHeight="true" outlineLevel="0" collapsed="false">
      <c r="A559" s="42" t="n">
        <v>4009</v>
      </c>
      <c r="B559" s="35" t="s">
        <v>798</v>
      </c>
      <c r="C559" s="34" t="s">
        <v>447</v>
      </c>
      <c r="D559" s="36" t="s">
        <v>8</v>
      </c>
      <c r="E559" s="37" t="n">
        <v>41185</v>
      </c>
      <c r="F559" s="16" t="s">
        <v>12</v>
      </c>
      <c r="G559" s="38" t="n">
        <v>500</v>
      </c>
    </row>
    <row r="560" customFormat="false" ht="12.75" hidden="true" customHeight="true" outlineLevel="0" collapsed="false">
      <c r="A560" s="1" t="n">
        <v>1080</v>
      </c>
      <c r="B560" s="44" t="s">
        <v>799</v>
      </c>
      <c r="C560" s="44" t="s">
        <v>31</v>
      </c>
      <c r="D560" s="36" t="s">
        <v>8</v>
      </c>
      <c r="E560" s="45" t="n">
        <v>43110</v>
      </c>
      <c r="F560" s="26" t="s">
        <v>34</v>
      </c>
      <c r="G560" s="22" t="n">
        <v>500</v>
      </c>
    </row>
    <row r="561" customFormat="false" ht="12.75" hidden="true" customHeight="true" outlineLevel="0" collapsed="false">
      <c r="A561" s="1" t="n">
        <v>2164</v>
      </c>
      <c r="B561" s="44" t="s">
        <v>800</v>
      </c>
      <c r="C561" s="44" t="s">
        <v>736</v>
      </c>
      <c r="D561" s="24" t="s">
        <v>8</v>
      </c>
      <c r="E561" s="45" t="n">
        <v>42281</v>
      </c>
      <c r="F561" s="26" t="s">
        <v>34</v>
      </c>
      <c r="G561" s="22" t="n">
        <v>500</v>
      </c>
    </row>
    <row r="562" customFormat="false" ht="12.75" hidden="true" customHeight="true" outlineLevel="0" collapsed="false">
      <c r="A562" s="42" t="n">
        <v>4080</v>
      </c>
      <c r="B562" s="44" t="s">
        <v>801</v>
      </c>
      <c r="C562" s="44" t="s">
        <v>802</v>
      </c>
      <c r="D562" s="24" t="s">
        <v>8</v>
      </c>
      <c r="E562" s="45" t="n">
        <v>40750</v>
      </c>
      <c r="F562" s="26" t="s">
        <v>34</v>
      </c>
      <c r="G562" s="22" t="n">
        <v>500</v>
      </c>
    </row>
    <row r="563" customFormat="false" ht="23.25" hidden="true" customHeight="true" outlineLevel="0" collapsed="false">
      <c r="A563" s="11"/>
      <c r="B563" s="58" t="s">
        <v>803</v>
      </c>
      <c r="C563" s="58" t="s">
        <v>370</v>
      </c>
      <c r="D563" s="14" t="s">
        <v>8</v>
      </c>
      <c r="E563" s="59" t="n">
        <v>41102</v>
      </c>
      <c r="F563" s="90" t="s">
        <v>20</v>
      </c>
    </row>
    <row r="564" customFormat="false" ht="13.5" hidden="true" customHeight="true" outlineLevel="0" collapsed="false">
      <c r="A564" s="11"/>
      <c r="B564" s="39" t="s">
        <v>804</v>
      </c>
      <c r="C564" s="39" t="s">
        <v>171</v>
      </c>
      <c r="D564" s="14" t="s">
        <v>8</v>
      </c>
      <c r="E564" s="73" t="n">
        <v>42213</v>
      </c>
      <c r="F564" s="90" t="s">
        <v>29</v>
      </c>
    </row>
    <row r="565" customFormat="false" ht="23.25" hidden="true" customHeight="true" outlineLevel="0" collapsed="false">
      <c r="A565" s="11"/>
      <c r="B565" s="40" t="s">
        <v>805</v>
      </c>
      <c r="C565" s="40" t="s">
        <v>806</v>
      </c>
      <c r="D565" s="14" t="s">
        <v>26</v>
      </c>
      <c r="E565" s="59" t="n">
        <v>41236</v>
      </c>
      <c r="F565" s="16" t="s">
        <v>52</v>
      </c>
    </row>
    <row r="566" customFormat="false" ht="12.75" hidden="true" customHeight="true" outlineLevel="0" collapsed="false">
      <c r="A566" s="1" t="n">
        <v>3018</v>
      </c>
      <c r="B566" s="79" t="s">
        <v>807</v>
      </c>
      <c r="C566" s="79" t="s">
        <v>214</v>
      </c>
      <c r="D566" s="36" t="s">
        <v>8</v>
      </c>
      <c r="E566" s="37" t="n">
        <v>41874</v>
      </c>
      <c r="F566" s="16" t="s">
        <v>52</v>
      </c>
      <c r="G566" s="80" t="s">
        <v>70</v>
      </c>
    </row>
    <row r="567" customFormat="false" ht="23.25" hidden="true" customHeight="true" outlineLevel="0" collapsed="false">
      <c r="A567" s="11"/>
      <c r="B567" s="82" t="s">
        <v>807</v>
      </c>
      <c r="C567" s="40" t="s">
        <v>215</v>
      </c>
      <c r="D567" s="14" t="s">
        <v>8</v>
      </c>
      <c r="E567" s="59" t="n">
        <v>39385</v>
      </c>
      <c r="F567" s="16" t="s">
        <v>52</v>
      </c>
    </row>
    <row r="568" customFormat="false" ht="12.75" hidden="true" customHeight="true" outlineLevel="0" collapsed="false">
      <c r="A568" s="1" t="n">
        <v>3034</v>
      </c>
      <c r="B568" s="108" t="s">
        <v>808</v>
      </c>
      <c r="C568" s="108" t="s">
        <v>809</v>
      </c>
      <c r="D568" s="36" t="s">
        <v>8</v>
      </c>
      <c r="E568" s="37" t="n">
        <v>41742</v>
      </c>
      <c r="F568" s="109" t="s">
        <v>129</v>
      </c>
      <c r="G568" s="110" t="n">
        <v>500</v>
      </c>
    </row>
    <row r="569" customFormat="false" ht="12.75" hidden="true" customHeight="true" outlineLevel="0" collapsed="false">
      <c r="A569" s="42" t="n">
        <v>4034</v>
      </c>
      <c r="B569" s="108" t="s">
        <v>810</v>
      </c>
      <c r="C569" s="108" t="s">
        <v>76</v>
      </c>
      <c r="D569" s="36" t="s">
        <v>8</v>
      </c>
      <c r="E569" s="37" t="n">
        <v>40686</v>
      </c>
      <c r="F569" s="213" t="s">
        <v>129</v>
      </c>
      <c r="G569" s="110" t="n">
        <v>879</v>
      </c>
    </row>
    <row r="570" customFormat="false" ht="23.25" hidden="true" customHeight="true" outlineLevel="0" collapsed="false">
      <c r="A570" s="11"/>
      <c r="B570" s="82" t="s">
        <v>811</v>
      </c>
      <c r="C570" s="40" t="s">
        <v>812</v>
      </c>
      <c r="D570" s="14" t="s">
        <v>8</v>
      </c>
      <c r="E570" s="59" t="n">
        <v>40680</v>
      </c>
      <c r="F570" s="16" t="s">
        <v>34</v>
      </c>
    </row>
    <row r="571" customFormat="false" ht="13.5" hidden="true" customHeight="true" outlineLevel="0" collapsed="false">
      <c r="A571" s="1" t="n">
        <v>2123</v>
      </c>
      <c r="B571" s="44" t="s">
        <v>813</v>
      </c>
      <c r="C571" s="44" t="s">
        <v>814</v>
      </c>
      <c r="D571" s="24" t="s">
        <v>8</v>
      </c>
      <c r="E571" s="221" t="n">
        <v>42106</v>
      </c>
      <c r="F571" s="105" t="s">
        <v>17</v>
      </c>
      <c r="G571" s="1" t="n">
        <v>500</v>
      </c>
    </row>
    <row r="572" customFormat="false" ht="12.75" hidden="true" customHeight="true" outlineLevel="0" collapsed="false">
      <c r="A572" s="42" t="n">
        <v>4087</v>
      </c>
      <c r="B572" s="44" t="s">
        <v>815</v>
      </c>
      <c r="C572" s="44" t="s">
        <v>280</v>
      </c>
      <c r="D572" s="24" t="s">
        <v>26</v>
      </c>
      <c r="E572" s="45" t="n">
        <v>39874</v>
      </c>
      <c r="F572" s="26" t="s">
        <v>34</v>
      </c>
      <c r="G572" s="22" t="n">
        <v>500</v>
      </c>
    </row>
    <row r="573" customFormat="false" ht="13.5" hidden="true" customHeight="true" outlineLevel="0" collapsed="false">
      <c r="A573" s="1" t="n">
        <v>1081</v>
      </c>
      <c r="B573" s="44" t="s">
        <v>815</v>
      </c>
      <c r="C573" s="44" t="s">
        <v>69</v>
      </c>
      <c r="D573" s="24" t="s">
        <v>26</v>
      </c>
      <c r="E573" s="45" t="n">
        <v>43081</v>
      </c>
      <c r="F573" s="26" t="s">
        <v>34</v>
      </c>
      <c r="G573" s="22" t="n">
        <v>500</v>
      </c>
    </row>
    <row r="574" customFormat="false" ht="12.75" hidden="true" customHeight="true" outlineLevel="0" collapsed="false">
      <c r="A574" s="1" t="n">
        <v>2165</v>
      </c>
      <c r="B574" s="44" t="s">
        <v>816</v>
      </c>
      <c r="C574" s="44" t="s">
        <v>61</v>
      </c>
      <c r="D574" s="24" t="s">
        <v>8</v>
      </c>
      <c r="E574" s="45" t="n">
        <v>42526</v>
      </c>
      <c r="F574" s="26" t="s">
        <v>34</v>
      </c>
      <c r="G574" s="222" t="n">
        <v>500</v>
      </c>
    </row>
    <row r="575" customFormat="false" ht="12.75" hidden="true" customHeight="true" outlineLevel="0" collapsed="false">
      <c r="A575" s="17" t="n">
        <v>3114</v>
      </c>
      <c r="B575" s="44" t="s">
        <v>816</v>
      </c>
      <c r="C575" s="44" t="s">
        <v>817</v>
      </c>
      <c r="D575" s="24" t="s">
        <v>8</v>
      </c>
      <c r="E575" s="45" t="n">
        <v>41730</v>
      </c>
      <c r="F575" s="26" t="s">
        <v>34</v>
      </c>
      <c r="G575" s="222" t="n">
        <v>500</v>
      </c>
    </row>
    <row r="576" customFormat="false" ht="12.75" hidden="true" customHeight="true" outlineLevel="0" collapsed="false">
      <c r="A576" s="1" t="n">
        <v>2166</v>
      </c>
      <c r="B576" s="44" t="s">
        <v>816</v>
      </c>
      <c r="C576" s="44" t="s">
        <v>738</v>
      </c>
      <c r="D576" s="24" t="s">
        <v>8</v>
      </c>
      <c r="E576" s="45" t="n">
        <v>42526</v>
      </c>
      <c r="F576" s="26" t="s">
        <v>34</v>
      </c>
      <c r="G576" s="222" t="n">
        <v>500</v>
      </c>
    </row>
    <row r="577" customFormat="false" ht="12.75" hidden="true" customHeight="true" outlineLevel="0" collapsed="false">
      <c r="A577" s="11"/>
      <c r="B577" s="13" t="s">
        <v>818</v>
      </c>
      <c r="C577" s="13" t="s">
        <v>16</v>
      </c>
      <c r="D577" s="14" t="s">
        <v>8</v>
      </c>
      <c r="E577" s="33" t="n">
        <v>41275</v>
      </c>
      <c r="F577" s="16" t="s">
        <v>9</v>
      </c>
      <c r="G577" s="223"/>
    </row>
    <row r="578" customFormat="false" ht="12.75" hidden="true" customHeight="true" outlineLevel="0" collapsed="false">
      <c r="A578" s="11"/>
      <c r="B578" s="12" t="s">
        <v>819</v>
      </c>
      <c r="C578" s="13" t="s">
        <v>820</v>
      </c>
      <c r="D578" s="14" t="s">
        <v>26</v>
      </c>
      <c r="E578" s="33" t="n">
        <v>41640</v>
      </c>
      <c r="F578" s="16" t="s">
        <v>9</v>
      </c>
      <c r="G578" s="223"/>
    </row>
    <row r="579" customFormat="false" ht="12.75" hidden="true" customHeight="true" outlineLevel="0" collapsed="false">
      <c r="A579" s="11"/>
      <c r="B579" s="62" t="s">
        <v>819</v>
      </c>
      <c r="C579" s="62" t="s">
        <v>821</v>
      </c>
      <c r="D579" s="14" t="s">
        <v>26</v>
      </c>
      <c r="E579" s="63" t="n">
        <v>41115</v>
      </c>
      <c r="F579" s="16" t="s">
        <v>52</v>
      </c>
      <c r="G579" s="223"/>
    </row>
    <row r="580" customFormat="false" ht="12.75" hidden="true" customHeight="true" outlineLevel="0" collapsed="false">
      <c r="A580" s="11"/>
      <c r="B580" s="82" t="s">
        <v>819</v>
      </c>
      <c r="C580" s="40" t="s">
        <v>822</v>
      </c>
      <c r="D580" s="14" t="s">
        <v>8</v>
      </c>
      <c r="E580" s="120" t="n">
        <v>40083</v>
      </c>
      <c r="F580" s="16" t="s">
        <v>52</v>
      </c>
      <c r="G580" s="223"/>
    </row>
    <row r="581" customFormat="false" ht="12.75" hidden="true" customHeight="true" outlineLevel="0" collapsed="false">
      <c r="A581" s="11"/>
      <c r="B581" s="39" t="s">
        <v>823</v>
      </c>
      <c r="C581" s="39" t="s">
        <v>824</v>
      </c>
      <c r="D581" s="14" t="s">
        <v>8</v>
      </c>
      <c r="E581" s="73" t="n">
        <v>42237</v>
      </c>
      <c r="F581" s="16" t="s">
        <v>29</v>
      </c>
      <c r="G581" s="223"/>
    </row>
    <row r="582" customFormat="false" ht="12.75" hidden="true" customHeight="true" outlineLevel="0" collapsed="false">
      <c r="A582" s="1" t="n">
        <v>2064</v>
      </c>
      <c r="B582" s="79" t="s">
        <v>825</v>
      </c>
      <c r="C582" s="79" t="s">
        <v>826</v>
      </c>
      <c r="D582" s="36" t="s">
        <v>8</v>
      </c>
      <c r="E582" s="37" t="n">
        <v>42290</v>
      </c>
      <c r="F582" s="16" t="s">
        <v>52</v>
      </c>
      <c r="G582" s="224" t="s">
        <v>70</v>
      </c>
    </row>
    <row r="583" customFormat="false" ht="12.75" hidden="true" customHeight="true" outlineLevel="0" collapsed="false">
      <c r="A583" s="1" t="n">
        <v>2088</v>
      </c>
      <c r="B583" s="79" t="s">
        <v>827</v>
      </c>
      <c r="C583" s="79" t="s">
        <v>127</v>
      </c>
      <c r="D583" s="36" t="s">
        <v>8</v>
      </c>
      <c r="E583" s="37" t="n">
        <v>42163</v>
      </c>
      <c r="F583" s="16" t="s">
        <v>52</v>
      </c>
      <c r="G583" s="224" t="s">
        <v>70</v>
      </c>
    </row>
    <row r="584" customFormat="false" ht="12.75" hidden="true" customHeight="true" outlineLevel="0" collapsed="false">
      <c r="A584" s="1" t="n">
        <v>2074</v>
      </c>
      <c r="B584" s="51" t="s">
        <v>828</v>
      </c>
      <c r="C584" s="51" t="s">
        <v>132</v>
      </c>
      <c r="D584" s="36" t="s">
        <v>8</v>
      </c>
      <c r="E584" s="37" t="n">
        <v>42242</v>
      </c>
      <c r="F584" s="16" t="s">
        <v>197</v>
      </c>
      <c r="G584" s="24" t="n">
        <v>500</v>
      </c>
    </row>
    <row r="585" customFormat="false" ht="12.75" hidden="true" customHeight="true" outlineLevel="0" collapsed="false">
      <c r="A585" s="1" t="n">
        <v>1029</v>
      </c>
      <c r="B585" s="123" t="s">
        <v>829</v>
      </c>
      <c r="C585" s="123" t="s">
        <v>830</v>
      </c>
      <c r="D585" s="36" t="s">
        <v>26</v>
      </c>
      <c r="E585" s="37" t="n">
        <v>43181</v>
      </c>
      <c r="F585" s="16" t="s">
        <v>29</v>
      </c>
      <c r="G585" s="24" t="s">
        <v>70</v>
      </c>
    </row>
    <row r="586" customFormat="false" ht="12.75" hidden="true" customHeight="true" outlineLevel="0" collapsed="false">
      <c r="A586" s="11"/>
      <c r="B586" s="40" t="s">
        <v>831</v>
      </c>
      <c r="C586" s="40" t="s">
        <v>228</v>
      </c>
      <c r="D586" s="14" t="s">
        <v>8</v>
      </c>
      <c r="E586" s="59" t="n">
        <v>41579</v>
      </c>
      <c r="F586" s="16" t="s">
        <v>52</v>
      </c>
      <c r="G586" s="223"/>
    </row>
    <row r="587" customFormat="false" ht="12.75" hidden="true" customHeight="true" outlineLevel="0" collapsed="false">
      <c r="A587" s="17" t="n">
        <v>3115</v>
      </c>
      <c r="B587" s="44" t="s">
        <v>832</v>
      </c>
      <c r="C587" s="44" t="s">
        <v>406</v>
      </c>
      <c r="D587" s="24" t="s">
        <v>8</v>
      </c>
      <c r="E587" s="45" t="n">
        <v>41800</v>
      </c>
      <c r="F587" s="26" t="s">
        <v>34</v>
      </c>
      <c r="G587" s="222" t="n">
        <v>500</v>
      </c>
    </row>
    <row r="588" customFormat="false" ht="12.75" hidden="true" customHeight="true" outlineLevel="0" collapsed="false">
      <c r="A588" s="17" t="n">
        <v>3116</v>
      </c>
      <c r="B588" s="44" t="s">
        <v>833</v>
      </c>
      <c r="C588" s="44" t="s">
        <v>834</v>
      </c>
      <c r="D588" s="24" t="s">
        <v>8</v>
      </c>
      <c r="E588" s="45" t="n">
        <v>41963</v>
      </c>
      <c r="F588" s="26" t="s">
        <v>34</v>
      </c>
      <c r="G588" s="222" t="n">
        <v>500</v>
      </c>
    </row>
    <row r="589" customFormat="false" ht="12.75" hidden="true" customHeight="true" outlineLevel="0" collapsed="false">
      <c r="A589" s="11"/>
      <c r="B589" s="82" t="s">
        <v>835</v>
      </c>
      <c r="C589" s="40" t="s">
        <v>639</v>
      </c>
      <c r="D589" s="14" t="s">
        <v>8</v>
      </c>
      <c r="E589" s="59" t="n">
        <v>40320</v>
      </c>
      <c r="F589" s="16" t="s">
        <v>52</v>
      </c>
      <c r="G589" s="223"/>
    </row>
    <row r="590" customFormat="false" ht="12.75" hidden="true" customHeight="true" outlineLevel="0" collapsed="false">
      <c r="A590" s="1" t="n">
        <v>2122</v>
      </c>
      <c r="B590" s="44" t="s">
        <v>836</v>
      </c>
      <c r="C590" s="44" t="s">
        <v>75</v>
      </c>
      <c r="D590" s="24" t="s">
        <v>8</v>
      </c>
      <c r="E590" s="104" t="n">
        <v>42437</v>
      </c>
      <c r="F590" s="105" t="s">
        <v>17</v>
      </c>
      <c r="G590" s="225" t="n">
        <v>500</v>
      </c>
    </row>
    <row r="591" customFormat="false" ht="12.75" hidden="true" customHeight="true" outlineLevel="0" collapsed="false">
      <c r="A591" s="17" t="n">
        <v>3117</v>
      </c>
      <c r="B591" s="44" t="s">
        <v>837</v>
      </c>
      <c r="C591" s="44" t="s">
        <v>838</v>
      </c>
      <c r="D591" s="24" t="s">
        <v>8</v>
      </c>
      <c r="E591" s="45" t="n">
        <v>41983</v>
      </c>
      <c r="F591" s="26" t="s">
        <v>34</v>
      </c>
      <c r="G591" s="222" t="n">
        <v>500</v>
      </c>
    </row>
    <row r="592" customFormat="false" ht="12.75" hidden="true" customHeight="true" outlineLevel="0" collapsed="false">
      <c r="A592" s="11"/>
      <c r="B592" s="39" t="s">
        <v>839</v>
      </c>
      <c r="C592" s="40" t="s">
        <v>81</v>
      </c>
      <c r="D592" s="14" t="s">
        <v>8</v>
      </c>
      <c r="E592" s="41" t="n">
        <v>41401</v>
      </c>
      <c r="F592" s="16" t="s">
        <v>29</v>
      </c>
      <c r="G592" s="223"/>
    </row>
    <row r="593" customFormat="false" ht="12.75" hidden="true" customHeight="true" outlineLevel="0" collapsed="false">
      <c r="A593" s="2" t="n">
        <v>3132</v>
      </c>
      <c r="B593" s="208" t="s">
        <v>840</v>
      </c>
      <c r="C593" s="39" t="s">
        <v>81</v>
      </c>
      <c r="D593" s="14" t="s">
        <v>8</v>
      </c>
      <c r="E593" s="226"/>
      <c r="F593" s="16" t="s">
        <v>29</v>
      </c>
      <c r="G593" s="222" t="n">
        <v>500</v>
      </c>
    </row>
    <row r="594" customFormat="false" ht="12.75" hidden="true" customHeight="true" outlineLevel="0" collapsed="false">
      <c r="A594" s="1" t="n">
        <v>2081</v>
      </c>
      <c r="B594" s="108" t="s">
        <v>841</v>
      </c>
      <c r="C594" s="115" t="s">
        <v>171</v>
      </c>
      <c r="D594" s="36" t="s">
        <v>8</v>
      </c>
      <c r="E594" s="37" t="n">
        <v>42213</v>
      </c>
      <c r="F594" s="16" t="s">
        <v>29</v>
      </c>
      <c r="G594" s="24" t="s">
        <v>70</v>
      </c>
    </row>
    <row r="595" customFormat="false" ht="12.75" hidden="true" customHeight="true" outlineLevel="0" collapsed="false">
      <c r="A595" s="11"/>
      <c r="B595" s="12" t="s">
        <v>842</v>
      </c>
      <c r="C595" s="13" t="s">
        <v>574</v>
      </c>
      <c r="D595" s="14" t="s">
        <v>8</v>
      </c>
      <c r="E595" s="33" t="n">
        <v>41640</v>
      </c>
      <c r="F595" s="16" t="s">
        <v>9</v>
      </c>
      <c r="G595" s="223"/>
    </row>
    <row r="596" customFormat="false" ht="12.75" hidden="true" customHeight="true" outlineLevel="0" collapsed="false">
      <c r="A596" s="17" t="n">
        <v>3091</v>
      </c>
      <c r="B596" s="23" t="s">
        <v>843</v>
      </c>
      <c r="C596" s="23" t="s">
        <v>574</v>
      </c>
      <c r="D596" s="24" t="s">
        <v>8</v>
      </c>
      <c r="E596" s="43" t="n">
        <v>41725</v>
      </c>
      <c r="F596" s="26" t="s">
        <v>9</v>
      </c>
      <c r="G596" s="222" t="n">
        <v>500</v>
      </c>
    </row>
    <row r="597" customFormat="false" ht="12.75" hidden="true" customHeight="true" outlineLevel="0" collapsed="false">
      <c r="A597" s="227"/>
      <c r="B597" s="44" t="s">
        <v>844</v>
      </c>
      <c r="C597" s="129" t="s">
        <v>845</v>
      </c>
      <c r="D597" s="135" t="s">
        <v>8</v>
      </c>
      <c r="E597" s="136" t="n">
        <v>40634</v>
      </c>
      <c r="F597" s="228" t="s">
        <v>119</v>
      </c>
      <c r="G597" s="223"/>
    </row>
    <row r="598" customFormat="false" ht="12.75" hidden="true" customHeight="true" outlineLevel="0" collapsed="false">
      <c r="A598" s="1" t="n">
        <v>2069</v>
      </c>
      <c r="B598" s="108" t="s">
        <v>846</v>
      </c>
      <c r="C598" s="115" t="s">
        <v>406</v>
      </c>
      <c r="D598" s="36" t="s">
        <v>8</v>
      </c>
      <c r="E598" s="37" t="n">
        <v>42262</v>
      </c>
      <c r="F598" s="16" t="s">
        <v>29</v>
      </c>
      <c r="G598" s="24" t="s">
        <v>70</v>
      </c>
    </row>
    <row r="599" customFormat="false" ht="12.75" hidden="true" customHeight="true" outlineLevel="0" collapsed="false">
      <c r="A599" s="1" t="n">
        <v>2167</v>
      </c>
      <c r="B599" s="44" t="s">
        <v>847</v>
      </c>
      <c r="C599" s="44" t="s">
        <v>76</v>
      </c>
      <c r="D599" s="24" t="s">
        <v>8</v>
      </c>
      <c r="E599" s="45" t="n">
        <v>42158</v>
      </c>
      <c r="F599" s="26" t="s">
        <v>34</v>
      </c>
      <c r="G599" s="222" t="n">
        <v>500</v>
      </c>
    </row>
    <row r="600" customFormat="false" ht="12.75" hidden="true" customHeight="true" outlineLevel="0" collapsed="false">
      <c r="A600" s="1" t="n">
        <v>1017</v>
      </c>
      <c r="B600" s="108" t="s">
        <v>848</v>
      </c>
      <c r="C600" s="115" t="s">
        <v>554</v>
      </c>
      <c r="D600" s="36" t="s">
        <v>8</v>
      </c>
      <c r="E600" s="37" t="n">
        <v>43297</v>
      </c>
      <c r="F600" s="16" t="s">
        <v>29</v>
      </c>
      <c r="G600" s="24" t="s">
        <v>70</v>
      </c>
    </row>
    <row r="601" customFormat="false" ht="12.75" hidden="true" customHeight="true" outlineLevel="0" collapsed="false">
      <c r="A601" s="42" t="n">
        <v>4058</v>
      </c>
      <c r="B601" s="23" t="s">
        <v>849</v>
      </c>
      <c r="C601" s="23" t="s">
        <v>393</v>
      </c>
      <c r="D601" s="24" t="s">
        <v>8</v>
      </c>
      <c r="E601" s="104" t="n">
        <v>40112</v>
      </c>
      <c r="F601" s="105" t="s">
        <v>17</v>
      </c>
      <c r="G601" s="225" t="n">
        <v>756</v>
      </c>
    </row>
    <row r="602" customFormat="false" ht="12.75" hidden="true" customHeight="true" outlineLevel="0" collapsed="false">
      <c r="A602" s="42" t="n">
        <v>4088</v>
      </c>
      <c r="B602" s="44" t="s">
        <v>850</v>
      </c>
      <c r="C602" s="44" t="s">
        <v>851</v>
      </c>
      <c r="D602" s="24" t="s">
        <v>8</v>
      </c>
      <c r="E602" s="45" t="n">
        <v>40049</v>
      </c>
      <c r="F602" s="26" t="s">
        <v>34</v>
      </c>
      <c r="G602" s="222" t="n">
        <v>500</v>
      </c>
    </row>
    <row r="603" customFormat="false" ht="12.75" hidden="true" customHeight="true" outlineLevel="0" collapsed="false">
      <c r="A603" s="42" t="n">
        <v>4013</v>
      </c>
      <c r="B603" s="35" t="s">
        <v>852</v>
      </c>
      <c r="C603" s="34" t="s">
        <v>853</v>
      </c>
      <c r="D603" s="36" t="s">
        <v>8</v>
      </c>
      <c r="E603" s="37" t="n">
        <v>41157</v>
      </c>
      <c r="F603" s="16" t="s">
        <v>12</v>
      </c>
      <c r="G603" s="16" t="n">
        <v>619</v>
      </c>
    </row>
    <row r="604" customFormat="false" ht="12.75" hidden="true" customHeight="true" outlineLevel="0" collapsed="false">
      <c r="A604" s="1" t="n">
        <v>2060</v>
      </c>
      <c r="B604" s="35" t="s">
        <v>852</v>
      </c>
      <c r="C604" s="34" t="s">
        <v>854</v>
      </c>
      <c r="D604" s="36" t="s">
        <v>8</v>
      </c>
      <c r="E604" s="37" t="n">
        <v>42323</v>
      </c>
      <c r="F604" s="16" t="s">
        <v>12</v>
      </c>
      <c r="G604" s="16" t="n">
        <v>500</v>
      </c>
    </row>
    <row r="605" customFormat="false" ht="12.75" hidden="true" customHeight="true" outlineLevel="0" collapsed="false">
      <c r="A605" s="1" t="n">
        <v>2056</v>
      </c>
      <c r="B605" s="79" t="s">
        <v>855</v>
      </c>
      <c r="C605" s="79" t="s">
        <v>217</v>
      </c>
      <c r="D605" s="36" t="s">
        <v>8</v>
      </c>
      <c r="E605" s="37" t="n">
        <v>42350</v>
      </c>
      <c r="F605" s="16" t="s">
        <v>52</v>
      </c>
      <c r="G605" s="224" t="s">
        <v>70</v>
      </c>
    </row>
    <row r="606" customFormat="false" ht="12.75" hidden="true" customHeight="true" outlineLevel="0" collapsed="false">
      <c r="A606" s="11"/>
      <c r="B606" s="39" t="s">
        <v>856</v>
      </c>
      <c r="C606" s="34" t="s">
        <v>541</v>
      </c>
      <c r="D606" s="14" t="s">
        <v>8</v>
      </c>
      <c r="E606" s="41" t="n">
        <v>41455</v>
      </c>
      <c r="F606" s="16" t="s">
        <v>29</v>
      </c>
      <c r="G606" s="44"/>
    </row>
    <row r="607" customFormat="false" ht="12.75" hidden="true" customHeight="true" outlineLevel="0" collapsed="false">
      <c r="A607" s="2" t="n">
        <v>3134</v>
      </c>
      <c r="B607" s="39" t="s">
        <v>856</v>
      </c>
      <c r="C607" s="34" t="s">
        <v>541</v>
      </c>
      <c r="D607" s="14" t="s">
        <v>8</v>
      </c>
      <c r="E607" s="41" t="n">
        <v>41455</v>
      </c>
      <c r="F607" s="16" t="s">
        <v>29</v>
      </c>
      <c r="G607" s="222" t="n">
        <v>500</v>
      </c>
    </row>
    <row r="608" customFormat="false" ht="12.75" hidden="true" customHeight="true" outlineLevel="0" collapsed="false">
      <c r="A608" s="11"/>
      <c r="B608" s="12" t="s">
        <v>856</v>
      </c>
      <c r="C608" s="13" t="s">
        <v>345</v>
      </c>
      <c r="D608" s="14" t="s">
        <v>8</v>
      </c>
      <c r="E608" s="33" t="n">
        <v>39814</v>
      </c>
      <c r="F608" s="16" t="s">
        <v>9</v>
      </c>
      <c r="G608" s="44"/>
    </row>
    <row r="609" customFormat="false" ht="12.75" hidden="true" customHeight="true" outlineLevel="0" collapsed="false">
      <c r="A609" s="11"/>
      <c r="B609" s="82" t="s">
        <v>857</v>
      </c>
      <c r="C609" s="40" t="s">
        <v>574</v>
      </c>
      <c r="D609" s="14" t="s">
        <v>8</v>
      </c>
      <c r="E609" s="59" t="n">
        <v>40264</v>
      </c>
      <c r="F609" s="16" t="s">
        <v>34</v>
      </c>
      <c r="G609" s="44"/>
    </row>
    <row r="610" customFormat="false" ht="12.75" hidden="true" customHeight="true" outlineLevel="0" collapsed="false">
      <c r="A610" s="42" t="n">
        <v>4059</v>
      </c>
      <c r="B610" s="23" t="s">
        <v>858</v>
      </c>
      <c r="C610" s="23" t="s">
        <v>859</v>
      </c>
      <c r="D610" s="24" t="s">
        <v>8</v>
      </c>
      <c r="E610" s="104" t="n">
        <v>41172</v>
      </c>
      <c r="F610" s="105" t="s">
        <v>17</v>
      </c>
      <c r="G610" s="225" t="n">
        <v>500</v>
      </c>
    </row>
    <row r="611" customFormat="false" ht="12.75" hidden="true" customHeight="true" outlineLevel="0" collapsed="false">
      <c r="A611" s="11"/>
      <c r="B611" s="12" t="s">
        <v>860</v>
      </c>
      <c r="C611" s="13" t="s">
        <v>222</v>
      </c>
      <c r="D611" s="14" t="s">
        <v>8</v>
      </c>
      <c r="E611" s="33" t="n">
        <v>40544</v>
      </c>
      <c r="F611" s="16" t="s">
        <v>9</v>
      </c>
      <c r="G611" s="44"/>
    </row>
    <row r="612" customFormat="false" ht="12.75" hidden="true" customHeight="true" outlineLevel="0" collapsed="false">
      <c r="A612" s="11"/>
      <c r="B612" s="57" t="s">
        <v>861</v>
      </c>
      <c r="C612" s="58" t="s">
        <v>745</v>
      </c>
      <c r="D612" s="14" t="s">
        <v>8</v>
      </c>
      <c r="E612" s="15" t="n">
        <v>42487</v>
      </c>
      <c r="F612" s="16" t="s">
        <v>119</v>
      </c>
      <c r="G612" s="44"/>
    </row>
    <row r="613" customFormat="false" ht="12.75" hidden="true" customHeight="true" outlineLevel="0" collapsed="false">
      <c r="A613" s="11"/>
      <c r="B613" s="82" t="s">
        <v>862</v>
      </c>
      <c r="C613" s="40" t="s">
        <v>863</v>
      </c>
      <c r="D613" s="14" t="s">
        <v>8</v>
      </c>
      <c r="E613" s="15" t="n">
        <v>42649</v>
      </c>
      <c r="F613" s="16" t="s">
        <v>34</v>
      </c>
      <c r="G613" s="44"/>
    </row>
    <row r="614" customFormat="false" ht="12.75" hidden="true" customHeight="true" outlineLevel="0" collapsed="false">
      <c r="A614" s="17" t="n">
        <v>3118</v>
      </c>
      <c r="B614" s="44" t="s">
        <v>864</v>
      </c>
      <c r="C614" s="44" t="s">
        <v>67</v>
      </c>
      <c r="D614" s="24" t="s">
        <v>8</v>
      </c>
      <c r="E614" s="45" t="n">
        <v>41435</v>
      </c>
      <c r="F614" s="26" t="s">
        <v>34</v>
      </c>
      <c r="G614" s="222" t="n">
        <v>500</v>
      </c>
    </row>
    <row r="615" customFormat="false" ht="12.75" hidden="true" customHeight="true" outlineLevel="0" collapsed="false">
      <c r="A615" s="42" t="n">
        <v>4039</v>
      </c>
      <c r="B615" s="108" t="s">
        <v>865</v>
      </c>
      <c r="C615" s="115" t="s">
        <v>711</v>
      </c>
      <c r="D615" s="36" t="s">
        <v>8</v>
      </c>
      <c r="E615" s="37" t="n">
        <v>40593</v>
      </c>
      <c r="F615" s="16" t="s">
        <v>29</v>
      </c>
      <c r="G615" s="24" t="s">
        <v>70</v>
      </c>
    </row>
    <row r="616" customFormat="false" ht="12.75" hidden="true" customHeight="true" outlineLevel="0" collapsed="false">
      <c r="A616" s="1" t="n">
        <v>3023</v>
      </c>
      <c r="B616" s="229" t="s">
        <v>866</v>
      </c>
      <c r="C616" s="230" t="s">
        <v>867</v>
      </c>
      <c r="D616" s="36" t="s">
        <v>8</v>
      </c>
      <c r="E616" s="37" t="n">
        <v>41828</v>
      </c>
      <c r="F616" s="16" t="s">
        <v>12</v>
      </c>
      <c r="G616" s="16" t="n">
        <v>500</v>
      </c>
    </row>
    <row r="617" customFormat="false" ht="12.75" hidden="true" customHeight="true" outlineLevel="0" collapsed="false">
      <c r="A617" s="1" t="n">
        <v>3078</v>
      </c>
      <c r="B617" s="51" t="s">
        <v>868</v>
      </c>
      <c r="C617" s="51" t="s">
        <v>869</v>
      </c>
      <c r="D617" s="36" t="s">
        <v>8</v>
      </c>
      <c r="E617" s="52" t="n">
        <v>41288</v>
      </c>
      <c r="F617" s="24" t="s">
        <v>20</v>
      </c>
      <c r="G617" s="24" t="n">
        <v>500</v>
      </c>
    </row>
    <row r="618" customFormat="false" ht="12.75" hidden="true" customHeight="true" outlineLevel="0" collapsed="false">
      <c r="A618" s="1" t="n">
        <v>1011</v>
      </c>
      <c r="B618" s="35" t="s">
        <v>870</v>
      </c>
      <c r="C618" s="34" t="s">
        <v>871</v>
      </c>
      <c r="D618" s="36" t="s">
        <v>8</v>
      </c>
      <c r="E618" s="37" t="n">
        <v>43438</v>
      </c>
      <c r="F618" s="16" t="s">
        <v>12</v>
      </c>
      <c r="G618" s="16" t="n">
        <v>500</v>
      </c>
    </row>
    <row r="619" customFormat="false" ht="12.75" hidden="true" customHeight="true" outlineLevel="0" collapsed="false">
      <c r="A619" s="1" t="n">
        <v>3031</v>
      </c>
      <c r="B619" s="108" t="s">
        <v>872</v>
      </c>
      <c r="C619" s="115" t="s">
        <v>417</v>
      </c>
      <c r="D619" s="36" t="s">
        <v>8</v>
      </c>
      <c r="E619" s="37" t="n">
        <v>41770</v>
      </c>
      <c r="F619" s="16" t="s">
        <v>29</v>
      </c>
      <c r="G619" s="24" t="s">
        <v>70</v>
      </c>
    </row>
    <row r="620" customFormat="false" ht="12.75" hidden="true" customHeight="true" outlineLevel="0" collapsed="false">
      <c r="A620" s="1" t="n">
        <v>2124</v>
      </c>
      <c r="B620" s="44" t="s">
        <v>873</v>
      </c>
      <c r="C620" s="44" t="s">
        <v>814</v>
      </c>
      <c r="D620" s="24" t="s">
        <v>8</v>
      </c>
      <c r="E620" s="104" t="n">
        <v>42116</v>
      </c>
      <c r="F620" s="105" t="s">
        <v>17</v>
      </c>
      <c r="G620" s="225" t="n">
        <v>500</v>
      </c>
    </row>
    <row r="621" customFormat="false" ht="12.75" hidden="true" customHeight="true" outlineLevel="0" collapsed="false">
      <c r="A621" s="1" t="n">
        <v>1066</v>
      </c>
      <c r="B621" s="44" t="s">
        <v>873</v>
      </c>
      <c r="C621" s="44" t="s">
        <v>616</v>
      </c>
      <c r="D621" s="24" t="s">
        <v>8</v>
      </c>
      <c r="E621" s="104" t="n">
        <v>43218</v>
      </c>
      <c r="F621" s="105" t="s">
        <v>17</v>
      </c>
      <c r="G621" s="225" t="n">
        <v>500</v>
      </c>
    </row>
    <row r="622" customFormat="false" ht="12.75" hidden="true" customHeight="true" outlineLevel="0" collapsed="false">
      <c r="A622" s="11"/>
      <c r="B622" s="82" t="s">
        <v>874</v>
      </c>
      <c r="C622" s="40" t="s">
        <v>875</v>
      </c>
      <c r="D622" s="14" t="s">
        <v>26</v>
      </c>
      <c r="E622" s="15" t="n">
        <v>42704</v>
      </c>
      <c r="F622" s="16" t="s">
        <v>52</v>
      </c>
      <c r="G622" s="44"/>
    </row>
    <row r="623" customFormat="false" ht="12.75" hidden="true" customHeight="true" outlineLevel="0" collapsed="false">
      <c r="A623" s="11"/>
      <c r="B623" s="12" t="s">
        <v>874</v>
      </c>
      <c r="C623" s="13" t="s">
        <v>876</v>
      </c>
      <c r="D623" s="14" t="s">
        <v>26</v>
      </c>
      <c r="E623" s="33" t="n">
        <v>40544</v>
      </c>
      <c r="F623" s="16" t="s">
        <v>9</v>
      </c>
      <c r="G623" s="44"/>
    </row>
    <row r="624" customFormat="false" ht="12.75" hidden="true" customHeight="true" outlineLevel="0" collapsed="false">
      <c r="A624" s="11"/>
      <c r="B624" s="82" t="s">
        <v>874</v>
      </c>
      <c r="C624" s="40" t="s">
        <v>821</v>
      </c>
      <c r="D624" s="14" t="s">
        <v>26</v>
      </c>
      <c r="E624" s="15" t="n">
        <v>42704</v>
      </c>
      <c r="F624" s="16" t="s">
        <v>52</v>
      </c>
      <c r="G624" s="44"/>
    </row>
    <row r="625" customFormat="false" ht="12.75" hidden="true" customHeight="true" outlineLevel="0" collapsed="false">
      <c r="A625" s="11"/>
      <c r="B625" s="82" t="s">
        <v>877</v>
      </c>
      <c r="C625" s="40" t="s">
        <v>422</v>
      </c>
      <c r="D625" s="14" t="s">
        <v>8</v>
      </c>
      <c r="E625" s="15" t="n">
        <v>42826</v>
      </c>
      <c r="F625" s="16" t="s">
        <v>52</v>
      </c>
      <c r="G625" s="44"/>
    </row>
    <row r="626" customFormat="false" ht="12.75" hidden="true" customHeight="true" outlineLevel="0" collapsed="false">
      <c r="A626" s="1" t="n">
        <v>1056</v>
      </c>
      <c r="B626" s="79" t="s">
        <v>877</v>
      </c>
      <c r="C626" s="79" t="s">
        <v>422</v>
      </c>
      <c r="D626" s="36" t="s">
        <v>8</v>
      </c>
      <c r="E626" s="37" t="n">
        <v>42826</v>
      </c>
      <c r="F626" s="16" t="s">
        <v>52</v>
      </c>
      <c r="G626" s="224" t="s">
        <v>70</v>
      </c>
    </row>
    <row r="627" customFormat="false" ht="12.75" hidden="true" customHeight="true" outlineLevel="0" collapsed="false">
      <c r="A627" s="133"/>
      <c r="B627" s="231" t="s">
        <v>878</v>
      </c>
      <c r="C627" s="231" t="s">
        <v>879</v>
      </c>
      <c r="D627" s="14"/>
      <c r="E627" s="32" t="n">
        <v>41275</v>
      </c>
      <c r="F627" s="16" t="s">
        <v>119</v>
      </c>
      <c r="G627" s="44"/>
    </row>
    <row r="628" customFormat="false" ht="12.75" hidden="true" customHeight="true" outlineLevel="0" collapsed="false">
      <c r="A628" s="11"/>
      <c r="B628" s="82" t="s">
        <v>880</v>
      </c>
      <c r="C628" s="40" t="s">
        <v>639</v>
      </c>
      <c r="D628" s="14" t="s">
        <v>8</v>
      </c>
      <c r="E628" s="59" t="n">
        <v>39735</v>
      </c>
      <c r="F628" s="14" t="s">
        <v>143</v>
      </c>
      <c r="G628" s="44"/>
    </row>
    <row r="629" customFormat="false" ht="12.75" hidden="true" customHeight="true" outlineLevel="0" collapsed="false">
      <c r="A629" s="1" t="n">
        <v>2126</v>
      </c>
      <c r="B629" s="44" t="s">
        <v>881</v>
      </c>
      <c r="C629" s="44" t="s">
        <v>882</v>
      </c>
      <c r="D629" s="24" t="s">
        <v>26</v>
      </c>
      <c r="E629" s="104" t="n">
        <v>42371</v>
      </c>
      <c r="F629" s="105" t="s">
        <v>17</v>
      </c>
      <c r="G629" s="225" t="n">
        <v>500</v>
      </c>
    </row>
    <row r="630" customFormat="false" ht="12.75" hidden="true" customHeight="true" outlineLevel="0" collapsed="false">
      <c r="A630" s="11"/>
      <c r="B630" s="82" t="s">
        <v>883</v>
      </c>
      <c r="C630" s="40" t="s">
        <v>884</v>
      </c>
      <c r="D630" s="14" t="s">
        <v>8</v>
      </c>
      <c r="E630" s="59" t="n">
        <v>41859</v>
      </c>
      <c r="F630" s="16" t="s">
        <v>17</v>
      </c>
      <c r="G630" s="44"/>
    </row>
    <row r="631" customFormat="false" ht="12.75" hidden="true" customHeight="true" outlineLevel="0" collapsed="false">
      <c r="A631" s="42" t="n">
        <v>4027</v>
      </c>
      <c r="B631" s="79" t="s">
        <v>885</v>
      </c>
      <c r="C631" s="79" t="s">
        <v>886</v>
      </c>
      <c r="D631" s="36" t="s">
        <v>8</v>
      </c>
      <c r="E631" s="37" t="n">
        <v>40815</v>
      </c>
      <c r="F631" s="16" t="s">
        <v>52</v>
      </c>
      <c r="G631" s="224" t="s">
        <v>887</v>
      </c>
    </row>
    <row r="632" customFormat="false" ht="12.75" hidden="true" customHeight="true" outlineLevel="0" collapsed="false">
      <c r="A632" s="1" t="n">
        <v>3066</v>
      </c>
      <c r="B632" s="108" t="s">
        <v>888</v>
      </c>
      <c r="C632" s="115" t="s">
        <v>61</v>
      </c>
      <c r="D632" s="36" t="s">
        <v>8</v>
      </c>
      <c r="E632" s="37" t="n">
        <v>41389</v>
      </c>
      <c r="F632" s="16" t="s">
        <v>29</v>
      </c>
      <c r="G632" s="24" t="s">
        <v>70</v>
      </c>
    </row>
    <row r="633" customFormat="false" ht="12.75" hidden="true" customHeight="true" outlineLevel="0" collapsed="false">
      <c r="A633" s="11"/>
      <c r="B633" s="39" t="s">
        <v>889</v>
      </c>
      <c r="C633" s="39" t="s">
        <v>228</v>
      </c>
      <c r="D633" s="14" t="s">
        <v>8</v>
      </c>
      <c r="E633" s="73" t="n">
        <v>42134</v>
      </c>
      <c r="F633" s="16" t="s">
        <v>29</v>
      </c>
      <c r="G633" s="44"/>
    </row>
    <row r="634" customFormat="false" ht="12.75" hidden="true" customHeight="true" outlineLevel="0" collapsed="false">
      <c r="A634" s="11"/>
      <c r="B634" s="34" t="s">
        <v>889</v>
      </c>
      <c r="C634" s="34" t="s">
        <v>16</v>
      </c>
      <c r="D634" s="14" t="s">
        <v>8</v>
      </c>
      <c r="E634" s="102" t="n">
        <v>40518</v>
      </c>
      <c r="F634" s="16" t="s">
        <v>29</v>
      </c>
      <c r="G634" s="44"/>
    </row>
    <row r="635" customFormat="false" ht="12.75" hidden="true" customHeight="true" outlineLevel="0" collapsed="false">
      <c r="A635" s="11"/>
      <c r="B635" s="13" t="s">
        <v>890</v>
      </c>
      <c r="C635" s="13" t="s">
        <v>891</v>
      </c>
      <c r="D635" s="14" t="s">
        <v>8</v>
      </c>
      <c r="E635" s="33" t="n">
        <v>40909</v>
      </c>
      <c r="F635" s="16" t="s">
        <v>9</v>
      </c>
      <c r="G635" s="44"/>
    </row>
    <row r="636" customFormat="false" ht="12.75" hidden="true" customHeight="true" outlineLevel="0" collapsed="false">
      <c r="A636" s="11"/>
      <c r="B636" s="82" t="s">
        <v>892</v>
      </c>
      <c r="C636" s="40" t="s">
        <v>893</v>
      </c>
      <c r="D636" s="14" t="s">
        <v>8</v>
      </c>
      <c r="E636" s="15" t="n">
        <v>42449</v>
      </c>
      <c r="F636" s="16" t="s">
        <v>34</v>
      </c>
      <c r="G636" s="44"/>
    </row>
    <row r="637" customFormat="false" ht="12.75" hidden="true" customHeight="true" outlineLevel="0" collapsed="false">
      <c r="A637" s="1" t="n">
        <v>2168</v>
      </c>
      <c r="B637" s="44" t="s">
        <v>892</v>
      </c>
      <c r="C637" s="44" t="s">
        <v>893</v>
      </c>
      <c r="D637" s="24" t="s">
        <v>8</v>
      </c>
      <c r="E637" s="45" t="n">
        <v>42449</v>
      </c>
      <c r="F637" s="26" t="s">
        <v>34</v>
      </c>
      <c r="G637" s="222" t="n">
        <v>500</v>
      </c>
    </row>
    <row r="638" customFormat="false" ht="12.75" hidden="true" customHeight="true" outlineLevel="0" collapsed="false">
      <c r="A638" s="1" t="n">
        <v>2048</v>
      </c>
      <c r="B638" s="35" t="s">
        <v>894</v>
      </c>
      <c r="C638" s="34" t="s">
        <v>895</v>
      </c>
      <c r="D638" s="36" t="s">
        <v>8</v>
      </c>
      <c r="E638" s="37" t="n">
        <v>42388</v>
      </c>
      <c r="F638" s="16" t="s">
        <v>12</v>
      </c>
      <c r="G638" s="16" t="n">
        <v>500</v>
      </c>
    </row>
    <row r="639" customFormat="false" ht="12.75" hidden="true" customHeight="true" outlineLevel="0" collapsed="false">
      <c r="A639" s="11"/>
      <c r="B639" s="40" t="s">
        <v>896</v>
      </c>
      <c r="C639" s="40" t="s">
        <v>437</v>
      </c>
      <c r="D639" s="14" t="s">
        <v>8</v>
      </c>
      <c r="E639" s="59" t="n">
        <v>41471</v>
      </c>
      <c r="F639" s="16" t="s">
        <v>52</v>
      </c>
      <c r="G639" s="44"/>
    </row>
    <row r="640" customFormat="false" ht="12.75" hidden="true" customHeight="true" outlineLevel="0" collapsed="false">
      <c r="A640" s="1" t="n">
        <v>3056</v>
      </c>
      <c r="B640" s="79" t="s">
        <v>896</v>
      </c>
      <c r="C640" s="79" t="s">
        <v>437</v>
      </c>
      <c r="D640" s="36" t="s">
        <v>8</v>
      </c>
      <c r="E640" s="37" t="n">
        <v>41471</v>
      </c>
      <c r="F640" s="16" t="s">
        <v>52</v>
      </c>
      <c r="G640" s="224" t="s">
        <v>70</v>
      </c>
    </row>
    <row r="641" customFormat="false" ht="12.75" hidden="true" customHeight="true" outlineLevel="0" collapsed="false">
      <c r="A641" s="11"/>
      <c r="B641" s="60" t="s">
        <v>897</v>
      </c>
      <c r="C641" s="61" t="s">
        <v>454</v>
      </c>
      <c r="D641" s="14" t="s">
        <v>8</v>
      </c>
      <c r="E641" s="59" t="n">
        <v>39953</v>
      </c>
      <c r="F641" s="16" t="s">
        <v>12</v>
      </c>
      <c r="G641" s="44"/>
    </row>
    <row r="642" customFormat="false" ht="12.75" hidden="true" customHeight="true" outlineLevel="0" collapsed="false">
      <c r="A642" s="1" t="n">
        <v>2030</v>
      </c>
      <c r="B642" s="79" t="s">
        <v>898</v>
      </c>
      <c r="C642" s="79" t="s">
        <v>75</v>
      </c>
      <c r="D642" s="36" t="s">
        <v>8</v>
      </c>
      <c r="E642" s="37" t="n">
        <v>42526</v>
      </c>
      <c r="F642" s="16" t="s">
        <v>52</v>
      </c>
      <c r="G642" s="224" t="s">
        <v>70</v>
      </c>
    </row>
    <row r="643" customFormat="false" ht="12.75" hidden="true" customHeight="true" outlineLevel="0" collapsed="false">
      <c r="A643" s="11"/>
      <c r="B643" s="40" t="s">
        <v>899</v>
      </c>
      <c r="C643" s="40" t="s">
        <v>900</v>
      </c>
      <c r="D643" s="14" t="s">
        <v>26</v>
      </c>
      <c r="E643" s="59" t="n">
        <v>41135</v>
      </c>
      <c r="F643" s="16" t="s">
        <v>34</v>
      </c>
      <c r="G643" s="44"/>
    </row>
    <row r="644" customFormat="false" ht="12.75" hidden="true" customHeight="true" outlineLevel="0" collapsed="false">
      <c r="A644" s="42" t="n">
        <v>4081</v>
      </c>
      <c r="B644" s="44" t="s">
        <v>899</v>
      </c>
      <c r="C644" s="44" t="s">
        <v>900</v>
      </c>
      <c r="D644" s="24" t="s">
        <v>26</v>
      </c>
      <c r="E644" s="45" t="n">
        <v>41135</v>
      </c>
      <c r="F644" s="26" t="s">
        <v>34</v>
      </c>
      <c r="G644" s="222" t="n">
        <v>500</v>
      </c>
    </row>
    <row r="645" customFormat="false" ht="12.75" hidden="true" customHeight="true" outlineLevel="0" collapsed="false">
      <c r="A645" s="11"/>
      <c r="B645" s="82" t="s">
        <v>901</v>
      </c>
      <c r="C645" s="40" t="s">
        <v>217</v>
      </c>
      <c r="D645" s="14" t="s">
        <v>8</v>
      </c>
      <c r="E645" s="15" t="n">
        <v>42584</v>
      </c>
      <c r="F645" s="16" t="s">
        <v>34</v>
      </c>
      <c r="G645" s="44"/>
    </row>
    <row r="646" customFormat="false" ht="12.75" hidden="true" customHeight="true" outlineLevel="0" collapsed="false">
      <c r="A646" s="11"/>
      <c r="B646" s="57" t="s">
        <v>901</v>
      </c>
      <c r="C646" s="58" t="s">
        <v>902</v>
      </c>
      <c r="D646" s="14" t="s">
        <v>8</v>
      </c>
      <c r="E646" s="59" t="n">
        <v>40616</v>
      </c>
      <c r="F646" s="16" t="s">
        <v>34</v>
      </c>
      <c r="G646" s="44"/>
    </row>
    <row r="647" customFormat="false" ht="12.75" hidden="true" customHeight="true" outlineLevel="0" collapsed="false">
      <c r="A647" s="11"/>
      <c r="B647" s="12" t="s">
        <v>903</v>
      </c>
      <c r="C647" s="232" t="s">
        <v>904</v>
      </c>
      <c r="D647" s="137" t="s">
        <v>8</v>
      </c>
      <c r="E647" s="59" t="n">
        <v>42125</v>
      </c>
      <c r="F647" s="24" t="s">
        <v>129</v>
      </c>
      <c r="G647" s="44"/>
    </row>
    <row r="648" customFormat="false" ht="12.75" hidden="true" customHeight="true" outlineLevel="0" collapsed="false">
      <c r="A648" s="1" t="n">
        <v>2091</v>
      </c>
      <c r="B648" s="108" t="s">
        <v>903</v>
      </c>
      <c r="C648" s="108" t="s">
        <v>904</v>
      </c>
      <c r="D648" s="36" t="s">
        <v>8</v>
      </c>
      <c r="E648" s="37" t="n">
        <v>42125</v>
      </c>
      <c r="F648" s="109" t="s">
        <v>129</v>
      </c>
      <c r="G648" s="109" t="n">
        <v>500</v>
      </c>
    </row>
    <row r="649" customFormat="false" ht="12.75" hidden="true" customHeight="true" outlineLevel="0" collapsed="false">
      <c r="A649" s="11"/>
      <c r="B649" s="12" t="s">
        <v>903</v>
      </c>
      <c r="C649" s="13" t="s">
        <v>83</v>
      </c>
      <c r="D649" s="137" t="s">
        <v>8</v>
      </c>
      <c r="E649" s="59" t="n">
        <v>42125</v>
      </c>
      <c r="F649" s="24" t="s">
        <v>129</v>
      </c>
      <c r="G649" s="44"/>
    </row>
    <row r="650" customFormat="false" ht="12.75" hidden="true" customHeight="true" outlineLevel="0" collapsed="false">
      <c r="A650" s="1" t="n">
        <v>2092</v>
      </c>
      <c r="B650" s="108" t="s">
        <v>903</v>
      </c>
      <c r="C650" s="108" t="s">
        <v>83</v>
      </c>
      <c r="D650" s="36" t="s">
        <v>8</v>
      </c>
      <c r="E650" s="37" t="n">
        <v>42125</v>
      </c>
      <c r="F650" s="109" t="s">
        <v>129</v>
      </c>
      <c r="G650" s="109" t="n">
        <v>500</v>
      </c>
    </row>
    <row r="651" customFormat="false" ht="12.75" hidden="true" customHeight="true" outlineLevel="0" collapsed="false">
      <c r="A651" s="1" t="n">
        <v>2080</v>
      </c>
      <c r="B651" s="51" t="s">
        <v>905</v>
      </c>
      <c r="C651" s="51" t="s">
        <v>906</v>
      </c>
      <c r="D651" s="36" t="s">
        <v>8</v>
      </c>
      <c r="E651" s="37" t="n">
        <v>42220</v>
      </c>
      <c r="F651" s="16" t="s">
        <v>143</v>
      </c>
      <c r="G651" s="24" t="s">
        <v>70</v>
      </c>
    </row>
    <row r="652" customFormat="false" ht="12.75" hidden="true" customHeight="true" outlineLevel="0" collapsed="false">
      <c r="A652" s="42" t="n">
        <v>4010</v>
      </c>
      <c r="B652" s="108" t="s">
        <v>907</v>
      </c>
      <c r="C652" s="115" t="s">
        <v>908</v>
      </c>
      <c r="D652" s="36" t="s">
        <v>8</v>
      </c>
      <c r="E652" s="37" t="n">
        <v>41176</v>
      </c>
      <c r="F652" s="16" t="s">
        <v>29</v>
      </c>
      <c r="G652" s="24" t="s">
        <v>70</v>
      </c>
    </row>
    <row r="653" customFormat="false" ht="12.75" hidden="true" customHeight="true" outlineLevel="0" collapsed="false">
      <c r="A653" s="11"/>
      <c r="B653" s="39" t="s">
        <v>909</v>
      </c>
      <c r="C653" s="34" t="s">
        <v>214</v>
      </c>
      <c r="D653" s="14" t="s">
        <v>8</v>
      </c>
      <c r="E653" s="15" t="n">
        <v>42974</v>
      </c>
      <c r="F653" s="16" t="s">
        <v>29</v>
      </c>
      <c r="G653" s="44"/>
    </row>
    <row r="654" customFormat="false" ht="12.75" hidden="true" customHeight="true" outlineLevel="0" collapsed="false">
      <c r="A654" s="1" t="n">
        <v>1047</v>
      </c>
      <c r="B654" s="108" t="s">
        <v>910</v>
      </c>
      <c r="C654" s="115" t="s">
        <v>214</v>
      </c>
      <c r="D654" s="36" t="s">
        <v>8</v>
      </c>
      <c r="E654" s="37" t="n">
        <v>42974</v>
      </c>
      <c r="F654" s="16" t="s">
        <v>29</v>
      </c>
      <c r="G654" s="24" t="s">
        <v>70</v>
      </c>
    </row>
    <row r="655" customFormat="false" ht="12.75" hidden="true" customHeight="true" outlineLevel="0" collapsed="false">
      <c r="A655" s="1" t="n">
        <v>2066</v>
      </c>
      <c r="B655" s="51" t="s">
        <v>911</v>
      </c>
      <c r="C655" s="51" t="s">
        <v>228</v>
      </c>
      <c r="D655" s="36" t="s">
        <v>8</v>
      </c>
      <c r="E655" s="37" t="n">
        <v>42283</v>
      </c>
      <c r="F655" s="16" t="s">
        <v>143</v>
      </c>
      <c r="G655" s="24" t="s">
        <v>70</v>
      </c>
    </row>
    <row r="656" customFormat="false" ht="12.75" hidden="true" customHeight="true" outlineLevel="0" collapsed="false">
      <c r="A656" s="11"/>
      <c r="B656" s="39" t="s">
        <v>912</v>
      </c>
      <c r="C656" s="34" t="s">
        <v>303</v>
      </c>
      <c r="D656" s="14" t="s">
        <v>8</v>
      </c>
      <c r="E656" s="41" t="n">
        <v>41182</v>
      </c>
      <c r="F656" s="16" t="s">
        <v>29</v>
      </c>
      <c r="G656" s="44"/>
    </row>
    <row r="657" customFormat="false" ht="12.75" hidden="true" customHeight="true" outlineLevel="0" collapsed="false">
      <c r="A657" s="11"/>
      <c r="B657" s="12" t="s">
        <v>913</v>
      </c>
      <c r="C657" s="232" t="s">
        <v>914</v>
      </c>
      <c r="D657" s="137" t="s">
        <v>8</v>
      </c>
      <c r="E657" s="59" t="n">
        <v>41772</v>
      </c>
      <c r="F657" s="24" t="s">
        <v>129</v>
      </c>
      <c r="G657" s="44"/>
    </row>
    <row r="658" customFormat="false" ht="12.75" hidden="true" customHeight="true" outlineLevel="0" collapsed="false">
      <c r="A658" s="11"/>
      <c r="B658" s="40" t="s">
        <v>913</v>
      </c>
      <c r="C658" s="40" t="s">
        <v>915</v>
      </c>
      <c r="D658" s="14" t="s">
        <v>26</v>
      </c>
      <c r="E658" s="59" t="n">
        <v>41529</v>
      </c>
      <c r="F658" s="16" t="s">
        <v>34</v>
      </c>
      <c r="G658" s="44"/>
    </row>
    <row r="659" customFormat="false" ht="12.75" hidden="true" customHeight="true" outlineLevel="0" collapsed="false">
      <c r="A659" s="17" t="n">
        <v>3119</v>
      </c>
      <c r="B659" s="44" t="s">
        <v>913</v>
      </c>
      <c r="C659" s="44" t="s">
        <v>915</v>
      </c>
      <c r="D659" s="24" t="s">
        <v>26</v>
      </c>
      <c r="E659" s="45" t="n">
        <v>41529</v>
      </c>
      <c r="F659" s="26" t="s">
        <v>34</v>
      </c>
      <c r="G659" s="222" t="n">
        <v>500</v>
      </c>
    </row>
    <row r="660" customFormat="false" ht="12.75" hidden="true" customHeight="true" outlineLevel="0" collapsed="false">
      <c r="A660" s="11"/>
      <c r="B660" s="60" t="s">
        <v>913</v>
      </c>
      <c r="C660" s="61" t="s">
        <v>916</v>
      </c>
      <c r="D660" s="14" t="s">
        <v>8</v>
      </c>
      <c r="E660" s="59" t="n">
        <v>40698</v>
      </c>
      <c r="F660" s="16" t="s">
        <v>129</v>
      </c>
      <c r="G660" s="44"/>
    </row>
    <row r="661" customFormat="false" ht="12.75" hidden="true" customHeight="true" outlineLevel="0" collapsed="false">
      <c r="A661" s="11"/>
      <c r="B661" s="39" t="s">
        <v>917</v>
      </c>
      <c r="C661" s="34" t="s">
        <v>918</v>
      </c>
      <c r="D661" s="14" t="s">
        <v>26</v>
      </c>
      <c r="E661" s="15" t="n">
        <v>42632</v>
      </c>
      <c r="F661" s="16" t="s">
        <v>29</v>
      </c>
      <c r="G661" s="44"/>
    </row>
    <row r="662" customFormat="false" ht="12.75" hidden="true" customHeight="true" outlineLevel="0" collapsed="false">
      <c r="A662" s="11"/>
      <c r="B662" s="39" t="s">
        <v>917</v>
      </c>
      <c r="C662" s="39" t="s">
        <v>919</v>
      </c>
      <c r="D662" s="14" t="s">
        <v>26</v>
      </c>
      <c r="E662" s="73" t="n">
        <v>41697</v>
      </c>
      <c r="F662" s="16" t="s">
        <v>29</v>
      </c>
      <c r="G662" s="44"/>
    </row>
    <row r="663" customFormat="false" ht="12.75" hidden="true" customHeight="true" outlineLevel="0" collapsed="false">
      <c r="A663" s="1" t="n">
        <v>2125</v>
      </c>
      <c r="B663" s="44" t="s">
        <v>920</v>
      </c>
      <c r="C663" s="44" t="s">
        <v>14</v>
      </c>
      <c r="D663" s="24" t="s">
        <v>8</v>
      </c>
      <c r="E663" s="104" t="n">
        <v>42579</v>
      </c>
      <c r="F663" s="105" t="s">
        <v>17</v>
      </c>
      <c r="G663" s="225" t="n">
        <v>500</v>
      </c>
    </row>
    <row r="664" customFormat="false" ht="12.75" hidden="true" customHeight="true" outlineLevel="0" collapsed="false">
      <c r="A664" s="11"/>
      <c r="B664" s="82" t="s">
        <v>921</v>
      </c>
      <c r="C664" s="40" t="s">
        <v>43</v>
      </c>
      <c r="D664" s="14" t="s">
        <v>8</v>
      </c>
      <c r="E664" s="59" t="n">
        <v>41647</v>
      </c>
      <c r="F664" s="16" t="s">
        <v>34</v>
      </c>
      <c r="G664" s="44"/>
    </row>
    <row r="665" customFormat="false" ht="12.75" hidden="true" customHeight="true" outlineLevel="0" collapsed="false">
      <c r="A665" s="11"/>
      <c r="B665" s="40" t="s">
        <v>442</v>
      </c>
      <c r="C665" s="40" t="s">
        <v>753</v>
      </c>
      <c r="D665" s="14" t="s">
        <v>8</v>
      </c>
      <c r="E665" s="59" t="n">
        <v>41532</v>
      </c>
      <c r="F665" s="16" t="s">
        <v>52</v>
      </c>
      <c r="G665" s="44"/>
    </row>
    <row r="666" customFormat="false" ht="12.75" hidden="true" customHeight="true" outlineLevel="0" collapsed="false">
      <c r="A666" s="11"/>
      <c r="B666" s="39" t="s">
        <v>922</v>
      </c>
      <c r="C666" s="39" t="s">
        <v>923</v>
      </c>
      <c r="D666" s="14" t="s">
        <v>8</v>
      </c>
      <c r="E666" s="59" t="n">
        <v>41650</v>
      </c>
      <c r="F666" s="16" t="s">
        <v>52</v>
      </c>
      <c r="G666" s="44"/>
    </row>
    <row r="667" customFormat="false" ht="12.75" hidden="true" customHeight="true" outlineLevel="0" collapsed="false">
      <c r="A667" s="1" t="n">
        <v>3049</v>
      </c>
      <c r="B667" s="79" t="s">
        <v>922</v>
      </c>
      <c r="C667" s="79" t="s">
        <v>923</v>
      </c>
      <c r="D667" s="36" t="s">
        <v>8</v>
      </c>
      <c r="E667" s="37" t="n">
        <v>41650</v>
      </c>
      <c r="F667" s="16" t="s">
        <v>52</v>
      </c>
      <c r="G667" s="224" t="s">
        <v>70</v>
      </c>
    </row>
    <row r="668" customFormat="false" ht="12.75" hidden="true" customHeight="true" outlineLevel="0" collapsed="false">
      <c r="A668" s="1" t="n">
        <v>2136</v>
      </c>
      <c r="B668" s="53" t="s">
        <v>924</v>
      </c>
      <c r="C668" s="53" t="s">
        <v>244</v>
      </c>
      <c r="D668" s="24" t="s">
        <v>8</v>
      </c>
      <c r="E668" s="54" t="n">
        <v>42057</v>
      </c>
      <c r="F668" s="55" t="s">
        <v>9</v>
      </c>
      <c r="G668" s="233" t="n">
        <v>513</v>
      </c>
    </row>
    <row r="669" customFormat="false" ht="12.75" hidden="true" customHeight="true" outlineLevel="0" collapsed="false">
      <c r="A669" s="11"/>
      <c r="B669" s="12" t="s">
        <v>925</v>
      </c>
      <c r="C669" s="13" t="s">
        <v>755</v>
      </c>
      <c r="D669" s="14" t="s">
        <v>8</v>
      </c>
      <c r="E669" s="59" t="n">
        <v>39721</v>
      </c>
      <c r="F669" s="16" t="s">
        <v>29</v>
      </c>
      <c r="G669" s="44"/>
    </row>
    <row r="670" customFormat="false" ht="12.75" hidden="true" customHeight="true" outlineLevel="0" collapsed="false">
      <c r="A670" s="17" t="n">
        <v>3092</v>
      </c>
      <c r="B670" s="23" t="s">
        <v>926</v>
      </c>
      <c r="C670" s="23" t="s">
        <v>771</v>
      </c>
      <c r="D670" s="24" t="s">
        <v>8</v>
      </c>
      <c r="E670" s="43" t="n">
        <v>41793</v>
      </c>
      <c r="F670" s="26" t="s">
        <v>9</v>
      </c>
      <c r="G670" s="222" t="n">
        <v>500</v>
      </c>
    </row>
    <row r="671" customFormat="false" ht="12.75" hidden="true" customHeight="true" outlineLevel="0" collapsed="false">
      <c r="A671" s="11"/>
      <c r="B671" s="82" t="s">
        <v>927</v>
      </c>
      <c r="C671" s="40" t="s">
        <v>928</v>
      </c>
      <c r="D671" s="14" t="s">
        <v>8</v>
      </c>
      <c r="E671" s="15" t="n">
        <v>43091</v>
      </c>
      <c r="F671" s="16" t="s">
        <v>52</v>
      </c>
      <c r="G671" s="44"/>
    </row>
    <row r="672" customFormat="false" ht="12.75" hidden="true" customHeight="true" outlineLevel="0" collapsed="false">
      <c r="A672" s="17" t="n">
        <v>3120</v>
      </c>
      <c r="B672" s="44" t="s">
        <v>929</v>
      </c>
      <c r="C672" s="44" t="s">
        <v>930</v>
      </c>
      <c r="D672" s="24" t="s">
        <v>8</v>
      </c>
      <c r="E672" s="45" t="n">
        <v>41431</v>
      </c>
      <c r="F672" s="26" t="s">
        <v>34</v>
      </c>
      <c r="G672" s="222" t="n">
        <v>500</v>
      </c>
    </row>
    <row r="673" customFormat="false" ht="12.75" hidden="true" customHeight="true" outlineLevel="0" collapsed="false">
      <c r="A673" s="11"/>
      <c r="B673" s="82" t="s">
        <v>931</v>
      </c>
      <c r="C673" s="40" t="s">
        <v>932</v>
      </c>
      <c r="D673" s="14" t="s">
        <v>8</v>
      </c>
      <c r="E673" s="59" t="n">
        <v>39191</v>
      </c>
      <c r="F673" s="16" t="s">
        <v>20</v>
      </c>
      <c r="G673" s="44"/>
    </row>
    <row r="674" customFormat="false" ht="12.75" hidden="true" customHeight="true" outlineLevel="0" collapsed="false">
      <c r="A674" s="42" t="n">
        <v>4050</v>
      </c>
      <c r="B674" s="51" t="s">
        <v>931</v>
      </c>
      <c r="C674" s="51" t="s">
        <v>932</v>
      </c>
      <c r="D674" s="24" t="s">
        <v>8</v>
      </c>
      <c r="E674" s="52" t="n">
        <v>39191</v>
      </c>
      <c r="F674" s="24" t="s">
        <v>20</v>
      </c>
      <c r="G674" s="24" t="n">
        <v>539</v>
      </c>
    </row>
    <row r="675" customFormat="false" ht="12.75" hidden="true" customHeight="true" outlineLevel="0" collapsed="false">
      <c r="A675" s="11"/>
      <c r="B675" s="40" t="s">
        <v>933</v>
      </c>
      <c r="C675" s="40" t="s">
        <v>934</v>
      </c>
      <c r="D675" s="14" t="s">
        <v>26</v>
      </c>
      <c r="E675" s="59" t="n">
        <v>41316</v>
      </c>
      <c r="F675" s="16" t="s">
        <v>52</v>
      </c>
      <c r="G675" s="44"/>
    </row>
    <row r="676" customFormat="false" ht="12.75" hidden="true" customHeight="true" outlineLevel="0" collapsed="false">
      <c r="A676" s="11"/>
      <c r="B676" s="12" t="s">
        <v>935</v>
      </c>
      <c r="C676" s="13" t="s">
        <v>936</v>
      </c>
      <c r="D676" s="14" t="s">
        <v>8</v>
      </c>
      <c r="E676" s="15" t="n">
        <v>42373</v>
      </c>
      <c r="F676" s="16" t="s">
        <v>29</v>
      </c>
      <c r="G676" s="44"/>
    </row>
    <row r="677" customFormat="false" ht="12.75" hidden="true" customHeight="true" outlineLevel="0" collapsed="false">
      <c r="A677" s="11"/>
      <c r="B677" s="12" t="s">
        <v>937</v>
      </c>
      <c r="C677" s="13" t="s">
        <v>127</v>
      </c>
      <c r="D677" s="14" t="s">
        <v>8</v>
      </c>
      <c r="E677" s="33" t="n">
        <v>39083</v>
      </c>
      <c r="F677" s="16" t="s">
        <v>9</v>
      </c>
      <c r="G677" s="44"/>
    </row>
    <row r="678" customFormat="false" ht="12.75" hidden="true" customHeight="true" outlineLevel="0" collapsed="false">
      <c r="A678" s="42" t="n">
        <v>4096</v>
      </c>
      <c r="B678" s="208" t="s">
        <v>938</v>
      </c>
      <c r="C678" s="208" t="s">
        <v>734</v>
      </c>
      <c r="D678" s="105" t="s">
        <v>8</v>
      </c>
      <c r="E678" s="234" t="n">
        <v>40909</v>
      </c>
      <c r="F678" s="105" t="s">
        <v>119</v>
      </c>
      <c r="G678" s="225" t="n">
        <v>500</v>
      </c>
    </row>
    <row r="679" customFormat="false" ht="12.75" hidden="true" customHeight="true" outlineLevel="0" collapsed="false">
      <c r="A679" s="1" t="n">
        <v>2005</v>
      </c>
      <c r="B679" s="51" t="s">
        <v>939</v>
      </c>
      <c r="C679" s="51" t="s">
        <v>629</v>
      </c>
      <c r="D679" s="36" t="s">
        <v>8</v>
      </c>
      <c r="E679" s="37" t="n">
        <v>42710</v>
      </c>
      <c r="F679" s="16" t="s">
        <v>197</v>
      </c>
      <c r="G679" s="24" t="n">
        <v>500</v>
      </c>
    </row>
    <row r="680" customFormat="false" ht="12.75" hidden="true" customHeight="true" outlineLevel="0" collapsed="false">
      <c r="A680" s="11"/>
      <c r="B680" s="13" t="s">
        <v>940</v>
      </c>
      <c r="C680" s="13" t="s">
        <v>941</v>
      </c>
      <c r="D680" s="14" t="s">
        <v>26</v>
      </c>
      <c r="E680" s="33" t="n">
        <v>40909</v>
      </c>
      <c r="F680" s="16" t="s">
        <v>9</v>
      </c>
      <c r="G680" s="44"/>
    </row>
    <row r="681" customFormat="false" ht="12.75" hidden="true" customHeight="true" outlineLevel="0" collapsed="false">
      <c r="A681" s="11"/>
      <c r="B681" s="40" t="s">
        <v>942</v>
      </c>
      <c r="C681" s="40" t="s">
        <v>943</v>
      </c>
      <c r="D681" s="14" t="s">
        <v>8</v>
      </c>
      <c r="E681" s="59" t="n">
        <v>41037</v>
      </c>
      <c r="F681" s="16" t="s">
        <v>17</v>
      </c>
      <c r="G681" s="44"/>
    </row>
    <row r="682" customFormat="false" ht="12.75" hidden="true" customHeight="true" outlineLevel="0" collapsed="false">
      <c r="A682" s="42" t="n">
        <v>4060</v>
      </c>
      <c r="B682" s="23" t="s">
        <v>942</v>
      </c>
      <c r="C682" s="23" t="s">
        <v>943</v>
      </c>
      <c r="D682" s="24" t="s">
        <v>8</v>
      </c>
      <c r="E682" s="25" t="n">
        <v>41037</v>
      </c>
      <c r="F682" s="26" t="s">
        <v>17</v>
      </c>
      <c r="G682" s="222" t="n">
        <v>606</v>
      </c>
    </row>
    <row r="683" customFormat="false" ht="12.75" hidden="true" customHeight="true" outlineLevel="0" collapsed="false">
      <c r="A683" s="11"/>
      <c r="B683" s="82" t="s">
        <v>944</v>
      </c>
      <c r="C683" s="40" t="s">
        <v>337</v>
      </c>
      <c r="D683" s="14" t="s">
        <v>26</v>
      </c>
      <c r="E683" s="15" t="n">
        <v>43237</v>
      </c>
      <c r="F683" s="16" t="s">
        <v>52</v>
      </c>
      <c r="G683" s="44"/>
    </row>
    <row r="684" customFormat="false" ht="12.75" hidden="true" customHeight="true" outlineLevel="0" collapsed="false">
      <c r="A684" s="11"/>
      <c r="B684" s="40" t="s">
        <v>944</v>
      </c>
      <c r="C684" s="40" t="s">
        <v>821</v>
      </c>
      <c r="D684" s="14" t="s">
        <v>26</v>
      </c>
      <c r="E684" s="59" t="n">
        <v>41451</v>
      </c>
      <c r="F684" s="16" t="s">
        <v>52</v>
      </c>
      <c r="G684" s="44"/>
    </row>
    <row r="685" customFormat="false" ht="12.75" hidden="true" customHeight="true" outlineLevel="0" collapsed="false">
      <c r="A685" s="1" t="n">
        <v>2103</v>
      </c>
      <c r="B685" s="51" t="s">
        <v>945</v>
      </c>
      <c r="C685" s="51" t="s">
        <v>946</v>
      </c>
      <c r="D685" s="36" t="s">
        <v>8</v>
      </c>
      <c r="E685" s="52" t="n">
        <v>42065</v>
      </c>
      <c r="F685" s="24" t="s">
        <v>20</v>
      </c>
      <c r="G685" s="24" t="n">
        <v>500</v>
      </c>
    </row>
    <row r="686" customFormat="false" ht="12.75" hidden="true" customHeight="true" outlineLevel="0" collapsed="false">
      <c r="A686" s="42" t="n">
        <v>4089</v>
      </c>
      <c r="B686" s="44" t="s">
        <v>945</v>
      </c>
      <c r="C686" s="44" t="s">
        <v>76</v>
      </c>
      <c r="D686" s="24" t="s">
        <v>8</v>
      </c>
      <c r="E686" s="45" t="n">
        <v>40048</v>
      </c>
      <c r="F686" s="26" t="s">
        <v>34</v>
      </c>
      <c r="G686" s="222" t="n">
        <v>500</v>
      </c>
    </row>
    <row r="687" customFormat="false" ht="12.75" hidden="false" customHeight="true" outlineLevel="0" collapsed="false">
      <c r="A687" s="11"/>
      <c r="B687" s="12" t="s">
        <v>945</v>
      </c>
      <c r="C687" s="13" t="s">
        <v>947</v>
      </c>
      <c r="D687" s="14" t="s">
        <v>8</v>
      </c>
      <c r="E687" s="32" t="n">
        <v>42736</v>
      </c>
      <c r="F687" s="16" t="s">
        <v>9</v>
      </c>
      <c r="G687" s="44"/>
    </row>
    <row r="688" customFormat="false" ht="12.75" hidden="true" customHeight="true" outlineLevel="0" collapsed="false">
      <c r="A688" s="11"/>
      <c r="B688" s="40" t="s">
        <v>948</v>
      </c>
      <c r="C688" s="40" t="s">
        <v>949</v>
      </c>
      <c r="D688" s="14" t="s">
        <v>8</v>
      </c>
      <c r="E688" s="59" t="n">
        <v>41488</v>
      </c>
      <c r="F688" s="16" t="s">
        <v>17</v>
      </c>
      <c r="G688" s="44"/>
    </row>
    <row r="689" customFormat="false" ht="12.75" hidden="true" customHeight="true" outlineLevel="0" collapsed="false">
      <c r="A689" s="17" t="n">
        <v>3086</v>
      </c>
      <c r="B689" s="23" t="s">
        <v>948</v>
      </c>
      <c r="C689" s="23" t="s">
        <v>949</v>
      </c>
      <c r="D689" s="24" t="s">
        <v>8</v>
      </c>
      <c r="E689" s="25" t="n">
        <v>41488</v>
      </c>
      <c r="F689" s="26" t="s">
        <v>17</v>
      </c>
      <c r="G689" s="222" t="n">
        <v>500</v>
      </c>
    </row>
    <row r="690" customFormat="false" ht="12.75" hidden="true" customHeight="true" outlineLevel="0" collapsed="false">
      <c r="A690" s="1" t="n">
        <v>2107</v>
      </c>
      <c r="B690" s="51" t="s">
        <v>950</v>
      </c>
      <c r="C690" s="51" t="s">
        <v>951</v>
      </c>
      <c r="D690" s="36" t="s">
        <v>8</v>
      </c>
      <c r="E690" s="37" t="n">
        <v>42044</v>
      </c>
      <c r="F690" s="16" t="s">
        <v>143</v>
      </c>
      <c r="G690" s="24" t="s">
        <v>70</v>
      </c>
    </row>
    <row r="691" customFormat="false" ht="12.75" hidden="true" customHeight="true" outlineLevel="0" collapsed="false">
      <c r="A691" s="17" t="n">
        <v>3131</v>
      </c>
      <c r="B691" s="39" t="s">
        <v>952</v>
      </c>
      <c r="C691" s="39"/>
      <c r="D691" s="105" t="s">
        <v>8</v>
      </c>
      <c r="E691" s="32" t="n">
        <v>41640</v>
      </c>
      <c r="F691" s="105" t="s">
        <v>119</v>
      </c>
      <c r="G691" s="225" t="n">
        <v>500</v>
      </c>
    </row>
    <row r="692" customFormat="false" ht="12.75" hidden="true" customHeight="true" outlineLevel="0" collapsed="false">
      <c r="A692" s="1" t="n">
        <v>2037</v>
      </c>
      <c r="B692" s="51" t="s">
        <v>953</v>
      </c>
      <c r="C692" s="51" t="s">
        <v>193</v>
      </c>
      <c r="D692" s="36" t="s">
        <v>8</v>
      </c>
      <c r="E692" s="52" t="n">
        <v>42468</v>
      </c>
      <c r="F692" s="24" t="s">
        <v>20</v>
      </c>
      <c r="G692" s="24" t="n">
        <v>500</v>
      </c>
    </row>
    <row r="693" customFormat="false" ht="12.75" hidden="true" customHeight="true" outlineLevel="0" collapsed="false">
      <c r="A693" s="11"/>
      <c r="B693" s="12" t="s">
        <v>954</v>
      </c>
      <c r="C693" s="13" t="s">
        <v>955</v>
      </c>
      <c r="D693" s="14" t="s">
        <v>8</v>
      </c>
      <c r="E693" s="59" t="n">
        <v>41875</v>
      </c>
      <c r="F693" s="16" t="s">
        <v>29</v>
      </c>
      <c r="G693" s="44"/>
    </row>
    <row r="694" customFormat="false" ht="12.75" hidden="true" customHeight="true" outlineLevel="0" collapsed="false">
      <c r="A694" s="1" t="n">
        <v>3017</v>
      </c>
      <c r="B694" s="108" t="s">
        <v>956</v>
      </c>
      <c r="C694" s="115" t="s">
        <v>955</v>
      </c>
      <c r="D694" s="36" t="s">
        <v>8</v>
      </c>
      <c r="E694" s="37" t="n">
        <v>41875</v>
      </c>
      <c r="F694" s="16" t="s">
        <v>29</v>
      </c>
      <c r="G694" s="24" t="s">
        <v>70</v>
      </c>
    </row>
    <row r="695" customFormat="false" ht="12.75" hidden="true" customHeight="true" outlineLevel="0" collapsed="false">
      <c r="A695" s="11"/>
      <c r="B695" s="60" t="s">
        <v>957</v>
      </c>
      <c r="C695" s="61" t="s">
        <v>958</v>
      </c>
      <c r="D695" s="14" t="s">
        <v>8</v>
      </c>
      <c r="E695" s="59" t="n">
        <v>40428</v>
      </c>
      <c r="F695" s="16" t="s">
        <v>12</v>
      </c>
      <c r="G695" s="44"/>
    </row>
    <row r="696" customFormat="false" ht="12.75" hidden="true" customHeight="true" outlineLevel="0" collapsed="false">
      <c r="A696" s="42" t="n">
        <v>4043</v>
      </c>
      <c r="B696" s="35" t="s">
        <v>957</v>
      </c>
      <c r="C696" s="34" t="s">
        <v>958</v>
      </c>
      <c r="D696" s="36" t="s">
        <v>8</v>
      </c>
      <c r="E696" s="130" t="n">
        <v>40428</v>
      </c>
      <c r="F696" s="16" t="s">
        <v>12</v>
      </c>
      <c r="G696" s="16" t="n">
        <v>500</v>
      </c>
    </row>
    <row r="697" customFormat="false" ht="12.75" hidden="true" customHeight="true" outlineLevel="0" collapsed="false">
      <c r="A697" s="1" t="n">
        <v>2058</v>
      </c>
      <c r="B697" s="51" t="s">
        <v>959</v>
      </c>
      <c r="C697" s="51" t="s">
        <v>559</v>
      </c>
      <c r="D697" s="36" t="s">
        <v>8</v>
      </c>
      <c r="E697" s="52" t="n">
        <v>42344</v>
      </c>
      <c r="F697" s="24" t="s">
        <v>20</v>
      </c>
      <c r="G697" s="24" t="n">
        <v>500</v>
      </c>
    </row>
    <row r="698" customFormat="false" ht="12.75" hidden="true" customHeight="true" outlineLevel="0" collapsed="false">
      <c r="A698" s="11"/>
      <c r="B698" s="58" t="s">
        <v>960</v>
      </c>
      <c r="C698" s="58" t="s">
        <v>961</v>
      </c>
      <c r="D698" s="14" t="s">
        <v>26</v>
      </c>
      <c r="E698" s="59" t="n">
        <v>41575</v>
      </c>
      <c r="F698" s="16" t="s">
        <v>20</v>
      </c>
      <c r="G698" s="44"/>
    </row>
    <row r="699" customFormat="false" ht="12.75" hidden="true" customHeight="true" outlineLevel="0" collapsed="false">
      <c r="A699" s="11"/>
      <c r="B699" s="82" t="s">
        <v>962</v>
      </c>
      <c r="C699" s="40" t="s">
        <v>963</v>
      </c>
      <c r="D699" s="14" t="s">
        <v>8</v>
      </c>
      <c r="E699" s="59" t="n">
        <v>41853</v>
      </c>
      <c r="F699" s="16" t="s">
        <v>52</v>
      </c>
      <c r="G699" s="44"/>
    </row>
    <row r="700" customFormat="false" ht="12.75" hidden="true" customHeight="true" outlineLevel="0" collapsed="false">
      <c r="A700" s="11"/>
      <c r="B700" s="82" t="s">
        <v>962</v>
      </c>
      <c r="C700" s="40" t="s">
        <v>278</v>
      </c>
      <c r="D700" s="14" t="s">
        <v>8</v>
      </c>
      <c r="E700" s="15" t="n">
        <v>42667</v>
      </c>
      <c r="F700" s="16" t="s">
        <v>52</v>
      </c>
      <c r="G700" s="44"/>
    </row>
    <row r="701" customFormat="false" ht="12.75" hidden="true" customHeight="true" outlineLevel="0" collapsed="false">
      <c r="A701" s="1" t="n">
        <v>1082</v>
      </c>
      <c r="B701" s="44" t="s">
        <v>964</v>
      </c>
      <c r="C701" s="44" t="s">
        <v>437</v>
      </c>
      <c r="D701" s="36" t="s">
        <v>8</v>
      </c>
      <c r="E701" s="45" t="n">
        <v>43882</v>
      </c>
      <c r="F701" s="222" t="s">
        <v>34</v>
      </c>
      <c r="G701" s="222" t="n">
        <v>500</v>
      </c>
    </row>
    <row r="702" customFormat="false" ht="12.75" hidden="true" customHeight="true" outlineLevel="0" collapsed="false">
      <c r="A702" s="11"/>
      <c r="B702" s="39" t="s">
        <v>965</v>
      </c>
      <c r="C702" s="39" t="s">
        <v>966</v>
      </c>
      <c r="D702" s="14" t="s">
        <v>8</v>
      </c>
      <c r="E702" s="15" t="n">
        <v>42878</v>
      </c>
      <c r="F702" s="16" t="s">
        <v>29</v>
      </c>
      <c r="G702" s="44"/>
    </row>
    <row r="703" customFormat="false" ht="12.75" hidden="true" customHeight="true" outlineLevel="0" collapsed="false">
      <c r="A703" s="1" t="n">
        <v>1051</v>
      </c>
      <c r="B703" s="108" t="s">
        <v>967</v>
      </c>
      <c r="C703" s="115" t="s">
        <v>966</v>
      </c>
      <c r="D703" s="36" t="s">
        <v>8</v>
      </c>
      <c r="E703" s="37" t="n">
        <v>42878</v>
      </c>
      <c r="F703" s="16" t="s">
        <v>29</v>
      </c>
      <c r="G703" s="24" t="s">
        <v>70</v>
      </c>
    </row>
    <row r="704" customFormat="false" ht="12.75" hidden="true" customHeight="true" outlineLevel="0" collapsed="false">
      <c r="A704" s="11"/>
      <c r="B704" s="57" t="s">
        <v>965</v>
      </c>
      <c r="C704" s="58" t="s">
        <v>214</v>
      </c>
      <c r="D704" s="14" t="s">
        <v>8</v>
      </c>
      <c r="E704" s="59" t="n">
        <v>40605</v>
      </c>
      <c r="F704" s="16" t="s">
        <v>20</v>
      </c>
      <c r="G704" s="44"/>
    </row>
    <row r="705" customFormat="false" ht="12.75" hidden="true" customHeight="true" outlineLevel="0" collapsed="false">
      <c r="A705" s="42" t="n">
        <v>4028</v>
      </c>
      <c r="B705" s="51" t="s">
        <v>965</v>
      </c>
      <c r="C705" s="51" t="s">
        <v>214</v>
      </c>
      <c r="D705" s="36" t="s">
        <v>8</v>
      </c>
      <c r="E705" s="52" t="n">
        <v>40783</v>
      </c>
      <c r="F705" s="24" t="s">
        <v>20</v>
      </c>
      <c r="G705" s="24" t="n">
        <v>816</v>
      </c>
    </row>
    <row r="706" customFormat="false" ht="12.75" hidden="true" customHeight="true" outlineLevel="0" collapsed="false">
      <c r="A706" s="11"/>
      <c r="B706" s="82" t="s">
        <v>968</v>
      </c>
      <c r="C706" s="40" t="s">
        <v>969</v>
      </c>
      <c r="D706" s="14" t="s">
        <v>8</v>
      </c>
      <c r="E706" s="59" t="n">
        <v>42268</v>
      </c>
      <c r="F706" s="16" t="s">
        <v>34</v>
      </c>
      <c r="G706" s="44"/>
    </row>
    <row r="707" customFormat="false" ht="12.75" hidden="true" customHeight="true" outlineLevel="0" collapsed="false">
      <c r="A707" s="1" t="n">
        <v>2169</v>
      </c>
      <c r="B707" s="44" t="s">
        <v>968</v>
      </c>
      <c r="C707" s="44" t="s">
        <v>969</v>
      </c>
      <c r="D707" s="24" t="s">
        <v>8</v>
      </c>
      <c r="E707" s="45" t="n">
        <v>42268</v>
      </c>
      <c r="F707" s="222" t="s">
        <v>34</v>
      </c>
      <c r="G707" s="222" t="n">
        <v>500</v>
      </c>
    </row>
    <row r="708" customFormat="false" ht="12.75" hidden="true" customHeight="true" outlineLevel="0" collapsed="false">
      <c r="A708" s="11"/>
      <c r="B708" s="82" t="s">
        <v>970</v>
      </c>
      <c r="C708" s="40" t="s">
        <v>796</v>
      </c>
      <c r="D708" s="137" t="s">
        <v>8</v>
      </c>
      <c r="E708" s="59" t="n">
        <v>41927</v>
      </c>
      <c r="F708" s="24" t="s">
        <v>129</v>
      </c>
      <c r="G708" s="44"/>
    </row>
    <row r="709" customFormat="false" ht="12.75" hidden="true" customHeight="true" outlineLevel="0" collapsed="false">
      <c r="A709" s="1" t="n">
        <v>2015</v>
      </c>
      <c r="B709" s="51" t="s">
        <v>971</v>
      </c>
      <c r="C709" s="51" t="s">
        <v>54</v>
      </c>
      <c r="D709" s="36" t="s">
        <v>8</v>
      </c>
      <c r="E709" s="52" t="n">
        <v>42656</v>
      </c>
      <c r="F709" s="24" t="s">
        <v>20</v>
      </c>
      <c r="G709" s="24" t="n">
        <v>500</v>
      </c>
    </row>
    <row r="710" customFormat="false" ht="12.75" hidden="true" customHeight="true" outlineLevel="0" collapsed="false">
      <c r="A710" s="11"/>
      <c r="B710" s="34" t="s">
        <v>972</v>
      </c>
      <c r="C710" s="34" t="s">
        <v>16</v>
      </c>
      <c r="D710" s="14" t="s">
        <v>8</v>
      </c>
      <c r="E710" s="102" t="n">
        <v>39619</v>
      </c>
      <c r="F710" s="16" t="s">
        <v>29</v>
      </c>
      <c r="G710" s="44"/>
    </row>
    <row r="711" customFormat="false" ht="12.75" hidden="true" customHeight="true" outlineLevel="0" collapsed="false">
      <c r="A711" s="11"/>
      <c r="B711" s="82" t="s">
        <v>973</v>
      </c>
      <c r="C711" s="40" t="s">
        <v>974</v>
      </c>
      <c r="D711" s="14" t="s">
        <v>26</v>
      </c>
      <c r="E711" s="59" t="n">
        <v>42255</v>
      </c>
      <c r="F711" s="16" t="s">
        <v>143</v>
      </c>
      <c r="G711" s="44"/>
    </row>
    <row r="712" customFormat="false" ht="12.75" hidden="true" customHeight="true" outlineLevel="0" collapsed="false">
      <c r="A712" s="1" t="n">
        <v>2170</v>
      </c>
      <c r="B712" s="44" t="s">
        <v>975</v>
      </c>
      <c r="C712" s="44" t="s">
        <v>976</v>
      </c>
      <c r="D712" s="24" t="s">
        <v>8</v>
      </c>
      <c r="E712" s="45" t="n">
        <v>42583</v>
      </c>
      <c r="F712" s="222" t="s">
        <v>34</v>
      </c>
      <c r="G712" s="222" t="n">
        <v>500</v>
      </c>
    </row>
    <row r="713" customFormat="false" ht="12.75" hidden="true" customHeight="true" outlineLevel="0" collapsed="false">
      <c r="A713" s="11"/>
      <c r="B713" s="82" t="s">
        <v>977</v>
      </c>
      <c r="C713" s="40" t="s">
        <v>433</v>
      </c>
      <c r="D713" s="14" t="s">
        <v>26</v>
      </c>
      <c r="E713" s="15" t="n">
        <v>42697</v>
      </c>
      <c r="F713" s="16" t="s">
        <v>34</v>
      </c>
      <c r="G713" s="44"/>
    </row>
    <row r="714" customFormat="false" ht="12.75" hidden="true" customHeight="true" outlineLevel="0" collapsed="false">
      <c r="A714" s="1" t="n">
        <v>2171</v>
      </c>
      <c r="B714" s="44" t="s">
        <v>977</v>
      </c>
      <c r="C714" s="44" t="s">
        <v>433</v>
      </c>
      <c r="D714" s="24" t="s">
        <v>26</v>
      </c>
      <c r="E714" s="45" t="n">
        <v>42697</v>
      </c>
      <c r="F714" s="26" t="s">
        <v>34</v>
      </c>
      <c r="G714" s="222" t="n">
        <v>500</v>
      </c>
    </row>
    <row r="715" customFormat="false" ht="12.75" hidden="true" customHeight="true" outlineLevel="0" collapsed="false">
      <c r="A715" s="1" t="n">
        <v>1041</v>
      </c>
      <c r="B715" s="79" t="s">
        <v>978</v>
      </c>
      <c r="C715" s="79" t="s">
        <v>217</v>
      </c>
      <c r="D715" s="36" t="s">
        <v>8</v>
      </c>
      <c r="E715" s="37" t="n">
        <v>43046</v>
      </c>
      <c r="F715" s="16" t="s">
        <v>52</v>
      </c>
      <c r="G715" s="224" t="s">
        <v>70</v>
      </c>
    </row>
    <row r="716" customFormat="false" ht="12.75" hidden="true" customHeight="true" outlineLevel="0" collapsed="false">
      <c r="A716" s="11"/>
      <c r="B716" s="13" t="s">
        <v>979</v>
      </c>
      <c r="C716" s="13" t="s">
        <v>980</v>
      </c>
      <c r="D716" s="14" t="s">
        <v>26</v>
      </c>
      <c r="E716" s="33" t="n">
        <v>41275</v>
      </c>
      <c r="F716" s="16" t="s">
        <v>9</v>
      </c>
      <c r="G716" s="44"/>
    </row>
    <row r="717" customFormat="false" ht="12.75" hidden="true" customHeight="true" outlineLevel="0" collapsed="false">
      <c r="A717" s="11"/>
      <c r="B717" s="12" t="s">
        <v>979</v>
      </c>
      <c r="C717" s="13" t="s">
        <v>981</v>
      </c>
      <c r="D717" s="14" t="s">
        <v>8</v>
      </c>
      <c r="E717" s="138" t="n">
        <v>41969</v>
      </c>
      <c r="F717" s="16" t="s">
        <v>9</v>
      </c>
      <c r="G717" s="44"/>
    </row>
    <row r="718" customFormat="false" ht="12.75" hidden="true" customHeight="true" outlineLevel="0" collapsed="false">
      <c r="A718" s="1" t="n">
        <v>1021</v>
      </c>
      <c r="B718" s="35" t="s">
        <v>982</v>
      </c>
      <c r="C718" s="34" t="s">
        <v>746</v>
      </c>
      <c r="D718" s="36" t="s">
        <v>8</v>
      </c>
      <c r="E718" s="130" t="n">
        <v>43236</v>
      </c>
      <c r="F718" s="16" t="s">
        <v>12</v>
      </c>
      <c r="G718" s="16" t="n">
        <v>500</v>
      </c>
    </row>
    <row r="719" customFormat="false" ht="12.75" hidden="true" customHeight="true" outlineLevel="0" collapsed="false">
      <c r="A719" s="11"/>
      <c r="B719" s="60" t="s">
        <v>982</v>
      </c>
      <c r="C719" s="61" t="s">
        <v>945</v>
      </c>
      <c r="D719" s="14" t="s">
        <v>8</v>
      </c>
      <c r="E719" s="59" t="n">
        <v>42090</v>
      </c>
      <c r="F719" s="16" t="s">
        <v>12</v>
      </c>
      <c r="G719" s="44"/>
    </row>
    <row r="720" customFormat="false" ht="12.75" hidden="true" customHeight="true" outlineLevel="0" collapsed="false">
      <c r="A720" s="1" t="n">
        <v>2099</v>
      </c>
      <c r="B720" s="35" t="s">
        <v>982</v>
      </c>
      <c r="C720" s="34" t="s">
        <v>945</v>
      </c>
      <c r="D720" s="36" t="s">
        <v>8</v>
      </c>
      <c r="E720" s="37" t="n">
        <v>42090</v>
      </c>
      <c r="F720" s="16" t="s">
        <v>12</v>
      </c>
      <c r="G720" s="16" t="n">
        <v>500</v>
      </c>
    </row>
    <row r="721" customFormat="false" ht="12.75" hidden="true" customHeight="true" outlineLevel="0" collapsed="false">
      <c r="A721" s="11"/>
      <c r="B721" s="60" t="s">
        <v>982</v>
      </c>
      <c r="C721" s="61" t="s">
        <v>983</v>
      </c>
      <c r="D721" s="14" t="s">
        <v>8</v>
      </c>
      <c r="E721" s="15" t="n">
        <v>42538</v>
      </c>
      <c r="F721" s="16" t="s">
        <v>12</v>
      </c>
      <c r="G721" s="44"/>
    </row>
    <row r="722" customFormat="false" ht="12.75" hidden="true" customHeight="true" outlineLevel="0" collapsed="false">
      <c r="A722" s="1" t="n">
        <v>2028</v>
      </c>
      <c r="B722" s="35" t="s">
        <v>982</v>
      </c>
      <c r="C722" s="34" t="s">
        <v>983</v>
      </c>
      <c r="D722" s="36" t="s">
        <v>8</v>
      </c>
      <c r="E722" s="37" t="n">
        <v>42538</v>
      </c>
      <c r="F722" s="16" t="s">
        <v>12</v>
      </c>
      <c r="G722" s="16" t="n">
        <v>511</v>
      </c>
    </row>
    <row r="723" customFormat="false" ht="12.75" hidden="true" customHeight="true" outlineLevel="0" collapsed="false">
      <c r="A723" s="11"/>
      <c r="B723" s="60" t="s">
        <v>982</v>
      </c>
      <c r="C723" s="61" t="s">
        <v>984</v>
      </c>
      <c r="D723" s="14" t="s">
        <v>8</v>
      </c>
      <c r="E723" s="59" t="n">
        <v>40551</v>
      </c>
      <c r="F723" s="16" t="s">
        <v>12</v>
      </c>
      <c r="G723" s="44"/>
    </row>
    <row r="724" customFormat="false" ht="12.75" hidden="true" customHeight="true" outlineLevel="0" collapsed="false">
      <c r="A724" s="42" t="n">
        <v>4040</v>
      </c>
      <c r="B724" s="35" t="s">
        <v>982</v>
      </c>
      <c r="C724" s="34" t="s">
        <v>984</v>
      </c>
      <c r="D724" s="36" t="s">
        <v>8</v>
      </c>
      <c r="E724" s="37" t="n">
        <v>40551</v>
      </c>
      <c r="F724" s="16" t="s">
        <v>12</v>
      </c>
      <c r="G724" s="16" t="n">
        <v>500</v>
      </c>
    </row>
    <row r="725" customFormat="false" ht="12.75" hidden="true" customHeight="true" outlineLevel="0" collapsed="false">
      <c r="A725" s="11"/>
      <c r="B725" s="12" t="s">
        <v>985</v>
      </c>
      <c r="C725" s="13" t="s">
        <v>653</v>
      </c>
      <c r="D725" s="14" t="s">
        <v>26</v>
      </c>
      <c r="E725" s="32" t="n">
        <v>43466</v>
      </c>
      <c r="F725" s="16" t="s">
        <v>9</v>
      </c>
      <c r="G725" s="44"/>
    </row>
    <row r="726" customFormat="false" ht="12.75" hidden="true" customHeight="true" outlineLevel="0" collapsed="false">
      <c r="A726" s="11"/>
      <c r="B726" s="82" t="s">
        <v>986</v>
      </c>
      <c r="C726" s="40" t="s">
        <v>838</v>
      </c>
      <c r="D726" s="14" t="s">
        <v>8</v>
      </c>
      <c r="E726" s="59" t="n">
        <v>42157</v>
      </c>
      <c r="F726" s="16" t="s">
        <v>52</v>
      </c>
      <c r="G726" s="44"/>
    </row>
    <row r="727" customFormat="false" ht="12.75" hidden="true" customHeight="true" outlineLevel="0" collapsed="false">
      <c r="A727" s="11"/>
      <c r="B727" s="12" t="s">
        <v>986</v>
      </c>
      <c r="C727" s="13" t="s">
        <v>123</v>
      </c>
      <c r="D727" s="14" t="s">
        <v>8</v>
      </c>
      <c r="E727" s="52" t="n">
        <v>41667</v>
      </c>
      <c r="F727" s="16" t="s">
        <v>9</v>
      </c>
      <c r="G727" s="44"/>
    </row>
    <row r="728" customFormat="false" ht="12.75" hidden="true" customHeight="true" outlineLevel="0" collapsed="false">
      <c r="A728" s="17" t="n">
        <v>3093</v>
      </c>
      <c r="B728" s="23" t="s">
        <v>565</v>
      </c>
      <c r="C728" s="23" t="s">
        <v>123</v>
      </c>
      <c r="D728" s="24" t="s">
        <v>8</v>
      </c>
      <c r="E728" s="43" t="n">
        <v>41667</v>
      </c>
      <c r="F728" s="26" t="s">
        <v>9</v>
      </c>
      <c r="G728" s="222" t="n">
        <v>515</v>
      </c>
    </row>
    <row r="729" customFormat="false" ht="12.75" hidden="true" customHeight="true" outlineLevel="0" collapsed="false">
      <c r="A729" s="11"/>
      <c r="B729" s="57" t="s">
        <v>987</v>
      </c>
      <c r="C729" s="58" t="s">
        <v>988</v>
      </c>
      <c r="D729" s="14" t="s">
        <v>8</v>
      </c>
      <c r="E729" s="59" t="n">
        <v>40677</v>
      </c>
      <c r="F729" s="16" t="s">
        <v>52</v>
      </c>
      <c r="G729" s="44"/>
    </row>
    <row r="730" customFormat="false" ht="12.75" hidden="true" customHeight="true" outlineLevel="0" collapsed="false">
      <c r="A730" s="42" t="n">
        <v>4035</v>
      </c>
      <c r="B730" s="79" t="s">
        <v>987</v>
      </c>
      <c r="C730" s="79" t="s">
        <v>711</v>
      </c>
      <c r="D730" s="36" t="s">
        <v>8</v>
      </c>
      <c r="E730" s="37" t="n">
        <v>40677</v>
      </c>
      <c r="F730" s="16" t="s">
        <v>52</v>
      </c>
      <c r="G730" s="224" t="s">
        <v>70</v>
      </c>
    </row>
    <row r="731" customFormat="false" ht="12.75" hidden="true" customHeight="true" outlineLevel="0" collapsed="false">
      <c r="A731" s="1" t="n">
        <v>2061</v>
      </c>
      <c r="B731" s="79" t="s">
        <v>989</v>
      </c>
      <c r="C731" s="79" t="s">
        <v>171</v>
      </c>
      <c r="D731" s="36" t="s">
        <v>8</v>
      </c>
      <c r="E731" s="37" t="n">
        <v>42322</v>
      </c>
      <c r="F731" s="16" t="s">
        <v>52</v>
      </c>
      <c r="G731" s="224" t="s">
        <v>70</v>
      </c>
    </row>
    <row r="732" customFormat="false" ht="12.75" hidden="true" customHeight="true" outlineLevel="0" collapsed="false">
      <c r="A732" s="133"/>
      <c r="B732" s="231" t="s">
        <v>990</v>
      </c>
      <c r="C732" s="231" t="s">
        <v>991</v>
      </c>
      <c r="D732" s="14"/>
      <c r="E732" s="32" t="n">
        <v>41275</v>
      </c>
      <c r="F732" s="16" t="s">
        <v>119</v>
      </c>
      <c r="G732" s="44"/>
    </row>
    <row r="733" customFormat="false" ht="12.75" hidden="true" customHeight="true" outlineLevel="0" collapsed="false">
      <c r="A733" s="1" t="n">
        <v>3064</v>
      </c>
      <c r="B733" s="35" t="s">
        <v>992</v>
      </c>
      <c r="C733" s="34" t="s">
        <v>993</v>
      </c>
      <c r="D733" s="36" t="s">
        <v>8</v>
      </c>
      <c r="E733" s="37" t="n">
        <v>41415</v>
      </c>
      <c r="F733" s="16" t="s">
        <v>12</v>
      </c>
      <c r="G733" s="16" t="n">
        <v>500</v>
      </c>
    </row>
    <row r="734" customFormat="false" ht="12.75" hidden="true" customHeight="true" outlineLevel="0" collapsed="false">
      <c r="A734" s="1" t="s">
        <v>994</v>
      </c>
      <c r="B734" s="235" t="s">
        <v>1</v>
      </c>
      <c r="C734" s="235" t="s">
        <v>2</v>
      </c>
      <c r="D734" s="236" t="s">
        <v>3</v>
      </c>
      <c r="E734" s="236" t="s">
        <v>4</v>
      </c>
      <c r="F734" s="236" t="s">
        <v>5</v>
      </c>
      <c r="G734" s="236" t="s">
        <v>995</v>
      </c>
    </row>
    <row r="735" customFormat="false" ht="12.75" hidden="true" customHeight="true" outlineLevel="0" collapsed="false">
      <c r="A735" s="11"/>
      <c r="B735" s="12" t="s">
        <v>996</v>
      </c>
      <c r="C735" s="13" t="s">
        <v>574</v>
      </c>
      <c r="D735" s="14" t="s">
        <v>8</v>
      </c>
      <c r="E735" s="32" t="n">
        <v>42736</v>
      </c>
      <c r="F735" s="16" t="s">
        <v>9</v>
      </c>
      <c r="G735" s="44"/>
    </row>
    <row r="736" customFormat="false" ht="12.75" hidden="true" customHeight="true" outlineLevel="0" collapsed="false">
      <c r="A736" s="1" t="n">
        <v>1083</v>
      </c>
      <c r="B736" s="44" t="s">
        <v>997</v>
      </c>
      <c r="C736" s="44" t="s">
        <v>214</v>
      </c>
      <c r="D736" s="36" t="s">
        <v>8</v>
      </c>
      <c r="E736" s="45" t="n">
        <v>42961</v>
      </c>
      <c r="F736" s="26" t="s">
        <v>34</v>
      </c>
      <c r="G736" s="222" t="n">
        <v>500</v>
      </c>
    </row>
    <row r="737" customFormat="false" ht="12.75" hidden="true" customHeight="true" outlineLevel="0" collapsed="false">
      <c r="A737" s="1" t="n">
        <v>2098</v>
      </c>
      <c r="B737" s="51" t="s">
        <v>998</v>
      </c>
      <c r="C737" s="51" t="s">
        <v>393</v>
      </c>
      <c r="D737" s="36" t="s">
        <v>8</v>
      </c>
      <c r="E737" s="37" t="n">
        <v>42095</v>
      </c>
      <c r="F737" s="16" t="s">
        <v>143</v>
      </c>
      <c r="G737" s="24" t="s">
        <v>70</v>
      </c>
    </row>
    <row r="738" customFormat="false" ht="12.75" hidden="true" customHeight="true" outlineLevel="0" collapsed="false">
      <c r="A738" s="1" t="n">
        <v>3012</v>
      </c>
      <c r="B738" s="108" t="s">
        <v>999</v>
      </c>
      <c r="C738" s="115" t="s">
        <v>1000</v>
      </c>
      <c r="D738" s="36" t="s">
        <v>8</v>
      </c>
      <c r="E738" s="37" t="n">
        <v>41919</v>
      </c>
      <c r="F738" s="16" t="s">
        <v>29</v>
      </c>
      <c r="G738" s="24" t="s">
        <v>70</v>
      </c>
    </row>
    <row r="739" customFormat="false" ht="12.75" hidden="true" customHeight="true" outlineLevel="0" collapsed="false">
      <c r="A739" s="11"/>
      <c r="B739" s="57" t="s">
        <v>1001</v>
      </c>
      <c r="C739" s="58" t="s">
        <v>112</v>
      </c>
      <c r="D739" s="14" t="s">
        <v>8</v>
      </c>
      <c r="E739" s="59" t="n">
        <v>40543</v>
      </c>
      <c r="F739" s="16" t="s">
        <v>52</v>
      </c>
      <c r="G739" s="44"/>
    </row>
    <row r="740" customFormat="false" ht="12.75" hidden="true" customHeight="true" outlineLevel="0" collapsed="false">
      <c r="A740" s="11"/>
      <c r="B740" s="82" t="s">
        <v>1002</v>
      </c>
      <c r="C740" s="40" t="s">
        <v>584</v>
      </c>
      <c r="D740" s="14" t="s">
        <v>8</v>
      </c>
      <c r="E740" s="59" t="n">
        <v>41715</v>
      </c>
      <c r="F740" s="16" t="s">
        <v>17</v>
      </c>
      <c r="G740" s="44"/>
    </row>
    <row r="741" customFormat="false" ht="12.75" hidden="true" customHeight="true" outlineLevel="0" collapsed="false">
      <c r="A741" s="17" t="n">
        <v>3087</v>
      </c>
      <c r="B741" s="23" t="s">
        <v>1002</v>
      </c>
      <c r="C741" s="23" t="s">
        <v>584</v>
      </c>
      <c r="D741" s="24" t="s">
        <v>8</v>
      </c>
      <c r="E741" s="25" t="n">
        <v>41715</v>
      </c>
      <c r="F741" s="26" t="s">
        <v>17</v>
      </c>
      <c r="G741" s="222" t="n">
        <v>500</v>
      </c>
    </row>
    <row r="742" customFormat="false" ht="12.75" hidden="true" customHeight="true" outlineLevel="0" collapsed="false">
      <c r="A742" s="1" t="n">
        <v>2075</v>
      </c>
      <c r="B742" s="51" t="s">
        <v>1003</v>
      </c>
      <c r="C742" s="51" t="s">
        <v>736</v>
      </c>
      <c r="D742" s="36" t="s">
        <v>8</v>
      </c>
      <c r="E742" s="37" t="n">
        <v>42239</v>
      </c>
      <c r="F742" s="16" t="s">
        <v>197</v>
      </c>
      <c r="G742" s="24" t="n">
        <v>500</v>
      </c>
    </row>
    <row r="743" customFormat="false" ht="12.75" hidden="true" customHeight="true" outlineLevel="0" collapsed="false">
      <c r="A743" s="1" t="n">
        <v>1014</v>
      </c>
      <c r="B743" s="51" t="s">
        <v>1004</v>
      </c>
      <c r="C743" s="51" t="s">
        <v>1005</v>
      </c>
      <c r="D743" s="36" t="s">
        <v>26</v>
      </c>
      <c r="E743" s="52" t="n">
        <v>43409</v>
      </c>
      <c r="F743" s="24" t="s">
        <v>20</v>
      </c>
      <c r="G743" s="24" t="n">
        <v>500</v>
      </c>
    </row>
    <row r="744" customFormat="false" ht="12.75" hidden="true" customHeight="true" outlineLevel="0" collapsed="false">
      <c r="A744" s="11"/>
      <c r="B744" s="57" t="s">
        <v>1004</v>
      </c>
      <c r="C744" s="58" t="s">
        <v>321</v>
      </c>
      <c r="D744" s="14" t="s">
        <v>8</v>
      </c>
      <c r="E744" s="15" t="n">
        <v>43409</v>
      </c>
      <c r="F744" s="16" t="s">
        <v>20</v>
      </c>
      <c r="G744" s="44"/>
    </row>
    <row r="745" customFormat="false" ht="12.75" hidden="true" customHeight="true" outlineLevel="0" collapsed="false">
      <c r="A745" s="11"/>
      <c r="B745" s="57" t="s">
        <v>1004</v>
      </c>
      <c r="C745" s="58" t="s">
        <v>214</v>
      </c>
      <c r="D745" s="14" t="s">
        <v>8</v>
      </c>
      <c r="E745" s="15" t="n">
        <v>42688</v>
      </c>
      <c r="F745" s="16" t="s">
        <v>20</v>
      </c>
      <c r="G745" s="44"/>
    </row>
    <row r="746" customFormat="false" ht="12.75" hidden="true" customHeight="true" outlineLevel="0" collapsed="false">
      <c r="A746" s="1" t="n">
        <v>2007</v>
      </c>
      <c r="B746" s="51" t="s">
        <v>1004</v>
      </c>
      <c r="C746" s="51" t="s">
        <v>214</v>
      </c>
      <c r="D746" s="36" t="s">
        <v>8</v>
      </c>
      <c r="E746" s="52" t="n">
        <v>42688</v>
      </c>
      <c r="F746" s="24" t="s">
        <v>20</v>
      </c>
      <c r="G746" s="24" t="n">
        <v>500</v>
      </c>
    </row>
    <row r="747" customFormat="false" ht="12.75" hidden="true" customHeight="true" outlineLevel="0" collapsed="false">
      <c r="A747" s="11"/>
      <c r="B747" s="82" t="s">
        <v>1006</v>
      </c>
      <c r="C747" s="40" t="s">
        <v>16</v>
      </c>
      <c r="D747" s="14" t="s">
        <v>8</v>
      </c>
      <c r="E747" s="59" t="n">
        <v>41645</v>
      </c>
      <c r="F747" s="16" t="s">
        <v>17</v>
      </c>
      <c r="G747" s="44"/>
    </row>
    <row r="748" customFormat="false" ht="12.75" hidden="true" customHeight="true" outlineLevel="0" collapsed="false">
      <c r="A748" s="11"/>
      <c r="B748" s="39" t="s">
        <v>1007</v>
      </c>
      <c r="C748" s="39" t="s">
        <v>1008</v>
      </c>
      <c r="D748" s="14" t="s">
        <v>26</v>
      </c>
      <c r="E748" s="73" t="n">
        <v>42357</v>
      </c>
      <c r="F748" s="16" t="s">
        <v>29</v>
      </c>
      <c r="G748" s="44"/>
    </row>
    <row r="749" customFormat="false" ht="12.75" hidden="true" customHeight="true" outlineLevel="0" collapsed="false">
      <c r="A749" s="1" t="n">
        <v>1005</v>
      </c>
      <c r="B749" s="123" t="s">
        <v>1009</v>
      </c>
      <c r="C749" s="123" t="s">
        <v>1008</v>
      </c>
      <c r="D749" s="36" t="s">
        <v>26</v>
      </c>
      <c r="E749" s="37" t="n">
        <v>43818</v>
      </c>
      <c r="F749" s="16" t="s">
        <v>29</v>
      </c>
      <c r="G749" s="24" t="s">
        <v>70</v>
      </c>
    </row>
    <row r="750" customFormat="false" ht="12.75" hidden="true" customHeight="true" outlineLevel="0" collapsed="false">
      <c r="A750" s="11"/>
      <c r="B750" s="39" t="s">
        <v>1010</v>
      </c>
      <c r="C750" s="129" t="s">
        <v>290</v>
      </c>
      <c r="D750" s="14" t="s">
        <v>8</v>
      </c>
      <c r="E750" s="41" t="n">
        <v>41486</v>
      </c>
      <c r="F750" s="16" t="s">
        <v>29</v>
      </c>
      <c r="G750" s="44"/>
    </row>
    <row r="751" customFormat="false" ht="12.75" hidden="true" customHeight="true" outlineLevel="0" collapsed="false">
      <c r="A751" s="1" t="n">
        <v>3015</v>
      </c>
      <c r="B751" s="79" t="s">
        <v>1011</v>
      </c>
      <c r="C751" s="79" t="s">
        <v>406</v>
      </c>
      <c r="D751" s="36" t="s">
        <v>8</v>
      </c>
      <c r="E751" s="37" t="n">
        <v>41906</v>
      </c>
      <c r="F751" s="16" t="s">
        <v>52</v>
      </c>
      <c r="G751" s="224" t="s">
        <v>70</v>
      </c>
    </row>
    <row r="752" customFormat="false" ht="12.75" hidden="true" customHeight="true" outlineLevel="0" collapsed="false">
      <c r="A752" s="1" t="n">
        <v>3039</v>
      </c>
      <c r="B752" s="79" t="s">
        <v>1012</v>
      </c>
      <c r="C752" s="79" t="s">
        <v>250</v>
      </c>
      <c r="D752" s="36" t="s">
        <v>8</v>
      </c>
      <c r="E752" s="37" t="n">
        <v>41711</v>
      </c>
      <c r="F752" s="16" t="s">
        <v>52</v>
      </c>
      <c r="G752" s="224" t="s">
        <v>70</v>
      </c>
    </row>
    <row r="753" customFormat="false" ht="12.75" hidden="true" customHeight="true" outlineLevel="0" collapsed="false">
      <c r="A753" s="11"/>
      <c r="B753" s="12" t="s">
        <v>1013</v>
      </c>
      <c r="C753" s="13" t="s">
        <v>1014</v>
      </c>
      <c r="D753" s="14" t="s">
        <v>8</v>
      </c>
      <c r="E753" s="52" t="n">
        <v>42048</v>
      </c>
      <c r="F753" s="16" t="s">
        <v>9</v>
      </c>
      <c r="G753" s="44"/>
    </row>
    <row r="754" customFormat="false" ht="12.75" hidden="true" customHeight="true" outlineLevel="0" collapsed="false">
      <c r="A754" s="1" t="n">
        <v>2003</v>
      </c>
      <c r="B754" s="79" t="s">
        <v>1015</v>
      </c>
      <c r="C754" s="79" t="s">
        <v>1016</v>
      </c>
      <c r="D754" s="36" t="s">
        <v>8</v>
      </c>
      <c r="E754" s="37" t="n">
        <v>42719</v>
      </c>
      <c r="F754" s="16" t="s">
        <v>52</v>
      </c>
      <c r="G754" s="224" t="s">
        <v>70</v>
      </c>
    </row>
    <row r="755" customFormat="false" ht="12.75" hidden="true" customHeight="true" outlineLevel="0" collapsed="false">
      <c r="A755" s="1" t="n">
        <v>2004</v>
      </c>
      <c r="B755" s="79" t="s">
        <v>1015</v>
      </c>
      <c r="C755" s="79" t="s">
        <v>1017</v>
      </c>
      <c r="D755" s="36" t="s">
        <v>8</v>
      </c>
      <c r="E755" s="37" t="n">
        <v>42719</v>
      </c>
      <c r="F755" s="16" t="s">
        <v>52</v>
      </c>
      <c r="G755" s="224" t="s">
        <v>70</v>
      </c>
    </row>
    <row r="756" customFormat="false" ht="12.75" hidden="true" customHeight="true" outlineLevel="0" collapsed="false">
      <c r="A756" s="1" t="n">
        <v>2127</v>
      </c>
      <c r="B756" s="44" t="s">
        <v>1018</v>
      </c>
      <c r="C756" s="44" t="s">
        <v>1019</v>
      </c>
      <c r="D756" s="24" t="s">
        <v>26</v>
      </c>
      <c r="E756" s="104" t="n">
        <v>42411</v>
      </c>
      <c r="F756" s="105" t="s">
        <v>17</v>
      </c>
      <c r="G756" s="225" t="n">
        <v>500</v>
      </c>
    </row>
    <row r="757" customFormat="false" ht="12.75" hidden="true" customHeight="true" outlineLevel="0" collapsed="false">
      <c r="A757" s="11"/>
      <c r="B757" s="12" t="s">
        <v>1020</v>
      </c>
      <c r="C757" s="13" t="s">
        <v>14</v>
      </c>
      <c r="D757" s="14" t="s">
        <v>8</v>
      </c>
      <c r="E757" s="33" t="n">
        <v>40179</v>
      </c>
      <c r="F757" s="16" t="s">
        <v>9</v>
      </c>
      <c r="G757" s="44"/>
    </row>
    <row r="758" customFormat="false" ht="12.75" hidden="true" customHeight="true" outlineLevel="0" collapsed="false">
      <c r="A758" s="11"/>
      <c r="B758" s="40" t="s">
        <v>1021</v>
      </c>
      <c r="C758" s="40" t="s">
        <v>1022</v>
      </c>
      <c r="D758" s="14" t="s">
        <v>8</v>
      </c>
      <c r="E758" s="59" t="n">
        <v>41208</v>
      </c>
      <c r="F758" s="16" t="s">
        <v>52</v>
      </c>
      <c r="G758" s="44"/>
    </row>
    <row r="759" customFormat="false" ht="12.75" hidden="true" customHeight="true" outlineLevel="0" collapsed="false">
      <c r="A759" s="1" t="n">
        <v>1012</v>
      </c>
      <c r="B759" s="51" t="s">
        <v>1023</v>
      </c>
      <c r="C759" s="51" t="s">
        <v>747</v>
      </c>
      <c r="D759" s="36" t="s">
        <v>8</v>
      </c>
      <c r="E759" s="37" t="n">
        <v>43425</v>
      </c>
      <c r="F759" s="16" t="s">
        <v>143</v>
      </c>
      <c r="G759" s="24" t="s">
        <v>70</v>
      </c>
    </row>
    <row r="760" customFormat="false" ht="12.75" hidden="true" customHeight="true" outlineLevel="0" collapsed="false">
      <c r="A760" s="11"/>
      <c r="B760" s="39" t="s">
        <v>1024</v>
      </c>
      <c r="C760" s="34" t="s">
        <v>875</v>
      </c>
      <c r="D760" s="14" t="s">
        <v>26</v>
      </c>
      <c r="E760" s="15" t="n">
        <v>42731</v>
      </c>
      <c r="F760" s="16" t="s">
        <v>29</v>
      </c>
      <c r="G760" s="44"/>
    </row>
    <row r="761" customFormat="false" ht="12.75" hidden="true" customHeight="true" outlineLevel="0" collapsed="false">
      <c r="A761" s="1" t="n">
        <v>2000</v>
      </c>
      <c r="B761" s="123" t="s">
        <v>1025</v>
      </c>
      <c r="C761" s="123" t="s">
        <v>875</v>
      </c>
      <c r="D761" s="36" t="s">
        <v>26</v>
      </c>
      <c r="E761" s="37" t="n">
        <v>42731</v>
      </c>
      <c r="F761" s="16" t="s">
        <v>29</v>
      </c>
      <c r="G761" s="24" t="s">
        <v>70</v>
      </c>
    </row>
    <row r="762" customFormat="false" ht="12.75" hidden="true" customHeight="true" outlineLevel="0" collapsed="false">
      <c r="A762" s="11"/>
      <c r="B762" s="39" t="s">
        <v>1024</v>
      </c>
      <c r="C762" s="34" t="s">
        <v>1026</v>
      </c>
      <c r="D762" s="14" t="s">
        <v>26</v>
      </c>
      <c r="E762" s="15" t="n">
        <v>43533</v>
      </c>
      <c r="F762" s="16" t="s">
        <v>29</v>
      </c>
      <c r="G762" s="44"/>
    </row>
    <row r="763" customFormat="false" ht="12.75" hidden="true" customHeight="true" outlineLevel="0" collapsed="false">
      <c r="A763" s="11"/>
      <c r="B763" s="34" t="s">
        <v>1027</v>
      </c>
      <c r="C763" s="39" t="s">
        <v>711</v>
      </c>
      <c r="D763" s="14" t="s">
        <v>8</v>
      </c>
      <c r="E763" s="73" t="n">
        <v>42018</v>
      </c>
      <c r="F763" s="16" t="s">
        <v>29</v>
      </c>
      <c r="G763" s="44"/>
    </row>
    <row r="764" customFormat="false" ht="12.75" hidden="true" customHeight="true" outlineLevel="0" collapsed="false">
      <c r="A764" s="17" t="n">
        <v>3121</v>
      </c>
      <c r="B764" s="44" t="s">
        <v>1028</v>
      </c>
      <c r="C764" s="44" t="s">
        <v>1029</v>
      </c>
      <c r="D764" s="24" t="s">
        <v>8</v>
      </c>
      <c r="E764" s="45" t="n">
        <v>41745</v>
      </c>
      <c r="F764" s="26" t="s">
        <v>34</v>
      </c>
      <c r="G764" s="222" t="n">
        <v>500</v>
      </c>
    </row>
    <row r="765" customFormat="false" ht="12.75" hidden="true" customHeight="true" outlineLevel="0" collapsed="false">
      <c r="A765" s="11"/>
      <c r="B765" s="82" t="s">
        <v>1028</v>
      </c>
      <c r="C765" s="40" t="s">
        <v>634</v>
      </c>
      <c r="D765" s="14" t="s">
        <v>8</v>
      </c>
      <c r="E765" s="59" t="n">
        <v>41745</v>
      </c>
      <c r="F765" s="16" t="s">
        <v>143</v>
      </c>
      <c r="G765" s="44"/>
    </row>
    <row r="766" customFormat="false" ht="12.75" hidden="true" customHeight="true" outlineLevel="0" collapsed="false">
      <c r="A766" s="1" t="n">
        <v>1031</v>
      </c>
      <c r="B766" s="108" t="s">
        <v>1030</v>
      </c>
      <c r="C766" s="115" t="s">
        <v>527</v>
      </c>
      <c r="D766" s="36" t="s">
        <v>8</v>
      </c>
      <c r="E766" s="37" t="n">
        <v>43151</v>
      </c>
      <c r="F766" s="16" t="s">
        <v>29</v>
      </c>
      <c r="G766" s="24" t="s">
        <v>70</v>
      </c>
    </row>
    <row r="767" customFormat="false" ht="12.75" hidden="true" customHeight="true" outlineLevel="0" collapsed="false">
      <c r="A767" s="1" t="n">
        <v>3024</v>
      </c>
      <c r="B767" s="123" t="s">
        <v>1031</v>
      </c>
      <c r="C767" s="123" t="s">
        <v>1032</v>
      </c>
      <c r="D767" s="36" t="s">
        <v>26</v>
      </c>
      <c r="E767" s="37" t="n">
        <v>41828</v>
      </c>
      <c r="F767" s="16" t="s">
        <v>29</v>
      </c>
      <c r="G767" s="24" t="s">
        <v>70</v>
      </c>
    </row>
    <row r="768" customFormat="false" ht="12.75" hidden="true" customHeight="true" outlineLevel="0" collapsed="false">
      <c r="A768" s="11"/>
      <c r="B768" s="39" t="s">
        <v>1033</v>
      </c>
      <c r="C768" s="39" t="s">
        <v>355</v>
      </c>
      <c r="D768" s="14" t="s">
        <v>8</v>
      </c>
      <c r="E768" s="73" t="n">
        <v>39029</v>
      </c>
      <c r="F768" s="16" t="s">
        <v>29</v>
      </c>
      <c r="G768" s="44"/>
    </row>
    <row r="769" customFormat="false" ht="12.75" hidden="true" customHeight="true" outlineLevel="0" collapsed="false">
      <c r="A769" s="11"/>
      <c r="B769" s="60" t="s">
        <v>1034</v>
      </c>
      <c r="C769" s="61" t="s">
        <v>61</v>
      </c>
      <c r="D769" s="14" t="s">
        <v>8</v>
      </c>
      <c r="E769" s="33" t="n">
        <v>39448</v>
      </c>
      <c r="F769" s="16" t="s">
        <v>9</v>
      </c>
      <c r="G769" s="44"/>
    </row>
    <row r="770" customFormat="false" ht="12.75" hidden="true" customHeight="true" outlineLevel="0" collapsed="false">
      <c r="A770" s="11"/>
      <c r="B770" s="40" t="s">
        <v>1035</v>
      </c>
      <c r="C770" s="40" t="s">
        <v>83</v>
      </c>
      <c r="D770" s="14" t="s">
        <v>8</v>
      </c>
      <c r="E770" s="59" t="n">
        <v>40958</v>
      </c>
      <c r="F770" s="16" t="s">
        <v>143</v>
      </c>
      <c r="G770" s="44"/>
    </row>
    <row r="771" customFormat="false" ht="12.75" hidden="true" customHeight="true" outlineLevel="0" collapsed="false">
      <c r="A771" s="42" t="n">
        <v>4019</v>
      </c>
      <c r="B771" s="51" t="s">
        <v>1035</v>
      </c>
      <c r="C771" s="51" t="s">
        <v>83</v>
      </c>
      <c r="D771" s="36" t="s">
        <v>8</v>
      </c>
      <c r="E771" s="37" t="n">
        <v>40958</v>
      </c>
      <c r="F771" s="16" t="s">
        <v>143</v>
      </c>
      <c r="G771" s="24" t="s">
        <v>1036</v>
      </c>
    </row>
    <row r="772" customFormat="false" ht="12.75" hidden="true" customHeight="true" outlineLevel="0" collapsed="false">
      <c r="A772" s="11"/>
      <c r="B772" s="82" t="s">
        <v>1037</v>
      </c>
      <c r="C772" s="40" t="s">
        <v>1038</v>
      </c>
      <c r="D772" s="14" t="s">
        <v>26</v>
      </c>
      <c r="E772" s="59" t="n">
        <v>41772</v>
      </c>
      <c r="F772" s="16" t="s">
        <v>52</v>
      </c>
      <c r="G772" s="44"/>
    </row>
    <row r="773" customFormat="false" ht="12.75" hidden="true" customHeight="true" outlineLevel="0" collapsed="false">
      <c r="A773" s="1" t="n">
        <v>3029</v>
      </c>
      <c r="B773" s="79" t="s">
        <v>1037</v>
      </c>
      <c r="C773" s="79" t="s">
        <v>1038</v>
      </c>
      <c r="D773" s="36" t="s">
        <v>26</v>
      </c>
      <c r="E773" s="37" t="n">
        <v>41772</v>
      </c>
      <c r="F773" s="16" t="s">
        <v>52</v>
      </c>
      <c r="G773" s="224" t="s">
        <v>70</v>
      </c>
    </row>
    <row r="774" customFormat="false" ht="12.75" hidden="true" customHeight="true" outlineLevel="0" collapsed="false">
      <c r="A774" s="11"/>
      <c r="B774" s="82" t="s">
        <v>1039</v>
      </c>
      <c r="C774" s="40" t="s">
        <v>63</v>
      </c>
      <c r="D774" s="14" t="s">
        <v>8</v>
      </c>
      <c r="E774" s="59" t="n">
        <v>41984</v>
      </c>
      <c r="F774" s="16" t="s">
        <v>52</v>
      </c>
      <c r="G774" s="44"/>
    </row>
    <row r="775" customFormat="false" ht="12.75" hidden="true" customHeight="true" outlineLevel="0" collapsed="false">
      <c r="A775" s="1" t="n">
        <v>3004</v>
      </c>
      <c r="B775" s="79" t="s">
        <v>1039</v>
      </c>
      <c r="C775" s="79" t="s">
        <v>63</v>
      </c>
      <c r="D775" s="36" t="s">
        <v>8</v>
      </c>
      <c r="E775" s="37" t="n">
        <v>41984</v>
      </c>
      <c r="F775" s="16" t="s">
        <v>52</v>
      </c>
      <c r="G775" s="224" t="s">
        <v>70</v>
      </c>
    </row>
    <row r="776" customFormat="false" ht="12.75" hidden="true" customHeight="true" outlineLevel="0" collapsed="false">
      <c r="A776" s="11"/>
      <c r="B776" s="60" t="s">
        <v>1040</v>
      </c>
      <c r="C776" s="61" t="s">
        <v>267</v>
      </c>
      <c r="D776" s="14" t="s">
        <v>8</v>
      </c>
      <c r="E776" s="33" t="n">
        <v>40544</v>
      </c>
      <c r="F776" s="16" t="s">
        <v>9</v>
      </c>
      <c r="G776" s="44"/>
    </row>
    <row r="777" customFormat="false" ht="12.75" hidden="true" customHeight="true" outlineLevel="0" collapsed="false">
      <c r="A777" s="42" t="n">
        <v>4068</v>
      </c>
      <c r="B777" s="23" t="s">
        <v>1041</v>
      </c>
      <c r="C777" s="23" t="s">
        <v>267</v>
      </c>
      <c r="D777" s="24" t="s">
        <v>8</v>
      </c>
      <c r="E777" s="43" t="n">
        <v>40624</v>
      </c>
      <c r="F777" s="26" t="s">
        <v>9</v>
      </c>
      <c r="G777" s="222" t="n">
        <v>597</v>
      </c>
    </row>
    <row r="778" customFormat="false" ht="12.75" hidden="true" customHeight="true" outlineLevel="0" collapsed="false">
      <c r="A778" s="11"/>
      <c r="B778" s="13" t="s">
        <v>1042</v>
      </c>
      <c r="C778" s="13" t="s">
        <v>69</v>
      </c>
      <c r="D778" s="14" t="s">
        <v>26</v>
      </c>
      <c r="E778" s="33" t="n">
        <v>41275</v>
      </c>
      <c r="F778" s="16" t="s">
        <v>9</v>
      </c>
      <c r="G778" s="44"/>
    </row>
    <row r="779" customFormat="false" ht="12.75" hidden="true" customHeight="true" outlineLevel="0" collapsed="false">
      <c r="A779" s="1" t="n">
        <v>2135</v>
      </c>
      <c r="B779" s="125" t="s">
        <v>1043</v>
      </c>
      <c r="C779" s="125" t="s">
        <v>1044</v>
      </c>
      <c r="D779" s="24" t="s">
        <v>8</v>
      </c>
      <c r="E779" s="126" t="n">
        <v>42183</v>
      </c>
      <c r="F779" s="127" t="s">
        <v>9</v>
      </c>
      <c r="G779" s="237" t="n">
        <v>500</v>
      </c>
    </row>
    <row r="780" customFormat="false" ht="12.75" hidden="true" customHeight="true" outlineLevel="0" collapsed="false">
      <c r="A780" s="11"/>
      <c r="B780" s="82" t="s">
        <v>1045</v>
      </c>
      <c r="C780" s="40" t="s">
        <v>1046</v>
      </c>
      <c r="D780" s="14" t="s">
        <v>8</v>
      </c>
      <c r="E780" s="59" t="n">
        <v>41802</v>
      </c>
      <c r="F780" s="16" t="s">
        <v>52</v>
      </c>
      <c r="G780" s="44"/>
    </row>
    <row r="781" customFormat="false" ht="12.75" hidden="true" customHeight="true" outlineLevel="0" collapsed="false">
      <c r="A781" s="1" t="n">
        <v>2057</v>
      </c>
      <c r="B781" s="108" t="s">
        <v>1047</v>
      </c>
      <c r="C781" s="115" t="s">
        <v>1048</v>
      </c>
      <c r="D781" s="36" t="s">
        <v>8</v>
      </c>
      <c r="E781" s="37" t="n">
        <v>42350</v>
      </c>
      <c r="F781" s="16" t="s">
        <v>29</v>
      </c>
      <c r="G781" s="24" t="s">
        <v>70</v>
      </c>
    </row>
    <row r="782" customFormat="false" ht="12.75" hidden="true" customHeight="true" outlineLevel="0" collapsed="false">
      <c r="A782" s="42" t="n">
        <v>4093</v>
      </c>
      <c r="B782" s="238" t="s">
        <v>1049</v>
      </c>
      <c r="C782" s="39" t="s">
        <v>246</v>
      </c>
      <c r="D782" s="105" t="s">
        <v>8</v>
      </c>
      <c r="E782" s="234" t="n">
        <v>40544</v>
      </c>
      <c r="F782" s="105" t="s">
        <v>119</v>
      </c>
      <c r="G782" s="225" t="n">
        <v>500</v>
      </c>
    </row>
    <row r="783" customFormat="false" ht="12.75" hidden="true" customHeight="true" outlineLevel="0" collapsed="false">
      <c r="A783" s="11"/>
      <c r="B783" s="12" t="s">
        <v>1050</v>
      </c>
      <c r="C783" s="13" t="s">
        <v>1051</v>
      </c>
      <c r="D783" s="14" t="s">
        <v>8</v>
      </c>
      <c r="E783" s="52" t="n">
        <v>41784</v>
      </c>
      <c r="F783" s="16" t="s">
        <v>9</v>
      </c>
      <c r="G783" s="44"/>
    </row>
    <row r="784" customFormat="false" ht="12.75" hidden="true" customHeight="true" outlineLevel="0" collapsed="false">
      <c r="A784" s="11"/>
      <c r="B784" s="82" t="s">
        <v>1052</v>
      </c>
      <c r="C784" s="40" t="s">
        <v>1053</v>
      </c>
      <c r="D784" s="14" t="s">
        <v>26</v>
      </c>
      <c r="E784" s="59" t="n">
        <v>41696</v>
      </c>
      <c r="F784" s="16" t="s">
        <v>143</v>
      </c>
      <c r="G784" s="44"/>
    </row>
    <row r="785" customFormat="false" ht="12.75" hidden="true" customHeight="true" outlineLevel="0" collapsed="false">
      <c r="A785" s="1" t="n">
        <v>1037</v>
      </c>
      <c r="B785" s="51" t="s">
        <v>1054</v>
      </c>
      <c r="C785" s="51" t="s">
        <v>215</v>
      </c>
      <c r="D785" s="36" t="s">
        <v>8</v>
      </c>
      <c r="E785" s="52" t="n">
        <v>43090</v>
      </c>
      <c r="F785" s="24" t="s">
        <v>20</v>
      </c>
      <c r="G785" s="24" t="n">
        <v>500</v>
      </c>
    </row>
    <row r="786" customFormat="false" ht="12.75" hidden="true" customHeight="true" outlineLevel="0" collapsed="false">
      <c r="A786" s="11"/>
      <c r="B786" s="82" t="s">
        <v>1055</v>
      </c>
      <c r="C786" s="40" t="s">
        <v>76</v>
      </c>
      <c r="D786" s="14" t="s">
        <v>8</v>
      </c>
      <c r="E786" s="59" t="n">
        <v>42194</v>
      </c>
      <c r="F786" s="16" t="s">
        <v>17</v>
      </c>
      <c r="G786" s="44"/>
    </row>
    <row r="787" customFormat="false" ht="12.75" hidden="true" customHeight="true" outlineLevel="0" collapsed="false">
      <c r="A787" s="11"/>
      <c r="B787" s="39" t="s">
        <v>1056</v>
      </c>
      <c r="C787" s="34" t="s">
        <v>1057</v>
      </c>
      <c r="D787" s="14" t="s">
        <v>8</v>
      </c>
      <c r="E787" s="41" t="n">
        <v>41385</v>
      </c>
      <c r="F787" s="16" t="s">
        <v>29</v>
      </c>
      <c r="G787" s="44"/>
    </row>
    <row r="788" customFormat="false" ht="12.75" hidden="true" customHeight="true" outlineLevel="0" collapsed="false">
      <c r="A788" s="1" t="n">
        <v>2065</v>
      </c>
      <c r="B788" s="79" t="s">
        <v>1058</v>
      </c>
      <c r="C788" s="79" t="s">
        <v>1059</v>
      </c>
      <c r="D788" s="36" t="s">
        <v>8</v>
      </c>
      <c r="E788" s="37" t="n">
        <v>42284</v>
      </c>
      <c r="F788" s="16" t="s">
        <v>52</v>
      </c>
      <c r="G788" s="224" t="s">
        <v>70</v>
      </c>
    </row>
    <row r="789" customFormat="false" ht="12.75" hidden="true" customHeight="true" outlineLevel="0" collapsed="false">
      <c r="A789" s="11"/>
      <c r="B789" s="82" t="s">
        <v>1060</v>
      </c>
      <c r="C789" s="40" t="s">
        <v>393</v>
      </c>
      <c r="D789" s="14" t="s">
        <v>8</v>
      </c>
      <c r="E789" s="59" t="n">
        <v>42249</v>
      </c>
      <c r="F789" s="16" t="s">
        <v>143</v>
      </c>
      <c r="G789" s="44"/>
    </row>
    <row r="790" customFormat="false" ht="12.75" hidden="true" customHeight="true" outlineLevel="0" collapsed="false">
      <c r="A790" s="1" t="n">
        <v>2073</v>
      </c>
      <c r="B790" s="51" t="s">
        <v>1060</v>
      </c>
      <c r="C790" s="51" t="s">
        <v>393</v>
      </c>
      <c r="D790" s="36" t="s">
        <v>8</v>
      </c>
      <c r="E790" s="37" t="n">
        <v>42249</v>
      </c>
      <c r="F790" s="16" t="s">
        <v>143</v>
      </c>
      <c r="G790" s="24" t="s">
        <v>70</v>
      </c>
    </row>
    <row r="791" customFormat="false" ht="12.75" hidden="true" customHeight="true" outlineLevel="0" collapsed="false">
      <c r="A791" s="1" t="n">
        <v>2090</v>
      </c>
      <c r="B791" s="51" t="s">
        <v>1061</v>
      </c>
      <c r="C791" s="51" t="s">
        <v>1062</v>
      </c>
      <c r="D791" s="36" t="s">
        <v>8</v>
      </c>
      <c r="E791" s="52" t="n">
        <v>42154</v>
      </c>
      <c r="F791" s="24" t="s">
        <v>20</v>
      </c>
      <c r="G791" s="24" t="n">
        <v>500</v>
      </c>
    </row>
    <row r="792" customFormat="false" ht="12.75" hidden="true" customHeight="true" outlineLevel="0" collapsed="false">
      <c r="A792" s="42" t="n">
        <v>4041</v>
      </c>
      <c r="B792" s="79" t="s">
        <v>1063</v>
      </c>
      <c r="C792" s="79" t="s">
        <v>776</v>
      </c>
      <c r="D792" s="36" t="s">
        <v>8</v>
      </c>
      <c r="E792" s="37" t="n">
        <v>40522</v>
      </c>
      <c r="F792" s="16" t="s">
        <v>52</v>
      </c>
      <c r="G792" s="224" t="s">
        <v>70</v>
      </c>
    </row>
    <row r="793" customFormat="false" ht="12.75" hidden="true" customHeight="true" outlineLevel="0" collapsed="false">
      <c r="A793" s="11"/>
      <c r="B793" s="12" t="s">
        <v>1064</v>
      </c>
      <c r="C793" s="13" t="s">
        <v>368</v>
      </c>
      <c r="D793" s="14" t="s">
        <v>8</v>
      </c>
      <c r="E793" s="33" t="n">
        <v>39448</v>
      </c>
      <c r="F793" s="16" t="s">
        <v>9</v>
      </c>
      <c r="G793" s="44"/>
    </row>
    <row r="794" customFormat="false" ht="12.75" hidden="true" customHeight="true" outlineLevel="0" collapsed="false">
      <c r="A794" s="11"/>
      <c r="B794" s="82" t="s">
        <v>1065</v>
      </c>
      <c r="C794" s="40" t="s">
        <v>406</v>
      </c>
      <c r="D794" s="14" t="s">
        <v>8</v>
      </c>
      <c r="E794" s="59" t="n">
        <v>40005</v>
      </c>
      <c r="F794" s="16" t="s">
        <v>34</v>
      </c>
      <c r="G794" s="44"/>
    </row>
    <row r="795" customFormat="false" ht="12.75" hidden="true" customHeight="true" outlineLevel="0" collapsed="false">
      <c r="A795" s="42" t="n">
        <v>4069</v>
      </c>
      <c r="B795" s="23" t="s">
        <v>1066</v>
      </c>
      <c r="C795" s="23" t="s">
        <v>1067</v>
      </c>
      <c r="D795" s="24" t="s">
        <v>26</v>
      </c>
      <c r="E795" s="43" t="n">
        <v>39279</v>
      </c>
      <c r="F795" s="26" t="s">
        <v>9</v>
      </c>
      <c r="G795" s="222" t="n">
        <v>500</v>
      </c>
    </row>
    <row r="796" customFormat="false" ht="12.75" hidden="true" customHeight="true" outlineLevel="0" collapsed="false">
      <c r="A796" s="11"/>
      <c r="B796" s="12" t="s">
        <v>1068</v>
      </c>
      <c r="C796" s="13" t="s">
        <v>1067</v>
      </c>
      <c r="D796" s="14" t="s">
        <v>26</v>
      </c>
      <c r="E796" s="52" t="n">
        <v>39279</v>
      </c>
      <c r="F796" s="16" t="s">
        <v>9</v>
      </c>
      <c r="G796" s="44"/>
    </row>
    <row r="797" customFormat="false" ht="12.75" hidden="true" customHeight="true" outlineLevel="0" collapsed="false">
      <c r="A797" s="11"/>
      <c r="B797" s="13" t="s">
        <v>1069</v>
      </c>
      <c r="C797" s="13" t="s">
        <v>574</v>
      </c>
      <c r="D797" s="14" t="s">
        <v>8</v>
      </c>
      <c r="E797" s="59" t="n">
        <v>41477</v>
      </c>
      <c r="F797" s="16" t="s">
        <v>29</v>
      </c>
      <c r="G797" s="44"/>
    </row>
    <row r="798" customFormat="false" ht="12.75" hidden="true" customHeight="true" outlineLevel="0" collapsed="false">
      <c r="A798" s="11"/>
      <c r="B798" s="13" t="s">
        <v>1070</v>
      </c>
      <c r="C798" s="13" t="s">
        <v>1071</v>
      </c>
      <c r="D798" s="14" t="s">
        <v>8</v>
      </c>
      <c r="E798" s="138" t="n">
        <v>41627</v>
      </c>
      <c r="F798" s="16" t="s">
        <v>9</v>
      </c>
      <c r="G798" s="44"/>
    </row>
    <row r="799" customFormat="false" ht="12.75" hidden="true" customHeight="true" outlineLevel="0" collapsed="false">
      <c r="A799" s="1" t="n">
        <v>2046</v>
      </c>
      <c r="B799" s="51" t="s">
        <v>1072</v>
      </c>
      <c r="C799" s="51" t="s">
        <v>78</v>
      </c>
      <c r="D799" s="36" t="s">
        <v>8</v>
      </c>
      <c r="E799" s="37" t="n">
        <v>42399</v>
      </c>
      <c r="F799" s="16" t="s">
        <v>143</v>
      </c>
      <c r="G799" s="24" t="s">
        <v>70</v>
      </c>
    </row>
    <row r="800" customFormat="false" ht="12.75" hidden="true" customHeight="true" outlineLevel="0" collapsed="false">
      <c r="A800" s="11"/>
      <c r="B800" s="40" t="s">
        <v>1073</v>
      </c>
      <c r="C800" s="40" t="s">
        <v>662</v>
      </c>
      <c r="D800" s="14" t="s">
        <v>8</v>
      </c>
      <c r="E800" s="59" t="n">
        <v>41083</v>
      </c>
      <c r="F800" s="16" t="s">
        <v>143</v>
      </c>
      <c r="G800" s="44"/>
    </row>
    <row r="801" customFormat="false" ht="12.75" hidden="true" customHeight="true" outlineLevel="0" collapsed="false">
      <c r="A801" s="11"/>
      <c r="B801" s="61" t="s">
        <v>1074</v>
      </c>
      <c r="C801" s="61" t="s">
        <v>1075</v>
      </c>
      <c r="D801" s="14" t="s">
        <v>8</v>
      </c>
      <c r="E801" s="59" t="n">
        <v>41273</v>
      </c>
      <c r="F801" s="16" t="s">
        <v>12</v>
      </c>
      <c r="G801" s="44"/>
    </row>
    <row r="802" customFormat="false" ht="12.75" hidden="true" customHeight="true" outlineLevel="0" collapsed="false">
      <c r="A802" s="42" t="n">
        <v>4000</v>
      </c>
      <c r="B802" s="35" t="s">
        <v>1074</v>
      </c>
      <c r="C802" s="34" t="s">
        <v>1075</v>
      </c>
      <c r="D802" s="36" t="s">
        <v>8</v>
      </c>
      <c r="E802" s="37" t="n">
        <v>41273</v>
      </c>
      <c r="F802" s="16" t="s">
        <v>12</v>
      </c>
      <c r="G802" s="16" t="n">
        <v>500</v>
      </c>
    </row>
    <row r="803" customFormat="false" ht="12.75" hidden="true" customHeight="true" outlineLevel="0" collapsed="false">
      <c r="A803" s="11"/>
      <c r="B803" s="61" t="s">
        <v>1076</v>
      </c>
      <c r="C803" s="61" t="s">
        <v>114</v>
      </c>
      <c r="D803" s="14" t="s">
        <v>8</v>
      </c>
      <c r="E803" s="59" t="n">
        <v>41435</v>
      </c>
      <c r="F803" s="16" t="s">
        <v>12</v>
      </c>
      <c r="G803" s="44"/>
    </row>
    <row r="804" customFormat="false" ht="12.75" hidden="true" customHeight="true" outlineLevel="0" collapsed="false">
      <c r="A804" s="1" t="n">
        <v>3060</v>
      </c>
      <c r="B804" s="35" t="s">
        <v>1076</v>
      </c>
      <c r="C804" s="34" t="s">
        <v>114</v>
      </c>
      <c r="D804" s="36" t="s">
        <v>8</v>
      </c>
      <c r="E804" s="37" t="n">
        <v>41435</v>
      </c>
      <c r="F804" s="16" t="s">
        <v>12</v>
      </c>
      <c r="G804" s="16" t="n">
        <v>500</v>
      </c>
    </row>
    <row r="805" customFormat="false" ht="12.75" hidden="true" customHeight="true" outlineLevel="0" collapsed="false">
      <c r="A805" s="11"/>
      <c r="B805" s="60" t="s">
        <v>1076</v>
      </c>
      <c r="C805" s="61" t="s">
        <v>1077</v>
      </c>
      <c r="D805" s="14" t="s">
        <v>8</v>
      </c>
      <c r="E805" s="15" t="n">
        <v>42720</v>
      </c>
      <c r="F805" s="16" t="s">
        <v>12</v>
      </c>
      <c r="G805" s="44"/>
    </row>
    <row r="806" customFormat="false" ht="12.75" hidden="true" customHeight="true" outlineLevel="0" collapsed="false">
      <c r="A806" s="1" t="n">
        <v>2002</v>
      </c>
      <c r="B806" s="35" t="s">
        <v>1076</v>
      </c>
      <c r="C806" s="34" t="s">
        <v>1077</v>
      </c>
      <c r="D806" s="36" t="s">
        <v>8</v>
      </c>
      <c r="E806" s="37" t="n">
        <v>42720</v>
      </c>
      <c r="F806" s="16" t="s">
        <v>12</v>
      </c>
      <c r="G806" s="16" t="n">
        <v>500</v>
      </c>
    </row>
    <row r="807" customFormat="false" ht="12.75" hidden="true" customHeight="true" outlineLevel="0" collapsed="false">
      <c r="A807" s="11"/>
      <c r="B807" s="12" t="s">
        <v>1078</v>
      </c>
      <c r="C807" s="13" t="s">
        <v>437</v>
      </c>
      <c r="D807" s="14" t="s">
        <v>8</v>
      </c>
      <c r="E807" s="33" t="n">
        <v>41640</v>
      </c>
      <c r="F807" s="16" t="s">
        <v>9</v>
      </c>
      <c r="G807" s="44"/>
    </row>
    <row r="808" customFormat="false" ht="12.75" hidden="true" customHeight="true" outlineLevel="0" collapsed="false">
      <c r="A808" s="11"/>
      <c r="B808" s="12" t="s">
        <v>1079</v>
      </c>
      <c r="C808" s="13" t="s">
        <v>1080</v>
      </c>
      <c r="D808" s="14" t="s">
        <v>8</v>
      </c>
      <c r="E808" s="33" t="n">
        <v>40544</v>
      </c>
      <c r="F808" s="16" t="s">
        <v>9</v>
      </c>
      <c r="G808" s="44"/>
    </row>
    <row r="809" customFormat="false" ht="12.75" hidden="true" customHeight="true" outlineLevel="0" collapsed="false">
      <c r="A809" s="1" t="n">
        <v>2041</v>
      </c>
      <c r="B809" s="51" t="s">
        <v>1081</v>
      </c>
      <c r="C809" s="51" t="s">
        <v>406</v>
      </c>
      <c r="D809" s="36" t="s">
        <v>8</v>
      </c>
      <c r="E809" s="37" t="n">
        <v>42444</v>
      </c>
      <c r="F809" s="16" t="s">
        <v>143</v>
      </c>
      <c r="G809" s="24" t="s">
        <v>70</v>
      </c>
    </row>
    <row r="810" customFormat="false" ht="12.75" hidden="true" customHeight="true" outlineLevel="0" collapsed="false">
      <c r="A810" s="1" t="n">
        <v>2083</v>
      </c>
      <c r="B810" s="51" t="s">
        <v>1082</v>
      </c>
      <c r="C810" s="51" t="s">
        <v>771</v>
      </c>
      <c r="D810" s="36" t="s">
        <v>8</v>
      </c>
      <c r="E810" s="37" t="n">
        <v>42205</v>
      </c>
      <c r="F810" s="16" t="s">
        <v>143</v>
      </c>
      <c r="G810" s="24" t="s">
        <v>70</v>
      </c>
    </row>
    <row r="811" customFormat="false" ht="12.75" hidden="true" customHeight="true" outlineLevel="0" collapsed="false">
      <c r="A811" s="1" t="n">
        <v>1060</v>
      </c>
      <c r="B811" s="51" t="s">
        <v>1082</v>
      </c>
      <c r="C811" s="51" t="s">
        <v>1083</v>
      </c>
      <c r="D811" s="36" t="s">
        <v>8</v>
      </c>
      <c r="E811" s="37" t="n">
        <v>42802</v>
      </c>
      <c r="F811" s="16" t="s">
        <v>143</v>
      </c>
      <c r="G811" s="24" t="s">
        <v>70</v>
      </c>
    </row>
    <row r="812" customFormat="false" ht="12.75" hidden="true" customHeight="true" outlineLevel="0" collapsed="false">
      <c r="A812" s="11"/>
      <c r="B812" s="12" t="s">
        <v>1084</v>
      </c>
      <c r="C812" s="13" t="s">
        <v>121</v>
      </c>
      <c r="D812" s="14" t="s">
        <v>8</v>
      </c>
      <c r="E812" s="32" t="n">
        <v>42736</v>
      </c>
      <c r="F812" s="16" t="s">
        <v>9</v>
      </c>
      <c r="G812" s="44"/>
    </row>
    <row r="813" customFormat="false" ht="12.75" hidden="true" customHeight="true" outlineLevel="0" collapsed="false">
      <c r="A813" s="11"/>
      <c r="B813" s="12" t="s">
        <v>1084</v>
      </c>
      <c r="C813" s="13" t="s">
        <v>246</v>
      </c>
      <c r="D813" s="14" t="s">
        <v>8</v>
      </c>
      <c r="E813" s="52" t="n">
        <v>42072</v>
      </c>
      <c r="F813" s="16" t="s">
        <v>9</v>
      </c>
      <c r="G813" s="44"/>
    </row>
    <row r="814" customFormat="false" ht="12.75" hidden="true" customHeight="true" outlineLevel="0" collapsed="false">
      <c r="A814" s="1" t="n">
        <v>2140</v>
      </c>
      <c r="B814" s="53" t="s">
        <v>1085</v>
      </c>
      <c r="C814" s="53" t="s">
        <v>246</v>
      </c>
      <c r="D814" s="24" t="s">
        <v>8</v>
      </c>
      <c r="E814" s="54" t="n">
        <v>42072</v>
      </c>
      <c r="F814" s="55" t="s">
        <v>9</v>
      </c>
      <c r="G814" s="233" t="n">
        <v>500</v>
      </c>
    </row>
    <row r="815" customFormat="false" ht="12.75" hidden="true" customHeight="true" outlineLevel="0" collapsed="false">
      <c r="A815" s="11"/>
      <c r="B815" s="34" t="s">
        <v>1086</v>
      </c>
      <c r="C815" s="39" t="s">
        <v>75</v>
      </c>
      <c r="D815" s="14" t="s">
        <v>8</v>
      </c>
      <c r="E815" s="73" t="n">
        <v>42351</v>
      </c>
      <c r="F815" s="16" t="s">
        <v>29</v>
      </c>
      <c r="G815" s="44"/>
    </row>
    <row r="816" customFormat="false" ht="12.75" hidden="true" customHeight="true" outlineLevel="0" collapsed="false">
      <c r="A816" s="1" t="n">
        <v>2055</v>
      </c>
      <c r="B816" s="108" t="s">
        <v>1087</v>
      </c>
      <c r="C816" s="115" t="s">
        <v>75</v>
      </c>
      <c r="D816" s="36" t="s">
        <v>8</v>
      </c>
      <c r="E816" s="37" t="n">
        <v>42351</v>
      </c>
      <c r="F816" s="16" t="s">
        <v>29</v>
      </c>
      <c r="G816" s="24" t="s">
        <v>70</v>
      </c>
    </row>
    <row r="817" customFormat="false" ht="12.75" hidden="false" customHeight="true" outlineLevel="0" collapsed="false">
      <c r="A817" s="1" t="n">
        <v>3047</v>
      </c>
      <c r="B817" s="79" t="s">
        <v>1088</v>
      </c>
      <c r="C817" s="79" t="s">
        <v>1089</v>
      </c>
      <c r="D817" s="36" t="s">
        <v>8</v>
      </c>
      <c r="E817" s="37" t="n">
        <v>41652</v>
      </c>
      <c r="F817" s="16" t="s">
        <v>52</v>
      </c>
      <c r="G817" s="224" t="s">
        <v>70</v>
      </c>
    </row>
    <row r="818" customFormat="false" ht="12.75" hidden="true" customHeight="true" outlineLevel="0" collapsed="false">
      <c r="A818" s="42" t="n">
        <v>4016</v>
      </c>
      <c r="B818" s="79" t="s">
        <v>1090</v>
      </c>
      <c r="C818" s="79" t="s">
        <v>1091</v>
      </c>
      <c r="D818" s="36" t="s">
        <v>8</v>
      </c>
      <c r="E818" s="37" t="n">
        <v>41009</v>
      </c>
      <c r="F818" s="16" t="s">
        <v>52</v>
      </c>
      <c r="G818" s="224" t="s">
        <v>70</v>
      </c>
    </row>
    <row r="819" customFormat="false" ht="12.75" hidden="true" customHeight="true" outlineLevel="0" collapsed="false">
      <c r="A819" s="11"/>
      <c r="B819" s="82" t="s">
        <v>1092</v>
      </c>
      <c r="C819" s="40" t="s">
        <v>1093</v>
      </c>
      <c r="D819" s="14" t="s">
        <v>8</v>
      </c>
      <c r="E819" s="15" t="n">
        <v>43713</v>
      </c>
      <c r="F819" s="16" t="s">
        <v>52</v>
      </c>
      <c r="G819" s="44"/>
    </row>
    <row r="820" customFormat="false" ht="12.75" hidden="true" customHeight="true" outlineLevel="0" collapsed="false">
      <c r="A820" s="11"/>
      <c r="B820" s="82" t="s">
        <v>1092</v>
      </c>
      <c r="C820" s="40" t="s">
        <v>14</v>
      </c>
      <c r="D820" s="14" t="s">
        <v>8</v>
      </c>
      <c r="E820" s="15" t="n">
        <v>43091</v>
      </c>
      <c r="F820" s="16" t="s">
        <v>52</v>
      </c>
      <c r="G820" s="44"/>
    </row>
    <row r="821" customFormat="false" ht="12.75" hidden="true" customHeight="true" outlineLevel="0" collapsed="false">
      <c r="A821" s="11"/>
      <c r="B821" s="39" t="s">
        <v>1094</v>
      </c>
      <c r="C821" s="39" t="s">
        <v>1095</v>
      </c>
      <c r="D821" s="14" t="s">
        <v>8</v>
      </c>
      <c r="E821" s="73" t="n">
        <v>42270</v>
      </c>
      <c r="F821" s="16" t="s">
        <v>29</v>
      </c>
      <c r="G821" s="44"/>
    </row>
    <row r="822" customFormat="false" ht="12.75" hidden="true" customHeight="true" outlineLevel="0" collapsed="false">
      <c r="A822" s="11"/>
      <c r="B822" s="40" t="s">
        <v>1096</v>
      </c>
      <c r="C822" s="40" t="s">
        <v>1097</v>
      </c>
      <c r="D822" s="14" t="s">
        <v>8</v>
      </c>
      <c r="E822" s="59" t="n">
        <v>40909</v>
      </c>
      <c r="F822" s="16" t="s">
        <v>34</v>
      </c>
      <c r="G822" s="44"/>
    </row>
    <row r="823" customFormat="false" ht="12.75" hidden="true" customHeight="true" outlineLevel="0" collapsed="false">
      <c r="A823" s="42" t="n">
        <v>4082</v>
      </c>
      <c r="B823" s="44" t="s">
        <v>1096</v>
      </c>
      <c r="C823" s="44" t="s">
        <v>1097</v>
      </c>
      <c r="D823" s="24" t="s">
        <v>8</v>
      </c>
      <c r="E823" s="45" t="n">
        <v>40909</v>
      </c>
      <c r="F823" s="26" t="s">
        <v>34</v>
      </c>
      <c r="G823" s="222" t="n">
        <v>500</v>
      </c>
    </row>
    <row r="824" customFormat="false" ht="12.75" hidden="true" customHeight="true" outlineLevel="0" collapsed="false">
      <c r="A824" s="11"/>
      <c r="B824" s="82" t="s">
        <v>1096</v>
      </c>
      <c r="C824" s="40" t="s">
        <v>214</v>
      </c>
      <c r="D824" s="14" t="s">
        <v>8</v>
      </c>
      <c r="E824" s="59" t="n">
        <v>42256</v>
      </c>
      <c r="F824" s="16" t="s">
        <v>34</v>
      </c>
      <c r="G824" s="44"/>
    </row>
    <row r="825" customFormat="false" ht="12.75" hidden="true" customHeight="true" outlineLevel="0" collapsed="false">
      <c r="A825" s="1" t="n">
        <v>2172</v>
      </c>
      <c r="B825" s="44" t="s">
        <v>1096</v>
      </c>
      <c r="C825" s="44" t="s">
        <v>214</v>
      </c>
      <c r="D825" s="24" t="s">
        <v>8</v>
      </c>
      <c r="E825" s="45" t="n">
        <v>42256</v>
      </c>
      <c r="F825" s="26" t="s">
        <v>34</v>
      </c>
      <c r="G825" s="222" t="n">
        <v>500</v>
      </c>
    </row>
    <row r="826" customFormat="false" ht="12.75" hidden="true" customHeight="true" outlineLevel="0" collapsed="false">
      <c r="A826" s="11"/>
      <c r="B826" s="82" t="s">
        <v>1098</v>
      </c>
      <c r="C826" s="40" t="s">
        <v>1099</v>
      </c>
      <c r="D826" s="14" t="s">
        <v>8</v>
      </c>
      <c r="E826" s="59" t="n">
        <v>41855</v>
      </c>
      <c r="F826" s="16" t="s">
        <v>17</v>
      </c>
      <c r="G826" s="44"/>
    </row>
    <row r="827" customFormat="false" ht="12.75" hidden="true" customHeight="true" outlineLevel="0" collapsed="false">
      <c r="A827" s="17" t="n">
        <v>3088</v>
      </c>
      <c r="B827" s="23" t="s">
        <v>1098</v>
      </c>
      <c r="C827" s="23" t="s">
        <v>1099</v>
      </c>
      <c r="D827" s="24" t="s">
        <v>8</v>
      </c>
      <c r="E827" s="25" t="n">
        <v>41855</v>
      </c>
      <c r="F827" s="222" t="s">
        <v>17</v>
      </c>
      <c r="G827" s="222" t="n">
        <v>500</v>
      </c>
    </row>
    <row r="828" customFormat="false" ht="12.75" hidden="true" customHeight="true" outlineLevel="0" collapsed="false">
      <c r="A828" s="1" t="n">
        <v>1045</v>
      </c>
      <c r="B828" s="51" t="s">
        <v>1100</v>
      </c>
      <c r="C828" s="51" t="s">
        <v>1101</v>
      </c>
      <c r="D828" s="36" t="s">
        <v>8</v>
      </c>
      <c r="E828" s="37" t="n">
        <v>43031</v>
      </c>
      <c r="F828" s="16" t="s">
        <v>197</v>
      </c>
      <c r="G828" s="24" t="n">
        <v>500</v>
      </c>
    </row>
    <row r="829" customFormat="false" ht="12.75" hidden="true" customHeight="true" outlineLevel="0" collapsed="false">
      <c r="A829" s="1" t="n">
        <v>2173</v>
      </c>
      <c r="B829" s="44" t="s">
        <v>1102</v>
      </c>
      <c r="C829" s="44" t="s">
        <v>1103</v>
      </c>
      <c r="D829" s="24" t="s">
        <v>8</v>
      </c>
      <c r="E829" s="45" t="n">
        <v>42087</v>
      </c>
      <c r="F829" s="222" t="s">
        <v>34</v>
      </c>
      <c r="G829" s="222" t="n">
        <v>500</v>
      </c>
    </row>
    <row r="830" customFormat="false" ht="12.75" hidden="true" customHeight="true" outlineLevel="0" collapsed="false">
      <c r="A830" s="11"/>
      <c r="B830" s="82" t="s">
        <v>1104</v>
      </c>
      <c r="C830" s="40" t="s">
        <v>69</v>
      </c>
      <c r="D830" s="14" t="s">
        <v>26</v>
      </c>
      <c r="E830" s="15" t="n">
        <v>43645</v>
      </c>
      <c r="F830" s="16" t="s">
        <v>52</v>
      </c>
      <c r="G830" s="44"/>
    </row>
    <row r="831" customFormat="false" ht="12.75" hidden="true" customHeight="true" outlineLevel="0" collapsed="false">
      <c r="A831" s="1" t="n">
        <v>1008</v>
      </c>
      <c r="B831" s="79" t="s">
        <v>1104</v>
      </c>
      <c r="C831" s="79" t="s">
        <v>69</v>
      </c>
      <c r="D831" s="36" t="s">
        <v>26</v>
      </c>
      <c r="E831" s="37" t="n">
        <v>43645</v>
      </c>
      <c r="F831" s="16" t="s">
        <v>52</v>
      </c>
      <c r="G831" s="224" t="s">
        <v>70</v>
      </c>
    </row>
    <row r="832" customFormat="false" ht="12.75" hidden="true" customHeight="true" outlineLevel="0" collapsed="false">
      <c r="A832" s="42" t="n">
        <v>4002</v>
      </c>
      <c r="B832" s="51" t="s">
        <v>1105</v>
      </c>
      <c r="C832" s="51" t="s">
        <v>1106</v>
      </c>
      <c r="D832" s="36" t="s">
        <v>26</v>
      </c>
      <c r="E832" s="52" t="n">
        <v>41269</v>
      </c>
      <c r="F832" s="24" t="s">
        <v>20</v>
      </c>
      <c r="G832" s="24" t="n">
        <v>500</v>
      </c>
    </row>
    <row r="833" customFormat="false" ht="12.75" hidden="true" customHeight="true" outlineLevel="0" collapsed="false">
      <c r="A833" s="11"/>
      <c r="B833" s="13" t="s">
        <v>1107</v>
      </c>
      <c r="C833" s="13" t="s">
        <v>1108</v>
      </c>
      <c r="D833" s="14" t="s">
        <v>8</v>
      </c>
      <c r="E833" s="138" t="n">
        <v>41592</v>
      </c>
      <c r="F833" s="16" t="s">
        <v>9</v>
      </c>
      <c r="G833" s="44"/>
    </row>
    <row r="834" customFormat="false" ht="12.75" hidden="true" customHeight="true" outlineLevel="0" collapsed="false">
      <c r="A834" s="11"/>
      <c r="B834" s="82" t="s">
        <v>1109</v>
      </c>
      <c r="C834" s="40" t="s">
        <v>391</v>
      </c>
      <c r="D834" s="14" t="s">
        <v>8</v>
      </c>
      <c r="E834" s="59" t="n">
        <v>40844</v>
      </c>
      <c r="F834" s="16" t="s">
        <v>34</v>
      </c>
      <c r="G834" s="44"/>
    </row>
    <row r="835" customFormat="false" ht="12.75" hidden="true" customHeight="true" outlineLevel="0" collapsed="false">
      <c r="A835" s="11"/>
      <c r="B835" s="60" t="s">
        <v>1110</v>
      </c>
      <c r="C835" s="61" t="s">
        <v>99</v>
      </c>
      <c r="D835" s="14" t="s">
        <v>8</v>
      </c>
      <c r="E835" s="59" t="n">
        <v>41745</v>
      </c>
      <c r="F835" s="16" t="s">
        <v>12</v>
      </c>
      <c r="G835" s="44"/>
    </row>
    <row r="836" customFormat="false" ht="12.75" hidden="true" customHeight="true" outlineLevel="0" collapsed="false">
      <c r="A836" s="11"/>
      <c r="B836" s="12" t="s">
        <v>1111</v>
      </c>
      <c r="C836" s="13" t="s">
        <v>215</v>
      </c>
      <c r="D836" s="14" t="s">
        <v>8</v>
      </c>
      <c r="E836" s="32" t="n">
        <v>42370</v>
      </c>
      <c r="F836" s="16" t="s">
        <v>9</v>
      </c>
      <c r="G836" s="44"/>
    </row>
    <row r="837" customFormat="false" ht="12.75" hidden="true" customHeight="true" outlineLevel="0" collapsed="false">
      <c r="A837" s="1" t="n">
        <v>1067</v>
      </c>
      <c r="B837" s="44" t="s">
        <v>1112</v>
      </c>
      <c r="C837" s="44" t="s">
        <v>1113</v>
      </c>
      <c r="D837" s="24" t="s">
        <v>26</v>
      </c>
      <c r="E837" s="107" t="n">
        <v>43332</v>
      </c>
      <c r="F837" s="225" t="s">
        <v>17</v>
      </c>
      <c r="G837" s="225" t="n">
        <v>500</v>
      </c>
    </row>
    <row r="838" customFormat="false" ht="12.75" hidden="true" customHeight="true" outlineLevel="0" collapsed="false">
      <c r="A838" s="1" t="n">
        <v>1052</v>
      </c>
      <c r="B838" s="123" t="s">
        <v>1114</v>
      </c>
      <c r="C838" s="123" t="s">
        <v>531</v>
      </c>
      <c r="D838" s="36" t="s">
        <v>26</v>
      </c>
      <c r="E838" s="37" t="n">
        <v>42878</v>
      </c>
      <c r="F838" s="16" t="s">
        <v>29</v>
      </c>
      <c r="G838" s="24" t="s">
        <v>70</v>
      </c>
    </row>
    <row r="839" customFormat="false" ht="12.75" hidden="true" customHeight="true" outlineLevel="0" collapsed="false">
      <c r="A839" s="11"/>
      <c r="B839" s="39" t="s">
        <v>1115</v>
      </c>
      <c r="C839" s="34" t="s">
        <v>531</v>
      </c>
      <c r="D839" s="14" t="s">
        <v>26</v>
      </c>
      <c r="E839" s="15" t="n">
        <v>44096</v>
      </c>
      <c r="F839" s="16" t="s">
        <v>29</v>
      </c>
      <c r="G839" s="44"/>
    </row>
    <row r="840" customFormat="false" ht="12.75" hidden="true" customHeight="true" outlineLevel="0" collapsed="false">
      <c r="A840" s="2" t="n">
        <v>3133</v>
      </c>
      <c r="B840" s="39" t="s">
        <v>1115</v>
      </c>
      <c r="C840" s="129" t="s">
        <v>406</v>
      </c>
      <c r="D840" s="14" t="s">
        <v>8</v>
      </c>
      <c r="E840" s="73" t="n">
        <v>41823</v>
      </c>
      <c r="F840" s="16" t="s">
        <v>29</v>
      </c>
      <c r="G840" s="222" t="n">
        <v>500</v>
      </c>
    </row>
    <row r="841" customFormat="false" ht="12.75" hidden="true" customHeight="true" outlineLevel="0" collapsed="false">
      <c r="A841" s="1" t="n">
        <v>2087</v>
      </c>
      <c r="B841" s="79" t="s">
        <v>1116</v>
      </c>
      <c r="C841" s="79" t="s">
        <v>1117</v>
      </c>
      <c r="D841" s="36" t="s">
        <v>8</v>
      </c>
      <c r="E841" s="37" t="n">
        <v>42183</v>
      </c>
      <c r="F841" s="16" t="s">
        <v>52</v>
      </c>
      <c r="G841" s="224" t="s">
        <v>70</v>
      </c>
    </row>
    <row r="842" customFormat="false" ht="12.75" hidden="true" customHeight="true" outlineLevel="0" collapsed="false">
      <c r="A842" s="11"/>
      <c r="B842" s="82" t="s">
        <v>1118</v>
      </c>
      <c r="C842" s="40" t="s">
        <v>1119</v>
      </c>
      <c r="D842" s="14" t="s">
        <v>26</v>
      </c>
      <c r="E842" s="59" t="n">
        <v>42306</v>
      </c>
      <c r="F842" s="16" t="s">
        <v>143</v>
      </c>
      <c r="G842" s="44"/>
    </row>
    <row r="843" customFormat="false" ht="12.75" hidden="true" customHeight="true" outlineLevel="0" collapsed="false">
      <c r="A843" s="1" t="n">
        <v>2062</v>
      </c>
      <c r="B843" s="51" t="s">
        <v>1118</v>
      </c>
      <c r="C843" s="51" t="s">
        <v>1119</v>
      </c>
      <c r="D843" s="36" t="s">
        <v>8</v>
      </c>
      <c r="E843" s="37" t="n">
        <v>42306</v>
      </c>
      <c r="F843" s="16" t="s">
        <v>143</v>
      </c>
      <c r="G843" s="24" t="s">
        <v>70</v>
      </c>
    </row>
    <row r="844" customFormat="false" ht="12.75" hidden="true" customHeight="true" outlineLevel="0" collapsed="false">
      <c r="A844" s="11"/>
      <c r="B844" s="82" t="s">
        <v>1120</v>
      </c>
      <c r="C844" s="40" t="s">
        <v>1121</v>
      </c>
      <c r="D844" s="14" t="s">
        <v>8</v>
      </c>
      <c r="E844" s="59" t="n">
        <v>38807</v>
      </c>
      <c r="F844" s="16" t="s">
        <v>52</v>
      </c>
      <c r="G844" s="44"/>
    </row>
    <row r="845" customFormat="false" ht="12.75" hidden="true" customHeight="true" outlineLevel="0" collapsed="false">
      <c r="A845" s="1" t="n">
        <v>2027</v>
      </c>
      <c r="B845" s="108" t="s">
        <v>1122</v>
      </c>
      <c r="C845" s="115" t="s">
        <v>246</v>
      </c>
      <c r="D845" s="36" t="s">
        <v>8</v>
      </c>
      <c r="E845" s="37" t="n">
        <v>42550</v>
      </c>
      <c r="F845" s="16" t="s">
        <v>29</v>
      </c>
      <c r="G845" s="24" t="s">
        <v>70</v>
      </c>
    </row>
    <row r="846" customFormat="false" ht="12.75" hidden="true" customHeight="true" outlineLevel="0" collapsed="false">
      <c r="A846" s="11"/>
      <c r="B846" s="13" t="s">
        <v>1123</v>
      </c>
      <c r="C846" s="13" t="s">
        <v>455</v>
      </c>
      <c r="D846" s="14" t="s">
        <v>8</v>
      </c>
      <c r="E846" s="33" t="n">
        <v>40909</v>
      </c>
      <c r="F846" s="16" t="s">
        <v>9</v>
      </c>
      <c r="G846" s="44"/>
    </row>
    <row r="847" customFormat="false" ht="12.75" hidden="true" customHeight="true" outlineLevel="0" collapsed="false">
      <c r="A847" s="11"/>
      <c r="B847" s="12" t="s">
        <v>1124</v>
      </c>
      <c r="C847" s="13" t="s">
        <v>1125</v>
      </c>
      <c r="D847" s="14" t="s">
        <v>8</v>
      </c>
      <c r="E847" s="52" t="n">
        <v>40801</v>
      </c>
      <c r="F847" s="16" t="s">
        <v>9</v>
      </c>
      <c r="G847" s="44"/>
    </row>
    <row r="848" customFormat="false" ht="12.75" hidden="true" customHeight="true" outlineLevel="0" collapsed="false">
      <c r="A848" s="11"/>
      <c r="B848" s="129" t="s">
        <v>1126</v>
      </c>
      <c r="C848" s="129" t="s">
        <v>368</v>
      </c>
      <c r="D848" s="137" t="s">
        <v>8</v>
      </c>
      <c r="E848" s="239" t="n">
        <v>41912</v>
      </c>
      <c r="F848" s="24" t="s">
        <v>129</v>
      </c>
      <c r="G848" s="44"/>
    </row>
    <row r="849" customFormat="false" ht="12.75" hidden="true" customHeight="true" outlineLevel="0" collapsed="false">
      <c r="A849" s="11"/>
      <c r="B849" s="60" t="s">
        <v>1127</v>
      </c>
      <c r="C849" s="61" t="s">
        <v>484</v>
      </c>
      <c r="D849" s="14" t="s">
        <v>8</v>
      </c>
      <c r="E849" s="59" t="n">
        <v>41662</v>
      </c>
      <c r="F849" s="16" t="s">
        <v>12</v>
      </c>
      <c r="G849" s="44"/>
    </row>
    <row r="850" customFormat="false" ht="12.75" hidden="true" customHeight="true" outlineLevel="0" collapsed="false">
      <c r="A850" s="11"/>
      <c r="B850" s="12" t="s">
        <v>1127</v>
      </c>
      <c r="C850" s="13" t="s">
        <v>1128</v>
      </c>
      <c r="D850" s="14" t="s">
        <v>8</v>
      </c>
      <c r="E850" s="59" t="n">
        <v>40440</v>
      </c>
      <c r="F850" s="16" t="s">
        <v>12</v>
      </c>
      <c r="G850" s="44"/>
    </row>
    <row r="851" customFormat="false" ht="12.75" hidden="true" customHeight="true" outlineLevel="0" collapsed="false">
      <c r="A851" s="11"/>
      <c r="B851" s="82" t="s">
        <v>1129</v>
      </c>
      <c r="C851" s="40" t="s">
        <v>817</v>
      </c>
      <c r="D851" s="14" t="s">
        <v>8</v>
      </c>
      <c r="E851" s="59" t="n">
        <v>40830</v>
      </c>
      <c r="F851" s="16" t="s">
        <v>34</v>
      </c>
      <c r="G851" s="44"/>
    </row>
    <row r="852" customFormat="false" ht="12.75" hidden="true" customHeight="true" outlineLevel="0" collapsed="false">
      <c r="A852" s="1" t="n">
        <v>2045</v>
      </c>
      <c r="B852" s="35" t="s">
        <v>1130</v>
      </c>
      <c r="C852" s="34" t="s">
        <v>73</v>
      </c>
      <c r="D852" s="36" t="s">
        <v>8</v>
      </c>
      <c r="E852" s="37" t="n">
        <v>42408</v>
      </c>
      <c r="F852" s="16" t="s">
        <v>12</v>
      </c>
      <c r="G852" s="16" t="n">
        <v>500</v>
      </c>
    </row>
    <row r="853" customFormat="false" ht="12.75" hidden="true" customHeight="true" outlineLevel="0" collapsed="false">
      <c r="A853" s="11"/>
      <c r="B853" s="82" t="s">
        <v>1131</v>
      </c>
      <c r="C853" s="40" t="s">
        <v>127</v>
      </c>
      <c r="D853" s="14" t="s">
        <v>8</v>
      </c>
      <c r="E853" s="59" t="n">
        <v>41794</v>
      </c>
      <c r="F853" s="16" t="s">
        <v>34</v>
      </c>
      <c r="G853" s="44"/>
    </row>
    <row r="854" customFormat="false" ht="12.75" hidden="true" customHeight="true" outlineLevel="0" collapsed="false">
      <c r="A854" s="11"/>
      <c r="B854" s="13" t="s">
        <v>1132</v>
      </c>
      <c r="C854" s="13" t="s">
        <v>246</v>
      </c>
      <c r="D854" s="14" t="s">
        <v>8</v>
      </c>
      <c r="E854" s="33" t="n">
        <v>40909</v>
      </c>
      <c r="F854" s="16" t="s">
        <v>9</v>
      </c>
      <c r="G854" s="44"/>
    </row>
    <row r="855" customFormat="false" ht="12.75" hidden="true" customHeight="true" outlineLevel="0" collapsed="false">
      <c r="A855" s="11"/>
      <c r="B855" s="82" t="s">
        <v>1133</v>
      </c>
      <c r="C855" s="40" t="s">
        <v>541</v>
      </c>
      <c r="D855" s="14" t="s">
        <v>8</v>
      </c>
      <c r="E855" s="15" t="n">
        <v>39896</v>
      </c>
      <c r="F855" s="16" t="s">
        <v>34</v>
      </c>
      <c r="G855" s="44"/>
    </row>
    <row r="856" customFormat="false" ht="12.75" hidden="true" customHeight="true" outlineLevel="0" collapsed="false">
      <c r="A856" s="42" t="n">
        <v>4090</v>
      </c>
      <c r="B856" s="44" t="s">
        <v>1133</v>
      </c>
      <c r="C856" s="44" t="s">
        <v>541</v>
      </c>
      <c r="D856" s="24" t="s">
        <v>8</v>
      </c>
      <c r="E856" s="45" t="n">
        <v>39896</v>
      </c>
      <c r="F856" s="222" t="s">
        <v>34</v>
      </c>
      <c r="G856" s="222" t="n">
        <v>500</v>
      </c>
    </row>
    <row r="857" customFormat="false" ht="12.75" hidden="true" customHeight="true" outlineLevel="0" collapsed="false">
      <c r="A857" s="11"/>
      <c r="B857" s="82" t="s">
        <v>1133</v>
      </c>
      <c r="C857" s="40" t="s">
        <v>1134</v>
      </c>
      <c r="D857" s="14" t="s">
        <v>8</v>
      </c>
      <c r="E857" s="59" t="n">
        <v>40652</v>
      </c>
      <c r="F857" s="16" t="s">
        <v>34</v>
      </c>
      <c r="G857" s="44"/>
    </row>
    <row r="858" customFormat="false" ht="12.75" hidden="true" customHeight="true" outlineLevel="0" collapsed="false">
      <c r="A858" s="11"/>
      <c r="B858" s="82" t="s">
        <v>1133</v>
      </c>
      <c r="C858" s="40" t="s">
        <v>1135</v>
      </c>
      <c r="D858" s="14" t="s">
        <v>26</v>
      </c>
      <c r="E858" s="59" t="n">
        <v>42288</v>
      </c>
      <c r="F858" s="16" t="s">
        <v>34</v>
      </c>
      <c r="G858" s="44"/>
    </row>
    <row r="859" customFormat="false" ht="12.75" hidden="true" customHeight="true" outlineLevel="0" collapsed="false">
      <c r="A859" s="1" t="n">
        <v>2174</v>
      </c>
      <c r="B859" s="44" t="s">
        <v>1133</v>
      </c>
      <c r="C859" s="44" t="s">
        <v>1135</v>
      </c>
      <c r="D859" s="24" t="s">
        <v>26</v>
      </c>
      <c r="E859" s="45" t="n">
        <v>42288</v>
      </c>
      <c r="F859" s="222" t="s">
        <v>34</v>
      </c>
      <c r="G859" s="222" t="n">
        <v>500</v>
      </c>
    </row>
    <row r="860" customFormat="false" ht="12.75" hidden="true" customHeight="true" outlineLevel="0" collapsed="false">
      <c r="A860" s="11"/>
      <c r="B860" s="34" t="s">
        <v>1136</v>
      </c>
      <c r="C860" s="34" t="s">
        <v>278</v>
      </c>
      <c r="D860" s="14" t="s">
        <v>8</v>
      </c>
      <c r="E860" s="240" t="n">
        <v>39030</v>
      </c>
      <c r="F860" s="16" t="s">
        <v>29</v>
      </c>
      <c r="G860" s="44"/>
    </row>
    <row r="861" customFormat="false" ht="12.75" hidden="true" customHeight="true" outlineLevel="0" collapsed="false">
      <c r="A861" s="11"/>
      <c r="B861" s="82" t="s">
        <v>1137</v>
      </c>
      <c r="C861" s="40" t="s">
        <v>1071</v>
      </c>
      <c r="D861" s="14" t="s">
        <v>8</v>
      </c>
      <c r="E861" s="241" t="n">
        <v>43371</v>
      </c>
      <c r="F861" s="16" t="s">
        <v>34</v>
      </c>
      <c r="G861" s="44"/>
    </row>
    <row r="862" customFormat="false" ht="12.75" hidden="true" customHeight="true" outlineLevel="0" collapsed="false">
      <c r="A862" s="1" t="n">
        <v>1084</v>
      </c>
      <c r="B862" s="44" t="s">
        <v>1137</v>
      </c>
      <c r="C862" s="44" t="s">
        <v>1071</v>
      </c>
      <c r="D862" s="36" t="s">
        <v>8</v>
      </c>
      <c r="E862" s="242" t="n">
        <v>43371</v>
      </c>
      <c r="F862" s="222" t="s">
        <v>34</v>
      </c>
      <c r="G862" s="222" t="n">
        <v>500</v>
      </c>
    </row>
    <row r="863" customFormat="false" ht="12.75" hidden="true" customHeight="true" outlineLevel="0" collapsed="false">
      <c r="A863" s="1" t="n">
        <v>2094</v>
      </c>
      <c r="B863" s="35" t="s">
        <v>1138</v>
      </c>
      <c r="C863" s="34" t="s">
        <v>1139</v>
      </c>
      <c r="D863" s="36" t="s">
        <v>8</v>
      </c>
      <c r="E863" s="243" t="n">
        <v>42118</v>
      </c>
      <c r="F863" s="16" t="s">
        <v>12</v>
      </c>
      <c r="G863" s="16" t="n">
        <v>500</v>
      </c>
    </row>
    <row r="864" customFormat="false" ht="12.75" hidden="true" customHeight="true" outlineLevel="0" collapsed="false">
      <c r="A864" s="11"/>
      <c r="B864" s="57" t="s">
        <v>1140</v>
      </c>
      <c r="C864" s="58" t="s">
        <v>214</v>
      </c>
      <c r="D864" s="14" t="s">
        <v>8</v>
      </c>
      <c r="E864" s="244" t="n">
        <v>40887</v>
      </c>
      <c r="F864" s="14" t="s">
        <v>143</v>
      </c>
      <c r="G864" s="44"/>
    </row>
    <row r="865" customFormat="false" ht="12.75" hidden="true" customHeight="true" outlineLevel="0" collapsed="false">
      <c r="A865" s="11"/>
      <c r="B865" s="245" t="s">
        <v>1141</v>
      </c>
      <c r="C865" s="245" t="s">
        <v>132</v>
      </c>
      <c r="D865" s="14" t="s">
        <v>8</v>
      </c>
      <c r="E865" s="246" t="n">
        <v>41765</v>
      </c>
      <c r="F865" s="16" t="s">
        <v>52</v>
      </c>
      <c r="G865" s="44"/>
    </row>
    <row r="866" customFormat="false" ht="12.75" hidden="true" customHeight="true" outlineLevel="0" collapsed="false">
      <c r="A866" s="11"/>
      <c r="B866" s="60" t="s">
        <v>1142</v>
      </c>
      <c r="C866" s="61" t="s">
        <v>1143</v>
      </c>
      <c r="D866" s="14" t="s">
        <v>8</v>
      </c>
      <c r="E866" s="246" t="n">
        <v>41822</v>
      </c>
      <c r="F866" s="16" t="s">
        <v>12</v>
      </c>
      <c r="G866" s="44"/>
    </row>
    <row r="867" customFormat="false" ht="12.75" hidden="true" customHeight="true" outlineLevel="0" collapsed="false">
      <c r="A867" s="11"/>
      <c r="B867" s="13" t="s">
        <v>1144</v>
      </c>
      <c r="C867" s="13" t="s">
        <v>1145</v>
      </c>
      <c r="D867" s="14" t="s">
        <v>8</v>
      </c>
      <c r="E867" s="247" t="n">
        <v>41275</v>
      </c>
      <c r="F867" s="16" t="s">
        <v>9</v>
      </c>
      <c r="G867" s="44"/>
    </row>
    <row r="868" customFormat="false" ht="12.75" hidden="true" customHeight="true" outlineLevel="0" collapsed="false">
      <c r="A868" s="17" t="n">
        <v>3097</v>
      </c>
      <c r="B868" s="23" t="s">
        <v>1146</v>
      </c>
      <c r="C868" s="23" t="s">
        <v>1145</v>
      </c>
      <c r="D868" s="24" t="s">
        <v>8</v>
      </c>
      <c r="E868" s="248" t="n">
        <v>41639</v>
      </c>
      <c r="F868" s="222" t="s">
        <v>9</v>
      </c>
      <c r="G868" s="222" t="n">
        <v>500</v>
      </c>
    </row>
    <row r="869" customFormat="false" ht="12.75" hidden="true" customHeight="true" outlineLevel="0" collapsed="false">
      <c r="A869" s="11"/>
      <c r="B869" s="57" t="s">
        <v>1147</v>
      </c>
      <c r="C869" s="58" t="s">
        <v>1148</v>
      </c>
      <c r="D869" s="14" t="s">
        <v>8</v>
      </c>
      <c r="E869" s="244" t="n">
        <v>40207</v>
      </c>
      <c r="F869" s="16" t="s">
        <v>34</v>
      </c>
      <c r="G869" s="44"/>
    </row>
    <row r="870" customFormat="false" ht="12.75" hidden="true" customHeight="true" outlineLevel="0" collapsed="false">
      <c r="A870" s="42" t="n">
        <v>4091</v>
      </c>
      <c r="B870" s="44" t="s">
        <v>1147</v>
      </c>
      <c r="C870" s="44" t="s">
        <v>1148</v>
      </c>
      <c r="D870" s="24" t="s">
        <v>8</v>
      </c>
      <c r="E870" s="242" t="n">
        <v>40207</v>
      </c>
      <c r="F870" s="222" t="s">
        <v>34</v>
      </c>
      <c r="G870" s="222" t="n">
        <v>500</v>
      </c>
    </row>
    <row r="871" customFormat="false" ht="12.75" hidden="true" customHeight="true" outlineLevel="0" collapsed="false">
      <c r="A871" s="11"/>
      <c r="B871" s="82" t="s">
        <v>1149</v>
      </c>
      <c r="C871" s="40" t="s">
        <v>215</v>
      </c>
      <c r="D871" s="14" t="s">
        <v>8</v>
      </c>
      <c r="E871" s="241" t="n">
        <v>42371</v>
      </c>
      <c r="F871" s="16" t="s">
        <v>129</v>
      </c>
      <c r="G871" s="44"/>
    </row>
    <row r="872" customFormat="false" ht="12.75" hidden="true" customHeight="true" outlineLevel="0" collapsed="false">
      <c r="A872" s="11"/>
      <c r="B872" s="129" t="s">
        <v>1150</v>
      </c>
      <c r="C872" s="129" t="s">
        <v>127</v>
      </c>
      <c r="D872" s="137" t="s">
        <v>8</v>
      </c>
      <c r="E872" s="249" t="n">
        <v>41660</v>
      </c>
      <c r="F872" s="24" t="s">
        <v>129</v>
      </c>
      <c r="G872" s="44"/>
    </row>
    <row r="873" customFormat="false" ht="12.75" hidden="true" customHeight="true" outlineLevel="0" collapsed="false">
      <c r="A873" s="1" t="n">
        <v>3044</v>
      </c>
      <c r="B873" s="108" t="s">
        <v>1151</v>
      </c>
      <c r="C873" s="108" t="s">
        <v>127</v>
      </c>
      <c r="D873" s="36" t="s">
        <v>8</v>
      </c>
      <c r="E873" s="243" t="n">
        <v>41660</v>
      </c>
      <c r="F873" s="109" t="s">
        <v>129</v>
      </c>
      <c r="G873" s="109" t="n">
        <v>500</v>
      </c>
    </row>
    <row r="874" customFormat="false" ht="12.75" hidden="true" customHeight="true" outlineLevel="0" collapsed="false">
      <c r="A874" s="11"/>
      <c r="B874" s="129" t="s">
        <v>1151</v>
      </c>
      <c r="C874" s="129" t="s">
        <v>43</v>
      </c>
      <c r="D874" s="14" t="s">
        <v>8</v>
      </c>
      <c r="E874" s="250" t="n">
        <v>42669</v>
      </c>
      <c r="F874" s="16" t="s">
        <v>129</v>
      </c>
      <c r="G874" s="44"/>
    </row>
    <row r="875" customFormat="false" ht="12.75" hidden="true" customHeight="true" outlineLevel="0" collapsed="false">
      <c r="A875" s="1" t="n">
        <v>2011</v>
      </c>
      <c r="B875" s="108" t="s">
        <v>1151</v>
      </c>
      <c r="C875" s="108" t="s">
        <v>43</v>
      </c>
      <c r="D875" s="36" t="s">
        <v>8</v>
      </c>
      <c r="E875" s="243" t="n">
        <v>42669</v>
      </c>
      <c r="F875" s="109" t="s">
        <v>129</v>
      </c>
      <c r="G875" s="109" t="n">
        <v>500</v>
      </c>
    </row>
    <row r="876" customFormat="false" ht="12.75" hidden="true" customHeight="true" outlineLevel="0" collapsed="false">
      <c r="A876" s="11"/>
      <c r="B876" s="60" t="s">
        <v>1152</v>
      </c>
      <c r="C876" s="61" t="s">
        <v>355</v>
      </c>
      <c r="D876" s="14" t="s">
        <v>8</v>
      </c>
      <c r="E876" s="251" t="n">
        <v>40544</v>
      </c>
      <c r="F876" s="16" t="s">
        <v>9</v>
      </c>
      <c r="G876" s="44"/>
    </row>
    <row r="877" customFormat="false" ht="12.75" hidden="true" customHeight="true" outlineLevel="0" collapsed="false">
      <c r="A877" s="11"/>
      <c r="B877" s="40" t="s">
        <v>1153</v>
      </c>
      <c r="C877" s="40" t="s">
        <v>417</v>
      </c>
      <c r="D877" s="14" t="s">
        <v>8</v>
      </c>
      <c r="E877" s="246" t="n">
        <v>41313</v>
      </c>
      <c r="F877" s="16" t="s">
        <v>17</v>
      </c>
      <c r="G877" s="44"/>
    </row>
    <row r="878" customFormat="false" ht="12.75" hidden="true" customHeight="true" outlineLevel="0" collapsed="false">
      <c r="A878" s="17" t="n">
        <v>3089</v>
      </c>
      <c r="B878" s="23" t="s">
        <v>1153</v>
      </c>
      <c r="C878" s="23" t="s">
        <v>417</v>
      </c>
      <c r="D878" s="24" t="s">
        <v>8</v>
      </c>
      <c r="E878" s="252" t="n">
        <v>41313</v>
      </c>
      <c r="F878" s="222" t="s">
        <v>17</v>
      </c>
      <c r="G878" s="222" t="n">
        <v>500</v>
      </c>
    </row>
    <row r="879" customFormat="false" ht="12.75" hidden="true" customHeight="true" outlineLevel="0" collapsed="false">
      <c r="A879" s="11"/>
      <c r="B879" s="40" t="s">
        <v>1154</v>
      </c>
      <c r="C879" s="40" t="s">
        <v>311</v>
      </c>
      <c r="D879" s="14" t="s">
        <v>8</v>
      </c>
      <c r="E879" s="246" t="n">
        <v>40952</v>
      </c>
      <c r="F879" s="16" t="s">
        <v>34</v>
      </c>
      <c r="G879" s="44"/>
    </row>
    <row r="880" customFormat="false" ht="12.75" hidden="true" customHeight="true" outlineLevel="0" collapsed="false">
      <c r="A880" s="11"/>
      <c r="B880" s="13" t="s">
        <v>1155</v>
      </c>
      <c r="C880" s="13" t="s">
        <v>1156</v>
      </c>
      <c r="D880" s="14" t="s">
        <v>8</v>
      </c>
      <c r="E880" s="247" t="n">
        <v>41275</v>
      </c>
      <c r="F880" s="16" t="s">
        <v>9</v>
      </c>
      <c r="G880" s="44"/>
    </row>
    <row r="881" customFormat="false" ht="12.75" hidden="true" customHeight="true" outlineLevel="0" collapsed="false">
      <c r="A881" s="17" t="n">
        <v>3122</v>
      </c>
      <c r="B881" s="44" t="s">
        <v>1157</v>
      </c>
      <c r="C881" s="44" t="s">
        <v>199</v>
      </c>
      <c r="D881" s="24" t="s">
        <v>8</v>
      </c>
      <c r="E881" s="242" t="n">
        <v>41375</v>
      </c>
      <c r="F881" s="222" t="s">
        <v>34</v>
      </c>
      <c r="G881" s="222" t="n">
        <v>500</v>
      </c>
    </row>
    <row r="882" customFormat="false" ht="12.75" hidden="true" customHeight="true" outlineLevel="0" collapsed="false">
      <c r="A882" s="11"/>
      <c r="B882" s="34" t="s">
        <v>1158</v>
      </c>
      <c r="C882" s="39" t="s">
        <v>1159</v>
      </c>
      <c r="D882" s="14" t="s">
        <v>8</v>
      </c>
      <c r="E882" s="253" t="n">
        <v>41949</v>
      </c>
      <c r="F882" s="16" t="s">
        <v>29</v>
      </c>
      <c r="G882" s="44"/>
    </row>
    <row r="883" customFormat="false" ht="12.75" hidden="true" customHeight="true" outlineLevel="0" collapsed="false">
      <c r="A883" s="1" t="n">
        <v>3009</v>
      </c>
      <c r="B883" s="108" t="s">
        <v>1158</v>
      </c>
      <c r="C883" s="115" t="s">
        <v>1159</v>
      </c>
      <c r="D883" s="36" t="s">
        <v>8</v>
      </c>
      <c r="E883" s="243" t="n">
        <v>41949</v>
      </c>
      <c r="F883" s="16" t="s">
        <v>29</v>
      </c>
      <c r="G883" s="24" t="s">
        <v>70</v>
      </c>
    </row>
    <row r="884" customFormat="false" ht="12.75" hidden="true" customHeight="true" outlineLevel="0" collapsed="false">
      <c r="A884" s="11"/>
      <c r="B884" s="40" t="s">
        <v>1160</v>
      </c>
      <c r="C884" s="40" t="s">
        <v>1161</v>
      </c>
      <c r="D884" s="14" t="s">
        <v>8</v>
      </c>
      <c r="E884" s="246" t="n">
        <v>41136</v>
      </c>
      <c r="F884" s="16" t="s">
        <v>52</v>
      </c>
      <c r="G884" s="44"/>
    </row>
    <row r="885" customFormat="false" ht="12.75" hidden="true" customHeight="true" outlineLevel="0" collapsed="false">
      <c r="A885" s="1" t="n">
        <v>3065</v>
      </c>
      <c r="B885" s="79" t="s">
        <v>1162</v>
      </c>
      <c r="C885" s="79" t="s">
        <v>1163</v>
      </c>
      <c r="D885" s="36" t="s">
        <v>8</v>
      </c>
      <c r="E885" s="37" t="n">
        <v>41404</v>
      </c>
      <c r="F885" s="16" t="s">
        <v>52</v>
      </c>
      <c r="G885" s="224" t="s">
        <v>70</v>
      </c>
    </row>
    <row r="886" customFormat="false" ht="12.75" hidden="true" customHeight="true" outlineLevel="0" collapsed="false">
      <c r="A886" s="11"/>
      <c r="B886" s="12" t="s">
        <v>1164</v>
      </c>
      <c r="C886" s="13" t="s">
        <v>193</v>
      </c>
      <c r="D886" s="14" t="s">
        <v>8</v>
      </c>
      <c r="E886" s="246" t="n">
        <v>42304</v>
      </c>
      <c r="F886" s="16" t="s">
        <v>29</v>
      </c>
      <c r="G886" s="44"/>
    </row>
    <row r="887" customFormat="false" ht="12.75" hidden="true" customHeight="true" outlineLevel="0" collapsed="false">
      <c r="A887" s="1" t="n">
        <v>3000</v>
      </c>
      <c r="B887" s="79" t="s">
        <v>1165</v>
      </c>
      <c r="C887" s="79" t="s">
        <v>1166</v>
      </c>
      <c r="D887" s="36" t="s">
        <v>8</v>
      </c>
      <c r="E887" s="243" t="n">
        <v>42003</v>
      </c>
      <c r="F887" s="16" t="s">
        <v>52</v>
      </c>
      <c r="G887" s="224" t="s">
        <v>70</v>
      </c>
    </row>
    <row r="888" customFormat="false" ht="12.75" hidden="true" customHeight="true" outlineLevel="0" collapsed="false">
      <c r="A888" s="1" t="n">
        <v>2014</v>
      </c>
      <c r="B888" s="51" t="s">
        <v>1167</v>
      </c>
      <c r="C888" s="51" t="s">
        <v>838</v>
      </c>
      <c r="D888" s="36" t="s">
        <v>8</v>
      </c>
      <c r="E888" s="243" t="n">
        <v>42660</v>
      </c>
      <c r="F888" s="16" t="s">
        <v>143</v>
      </c>
      <c r="G888" s="24" t="s">
        <v>70</v>
      </c>
    </row>
    <row r="889" customFormat="false" ht="12.75" hidden="true" customHeight="true" outlineLevel="0" collapsed="false">
      <c r="A889" s="1" t="n">
        <v>3067</v>
      </c>
      <c r="B889" s="108" t="s">
        <v>1168</v>
      </c>
      <c r="C889" s="108" t="s">
        <v>79</v>
      </c>
      <c r="D889" s="36" t="s">
        <v>8</v>
      </c>
      <c r="E889" s="243" t="n">
        <v>41378</v>
      </c>
      <c r="F889" s="109" t="s">
        <v>129</v>
      </c>
      <c r="G889" s="109" t="n">
        <v>500</v>
      </c>
    </row>
    <row r="890" customFormat="false" ht="12.75" hidden="true" customHeight="true" outlineLevel="0" collapsed="false">
      <c r="A890" s="11"/>
      <c r="B890" s="57" t="s">
        <v>1169</v>
      </c>
      <c r="C890" s="58" t="s">
        <v>1170</v>
      </c>
      <c r="D890" s="14" t="s">
        <v>8</v>
      </c>
      <c r="E890" s="241" t="n">
        <v>42455</v>
      </c>
      <c r="F890" s="16" t="s">
        <v>20</v>
      </c>
      <c r="G890" s="44"/>
    </row>
    <row r="891" customFormat="false" ht="12.75" hidden="true" customHeight="true" outlineLevel="0" collapsed="false">
      <c r="A891" s="11"/>
      <c r="B891" s="58" t="s">
        <v>1169</v>
      </c>
      <c r="C891" s="58" t="s">
        <v>222</v>
      </c>
      <c r="D891" s="14" t="s">
        <v>8</v>
      </c>
      <c r="E891" s="246" t="n">
        <v>41297</v>
      </c>
      <c r="F891" s="16" t="s">
        <v>20</v>
      </c>
      <c r="G891" s="44"/>
    </row>
    <row r="892" customFormat="false" ht="12.75" hidden="true" customHeight="true" outlineLevel="0" collapsed="false">
      <c r="A892" s="11"/>
      <c r="B892" s="57" t="s">
        <v>1169</v>
      </c>
      <c r="C892" s="58" t="s">
        <v>311</v>
      </c>
      <c r="D892" s="14" t="s">
        <v>8</v>
      </c>
      <c r="E892" s="244" t="n">
        <v>40661</v>
      </c>
      <c r="F892" s="16" t="s">
        <v>20</v>
      </c>
      <c r="G892" s="44"/>
    </row>
    <row r="893" customFormat="false" ht="12.75" hidden="true" customHeight="true" outlineLevel="0" collapsed="false">
      <c r="A893" s="11"/>
      <c r="B893" s="82" t="s">
        <v>1171</v>
      </c>
      <c r="C893" s="40" t="s">
        <v>459</v>
      </c>
      <c r="D893" s="137" t="s">
        <v>8</v>
      </c>
      <c r="E893" s="246" t="n">
        <v>42141</v>
      </c>
      <c r="F893" s="24" t="s">
        <v>129</v>
      </c>
      <c r="G893" s="44"/>
    </row>
    <row r="894" customFormat="false" ht="12.75" hidden="true" customHeight="true" outlineLevel="0" collapsed="false">
      <c r="A894" s="1" t="n">
        <v>2133</v>
      </c>
      <c r="B894" s="125" t="s">
        <v>1172</v>
      </c>
      <c r="C894" s="125" t="s">
        <v>459</v>
      </c>
      <c r="D894" s="24" t="s">
        <v>8</v>
      </c>
      <c r="E894" s="254" t="n">
        <v>42141</v>
      </c>
      <c r="F894" s="237" t="s">
        <v>9</v>
      </c>
      <c r="G894" s="237" t="n">
        <v>526</v>
      </c>
    </row>
    <row r="895" customFormat="false" ht="12.75" hidden="true" customHeight="true" outlineLevel="0" collapsed="false">
      <c r="A895" s="11"/>
      <c r="B895" s="61" t="s">
        <v>1173</v>
      </c>
      <c r="C895" s="61" t="s">
        <v>790</v>
      </c>
      <c r="D895" s="14" t="s">
        <v>8</v>
      </c>
      <c r="E895" s="246" t="n">
        <v>41244</v>
      </c>
      <c r="F895" s="16" t="s">
        <v>12</v>
      </c>
      <c r="G895" s="44"/>
    </row>
    <row r="896" customFormat="false" ht="12.75" hidden="true" customHeight="true" outlineLevel="0" collapsed="false">
      <c r="A896" s="1" t="n">
        <v>1001</v>
      </c>
      <c r="B896" s="79" t="s">
        <v>1174</v>
      </c>
      <c r="C896" s="79" t="s">
        <v>222</v>
      </c>
      <c r="D896" s="36" t="s">
        <v>8</v>
      </c>
      <c r="E896" s="243" t="n">
        <v>44497</v>
      </c>
      <c r="F896" s="16" t="s">
        <v>52</v>
      </c>
      <c r="G896" s="224" t="s">
        <v>70</v>
      </c>
    </row>
    <row r="897" customFormat="false" ht="12.75" hidden="true" customHeight="true" outlineLevel="0" collapsed="false">
      <c r="A897" s="11"/>
      <c r="B897" s="57" t="s">
        <v>1175</v>
      </c>
      <c r="C897" s="58" t="s">
        <v>1176</v>
      </c>
      <c r="D897" s="14" t="s">
        <v>8</v>
      </c>
      <c r="E897" s="246" t="n">
        <v>41930</v>
      </c>
      <c r="F897" s="16" t="s">
        <v>20</v>
      </c>
      <c r="G897" s="44"/>
    </row>
    <row r="898" customFormat="false" ht="12.75" hidden="true" customHeight="true" outlineLevel="0" collapsed="false">
      <c r="A898" s="11"/>
      <c r="B898" s="39" t="s">
        <v>1177</v>
      </c>
      <c r="C898" s="255" t="s">
        <v>1178</v>
      </c>
      <c r="D898" s="14" t="s">
        <v>26</v>
      </c>
      <c r="E898" s="73" t="n">
        <v>41657</v>
      </c>
      <c r="F898" s="256" t="s">
        <v>29</v>
      </c>
      <c r="G898" s="44"/>
    </row>
    <row r="899" customFormat="false" ht="12.75" hidden="true" customHeight="true" outlineLevel="0" collapsed="false">
      <c r="A899" s="1" t="n">
        <v>1085</v>
      </c>
      <c r="B899" s="44" t="s">
        <v>1179</v>
      </c>
      <c r="C899" s="257" t="s">
        <v>318</v>
      </c>
      <c r="D899" s="36" t="s">
        <v>8</v>
      </c>
      <c r="E899" s="45" t="n">
        <v>43268</v>
      </c>
      <c r="F899" s="258" t="s">
        <v>34</v>
      </c>
      <c r="G899" s="222" t="n">
        <v>500</v>
      </c>
    </row>
    <row r="900" customFormat="false" ht="12.75" hidden="true" customHeight="true" outlineLevel="0" collapsed="false">
      <c r="A900" s="11"/>
      <c r="B900" s="82" t="s">
        <v>1180</v>
      </c>
      <c r="C900" s="259" t="s">
        <v>1181</v>
      </c>
      <c r="D900" s="14" t="s">
        <v>8</v>
      </c>
      <c r="E900" s="15" t="n">
        <v>42528</v>
      </c>
      <c r="F900" s="256" t="s">
        <v>34</v>
      </c>
      <c r="G900" s="44"/>
    </row>
    <row r="901" customFormat="false" ht="12.75" hidden="true" customHeight="true" outlineLevel="0" collapsed="false">
      <c r="A901" s="11"/>
      <c r="B901" s="40" t="s">
        <v>1182</v>
      </c>
      <c r="C901" s="259" t="s">
        <v>1183</v>
      </c>
      <c r="D901" s="14" t="s">
        <v>8</v>
      </c>
      <c r="E901" s="59" t="n">
        <v>41509</v>
      </c>
      <c r="F901" s="256" t="s">
        <v>34</v>
      </c>
      <c r="G901" s="44"/>
    </row>
    <row r="902" customFormat="false" ht="12.75" hidden="true" customHeight="true" outlineLevel="0" collapsed="false">
      <c r="A902" s="17" t="n">
        <v>3123</v>
      </c>
      <c r="B902" s="44" t="s">
        <v>1182</v>
      </c>
      <c r="C902" s="257" t="s">
        <v>1183</v>
      </c>
      <c r="D902" s="24" t="s">
        <v>8</v>
      </c>
      <c r="E902" s="45" t="n">
        <v>41509</v>
      </c>
      <c r="F902" s="258" t="s">
        <v>34</v>
      </c>
      <c r="G902" s="222" t="n">
        <v>500</v>
      </c>
    </row>
    <row r="903" customFormat="false" ht="12.75" hidden="true" customHeight="true" outlineLevel="0" collapsed="false">
      <c r="A903" s="11"/>
      <c r="B903" s="82" t="s">
        <v>1184</v>
      </c>
      <c r="C903" s="259" t="s">
        <v>1185</v>
      </c>
      <c r="D903" s="14" t="s">
        <v>8</v>
      </c>
      <c r="E903" s="59" t="n">
        <v>41824</v>
      </c>
      <c r="F903" s="256" t="s">
        <v>52</v>
      </c>
      <c r="G903" s="44"/>
    </row>
    <row r="904" customFormat="false" ht="12.75" hidden="true" customHeight="true" outlineLevel="0" collapsed="false">
      <c r="A904" s="1" t="n">
        <v>3028</v>
      </c>
      <c r="B904" s="79" t="s">
        <v>1184</v>
      </c>
      <c r="C904" s="260" t="s">
        <v>1185</v>
      </c>
      <c r="D904" s="36" t="s">
        <v>8</v>
      </c>
      <c r="E904" s="37" t="n">
        <v>41773</v>
      </c>
      <c r="F904" s="256" t="s">
        <v>52</v>
      </c>
      <c r="G904" s="224" t="s">
        <v>1186</v>
      </c>
    </row>
    <row r="905" customFormat="false" ht="12.75" hidden="true" customHeight="true" outlineLevel="0" collapsed="false">
      <c r="A905" s="11"/>
      <c r="B905" s="82" t="s">
        <v>1184</v>
      </c>
      <c r="C905" s="259" t="s">
        <v>736</v>
      </c>
      <c r="D905" s="14" t="s">
        <v>8</v>
      </c>
      <c r="E905" s="59" t="n">
        <v>42051</v>
      </c>
      <c r="F905" s="256" t="s">
        <v>143</v>
      </c>
      <c r="G905" s="44"/>
    </row>
    <row r="906" customFormat="false" ht="12.75" hidden="true" customHeight="true" outlineLevel="0" collapsed="false">
      <c r="A906" s="11"/>
      <c r="B906" s="13" t="s">
        <v>1187</v>
      </c>
      <c r="C906" s="261" t="s">
        <v>31</v>
      </c>
      <c r="D906" s="14" t="s">
        <v>8</v>
      </c>
      <c r="E906" s="33" t="n">
        <v>41275</v>
      </c>
      <c r="F906" s="256" t="s">
        <v>9</v>
      </c>
      <c r="G906" s="44"/>
    </row>
    <row r="907" customFormat="false" ht="12.75" hidden="true" customHeight="true" outlineLevel="0" collapsed="false">
      <c r="A907" s="11"/>
      <c r="B907" s="57" t="s">
        <v>1188</v>
      </c>
      <c r="C907" s="262" t="s">
        <v>1189</v>
      </c>
      <c r="D907" s="14" t="s">
        <v>8</v>
      </c>
      <c r="E907" s="263" t="n">
        <v>40297</v>
      </c>
      <c r="F907" s="256" t="s">
        <v>34</v>
      </c>
      <c r="G907" s="44"/>
    </row>
    <row r="908" customFormat="false" ht="12.75" hidden="true" customHeight="true" outlineLevel="0" collapsed="false">
      <c r="A908" s="1" t="n">
        <v>2051</v>
      </c>
      <c r="B908" s="79" t="s">
        <v>1190</v>
      </c>
      <c r="C908" s="260" t="s">
        <v>406</v>
      </c>
      <c r="D908" s="36" t="s">
        <v>8</v>
      </c>
      <c r="E908" s="37" t="n">
        <v>42382</v>
      </c>
      <c r="F908" s="256" t="s">
        <v>52</v>
      </c>
      <c r="G908" s="224" t="s">
        <v>1191</v>
      </c>
    </row>
    <row r="909" customFormat="false" ht="12.75" hidden="true" customHeight="true" outlineLevel="0" collapsed="false">
      <c r="A909" s="11"/>
      <c r="B909" s="82" t="s">
        <v>1192</v>
      </c>
      <c r="C909" s="259" t="s">
        <v>493</v>
      </c>
      <c r="D909" s="14" t="s">
        <v>8</v>
      </c>
      <c r="E909" s="59" t="n">
        <v>41964</v>
      </c>
      <c r="F909" s="256" t="s">
        <v>17</v>
      </c>
      <c r="G909" s="44"/>
    </row>
    <row r="910" customFormat="false" ht="12.75" hidden="true" customHeight="true" outlineLevel="0" collapsed="false">
      <c r="A910" s="1" t="n">
        <v>3069</v>
      </c>
      <c r="B910" s="108" t="s">
        <v>1193</v>
      </c>
      <c r="C910" s="264" t="s">
        <v>79</v>
      </c>
      <c r="D910" s="36" t="s">
        <v>8</v>
      </c>
      <c r="E910" s="37" t="n">
        <v>41373</v>
      </c>
      <c r="F910" s="256" t="s">
        <v>29</v>
      </c>
      <c r="G910" s="24" t="s">
        <v>70</v>
      </c>
    </row>
    <row r="911" customFormat="false" ht="12.75" hidden="true" customHeight="true" outlineLevel="0" collapsed="false">
      <c r="A911" s="11"/>
      <c r="B911" s="82" t="s">
        <v>1194</v>
      </c>
      <c r="C911" s="259" t="s">
        <v>1195</v>
      </c>
      <c r="D911" s="14" t="s">
        <v>8</v>
      </c>
      <c r="E911" s="15" t="n">
        <v>43965</v>
      </c>
      <c r="F911" s="256" t="s">
        <v>52</v>
      </c>
      <c r="G911" s="44"/>
    </row>
    <row r="912" customFormat="false" ht="12.75" hidden="true" customHeight="true" outlineLevel="0" collapsed="false">
      <c r="A912" s="11"/>
      <c r="B912" s="40" t="s">
        <v>1196</v>
      </c>
      <c r="C912" s="259" t="s">
        <v>515</v>
      </c>
      <c r="D912" s="14" t="s">
        <v>8</v>
      </c>
      <c r="E912" s="59" t="n">
        <v>41250</v>
      </c>
      <c r="F912" s="256" t="s">
        <v>34</v>
      </c>
      <c r="G912" s="44"/>
    </row>
    <row r="913" customFormat="false" ht="12.75" hidden="true" customHeight="true" outlineLevel="0" collapsed="false">
      <c r="A913" s="11"/>
      <c r="B913" s="82" t="s">
        <v>1197</v>
      </c>
      <c r="C913" s="259" t="s">
        <v>1198</v>
      </c>
      <c r="D913" s="14" t="s">
        <v>8</v>
      </c>
      <c r="E913" s="59" t="n">
        <v>42229</v>
      </c>
      <c r="F913" s="256" t="s">
        <v>52</v>
      </c>
      <c r="G913" s="44"/>
    </row>
    <row r="914" customFormat="false" ht="12.75" hidden="true" customHeight="true" outlineLevel="0" collapsed="false">
      <c r="A914" s="1" t="n">
        <v>2077</v>
      </c>
      <c r="B914" s="79" t="s">
        <v>1197</v>
      </c>
      <c r="C914" s="260" t="s">
        <v>1198</v>
      </c>
      <c r="D914" s="36" t="s">
        <v>8</v>
      </c>
      <c r="E914" s="37" t="n">
        <v>42229</v>
      </c>
      <c r="F914" s="256" t="s">
        <v>52</v>
      </c>
      <c r="G914" s="224" t="s">
        <v>70</v>
      </c>
    </row>
    <row r="915" customFormat="false" ht="12.75" hidden="true" customHeight="true" outlineLevel="0" collapsed="false">
      <c r="A915" s="1" t="n">
        <v>1026</v>
      </c>
      <c r="B915" s="79" t="s">
        <v>1197</v>
      </c>
      <c r="C915" s="260" t="s">
        <v>1199</v>
      </c>
      <c r="D915" s="36" t="s">
        <v>8</v>
      </c>
      <c r="E915" s="37" t="n">
        <v>43218</v>
      </c>
      <c r="F915" s="256" t="s">
        <v>52</v>
      </c>
      <c r="G915" s="224" t="s">
        <v>70</v>
      </c>
    </row>
    <row r="916" customFormat="false" ht="12.75" hidden="true" customHeight="true" outlineLevel="0" collapsed="false">
      <c r="A916" s="11"/>
      <c r="B916" s="39" t="s">
        <v>1200</v>
      </c>
      <c r="C916" s="265" t="s">
        <v>1201</v>
      </c>
      <c r="D916" s="14" t="s">
        <v>8</v>
      </c>
      <c r="E916" s="41" t="n">
        <v>41579</v>
      </c>
      <c r="F916" s="256" t="s">
        <v>29</v>
      </c>
      <c r="G916" s="44"/>
    </row>
    <row r="917" customFormat="false" ht="12.75" hidden="true" customHeight="true" outlineLevel="0" collapsed="false">
      <c r="A917" s="11"/>
      <c r="B917" s="34" t="s">
        <v>1202</v>
      </c>
      <c r="C917" s="266" t="s">
        <v>37</v>
      </c>
      <c r="D917" s="14" t="s">
        <v>8</v>
      </c>
      <c r="E917" s="73" t="n">
        <v>42220</v>
      </c>
      <c r="F917" s="256" t="s">
        <v>29</v>
      </c>
      <c r="G917" s="44"/>
    </row>
    <row r="918" customFormat="false" ht="12.75" hidden="true" customHeight="true" outlineLevel="0" collapsed="false">
      <c r="A918" s="11"/>
      <c r="B918" s="57" t="s">
        <v>1202</v>
      </c>
      <c r="C918" s="262" t="s">
        <v>437</v>
      </c>
      <c r="D918" s="14" t="s">
        <v>8</v>
      </c>
      <c r="E918" s="263" t="n">
        <v>40890</v>
      </c>
      <c r="F918" s="256" t="s">
        <v>52</v>
      </c>
      <c r="G918" s="44"/>
    </row>
    <row r="919" customFormat="false" ht="12.75" hidden="true" customHeight="true" outlineLevel="0" collapsed="false">
      <c r="A919" s="11"/>
      <c r="B919" s="57" t="s">
        <v>1203</v>
      </c>
      <c r="C919" s="262" t="s">
        <v>574</v>
      </c>
      <c r="D919" s="14" t="s">
        <v>8</v>
      </c>
      <c r="E919" s="15" t="n">
        <v>42688</v>
      </c>
      <c r="F919" s="256" t="s">
        <v>20</v>
      </c>
      <c r="G919" s="44"/>
    </row>
    <row r="920" customFormat="false" ht="12.75" hidden="true" customHeight="true" outlineLevel="0" collapsed="false">
      <c r="A920" s="1" t="n">
        <v>2008</v>
      </c>
      <c r="B920" s="51" t="s">
        <v>1203</v>
      </c>
      <c r="C920" s="267" t="s">
        <v>574</v>
      </c>
      <c r="D920" s="36" t="s">
        <v>8</v>
      </c>
      <c r="E920" s="52" t="n">
        <v>42688</v>
      </c>
      <c r="F920" s="268" t="s">
        <v>20</v>
      </c>
      <c r="G920" s="24" t="n">
        <v>500</v>
      </c>
    </row>
    <row r="921" customFormat="false" ht="12.75" hidden="true" customHeight="true" outlineLevel="0" collapsed="false">
      <c r="A921" s="11"/>
      <c r="B921" s="60" t="s">
        <v>1204</v>
      </c>
      <c r="C921" s="269" t="s">
        <v>796</v>
      </c>
      <c r="D921" s="14" t="s">
        <v>8</v>
      </c>
      <c r="E921" s="59" t="n">
        <v>42050</v>
      </c>
      <c r="F921" s="256" t="s">
        <v>12</v>
      </c>
      <c r="G921" s="44"/>
    </row>
    <row r="922" customFormat="false" ht="12.75" hidden="true" customHeight="true" outlineLevel="0" collapsed="false">
      <c r="A922" s="11"/>
      <c r="B922" s="82" t="s">
        <v>1205</v>
      </c>
      <c r="C922" s="259" t="s">
        <v>1206</v>
      </c>
      <c r="D922" s="14" t="s">
        <v>26</v>
      </c>
      <c r="E922" s="59" t="n">
        <v>41809</v>
      </c>
      <c r="F922" s="256" t="s">
        <v>34</v>
      </c>
      <c r="G922" s="44"/>
    </row>
    <row r="923" customFormat="false" ht="12.75" hidden="true" customHeight="true" outlineLevel="0" collapsed="false">
      <c r="A923" s="17" t="n">
        <v>3124</v>
      </c>
      <c r="B923" s="44" t="s">
        <v>1205</v>
      </c>
      <c r="C923" s="257" t="s">
        <v>1206</v>
      </c>
      <c r="D923" s="24" t="s">
        <v>26</v>
      </c>
      <c r="E923" s="45" t="n">
        <v>41809</v>
      </c>
      <c r="F923" s="258" t="s">
        <v>34</v>
      </c>
      <c r="G923" s="222" t="n">
        <v>500</v>
      </c>
    </row>
    <row r="924" customFormat="false" ht="12.75" hidden="true" customHeight="true" outlineLevel="0" collapsed="false">
      <c r="A924" s="11"/>
      <c r="B924" s="82" t="s">
        <v>1205</v>
      </c>
      <c r="C924" s="259" t="s">
        <v>214</v>
      </c>
      <c r="D924" s="14" t="s">
        <v>8</v>
      </c>
      <c r="E924" s="15" t="n">
        <v>42820</v>
      </c>
      <c r="F924" s="256" t="s">
        <v>34</v>
      </c>
      <c r="G924" s="44"/>
    </row>
    <row r="925" customFormat="false" ht="12.75" hidden="true" customHeight="true" outlineLevel="0" collapsed="false">
      <c r="A925" s="1" t="n">
        <v>1086</v>
      </c>
      <c r="B925" s="44" t="s">
        <v>1205</v>
      </c>
      <c r="C925" s="257" t="s">
        <v>214</v>
      </c>
      <c r="D925" s="36" t="s">
        <v>8</v>
      </c>
      <c r="E925" s="45" t="n">
        <v>42820</v>
      </c>
      <c r="F925" s="258" t="s">
        <v>34</v>
      </c>
      <c r="G925" s="222" t="n">
        <v>500</v>
      </c>
    </row>
    <row r="926" customFormat="false" ht="12.75" hidden="true" customHeight="true" outlineLevel="0" collapsed="false">
      <c r="A926" s="1" t="n">
        <v>3072</v>
      </c>
      <c r="B926" s="108" t="s">
        <v>1207</v>
      </c>
      <c r="C926" s="264" t="s">
        <v>736</v>
      </c>
      <c r="D926" s="36" t="s">
        <v>8</v>
      </c>
      <c r="E926" s="37" t="n">
        <v>41345</v>
      </c>
      <c r="F926" s="256" t="s">
        <v>29</v>
      </c>
      <c r="G926" s="24" t="s">
        <v>70</v>
      </c>
    </row>
    <row r="927" customFormat="false" ht="12.75" hidden="true" customHeight="true" outlineLevel="0" collapsed="false">
      <c r="A927" s="1" t="n">
        <v>1042</v>
      </c>
      <c r="B927" s="108" t="s">
        <v>1208</v>
      </c>
      <c r="C927" s="264" t="s">
        <v>776</v>
      </c>
      <c r="D927" s="36" t="s">
        <v>8</v>
      </c>
      <c r="E927" s="37" t="n">
        <v>43037</v>
      </c>
      <c r="F927" s="256" t="s">
        <v>29</v>
      </c>
      <c r="G927" s="24" t="s">
        <v>70</v>
      </c>
    </row>
    <row r="928" customFormat="false" ht="12.75" hidden="true" customHeight="true" outlineLevel="0" collapsed="false">
      <c r="A928" s="11"/>
      <c r="B928" s="270" t="s">
        <v>1209</v>
      </c>
      <c r="C928" s="271" t="s">
        <v>400</v>
      </c>
      <c r="D928" s="14" t="s">
        <v>8</v>
      </c>
      <c r="E928" s="272" t="n">
        <v>40734</v>
      </c>
      <c r="F928" s="149" t="s">
        <v>143</v>
      </c>
      <c r="G928" s="44"/>
    </row>
    <row r="929" customFormat="false" ht="12.75" hidden="true" customHeight="true" outlineLevel="0" collapsed="false">
      <c r="A929" s="1" t="n">
        <v>2097</v>
      </c>
      <c r="B929" s="273" t="s">
        <v>1210</v>
      </c>
      <c r="C929" s="273" t="s">
        <v>437</v>
      </c>
      <c r="D929" s="36" t="s">
        <v>8</v>
      </c>
      <c r="E929" s="274" t="n">
        <v>42104</v>
      </c>
      <c r="F929" s="38" t="s">
        <v>52</v>
      </c>
      <c r="G929" s="224" t="s">
        <v>70</v>
      </c>
    </row>
    <row r="930" customFormat="false" ht="12.75" hidden="true" customHeight="true" outlineLevel="0" collapsed="false">
      <c r="A930" s="11"/>
      <c r="B930" s="275" t="s">
        <v>1211</v>
      </c>
      <c r="C930" s="124" t="s">
        <v>759</v>
      </c>
      <c r="D930" s="14" t="s">
        <v>8</v>
      </c>
      <c r="E930" s="150" t="n">
        <v>43081</v>
      </c>
      <c r="F930" s="38" t="s">
        <v>20</v>
      </c>
      <c r="G930" s="44"/>
    </row>
    <row r="931" customFormat="false" ht="12.75" hidden="true" customHeight="true" outlineLevel="0" collapsed="false">
      <c r="A931" s="1" t="n">
        <v>1039</v>
      </c>
      <c r="B931" s="276" t="s">
        <v>1211</v>
      </c>
      <c r="C931" s="276" t="s">
        <v>759</v>
      </c>
      <c r="D931" s="36" t="s">
        <v>8</v>
      </c>
      <c r="E931" s="277" t="n">
        <v>43081</v>
      </c>
      <c r="F931" s="50" t="s">
        <v>20</v>
      </c>
      <c r="G931" s="24" t="n">
        <v>500</v>
      </c>
    </row>
    <row r="932" customFormat="false" ht="12.75" hidden="true" customHeight="true" outlineLevel="0" collapsed="false">
      <c r="A932" s="42" t="n">
        <v>4037</v>
      </c>
      <c r="B932" s="278" t="s">
        <v>1212</v>
      </c>
      <c r="C932" s="279" t="s">
        <v>215</v>
      </c>
      <c r="D932" s="36" t="s">
        <v>8</v>
      </c>
      <c r="E932" s="274" t="n">
        <v>40610</v>
      </c>
      <c r="F932" s="38" t="s">
        <v>29</v>
      </c>
      <c r="G932" s="24" t="s">
        <v>70</v>
      </c>
    </row>
    <row r="933" customFormat="false" ht="12.75" hidden="true" customHeight="true" outlineLevel="0" collapsed="false">
      <c r="A933" s="11"/>
      <c r="B933" s="124" t="s">
        <v>1213</v>
      </c>
      <c r="C933" s="124" t="s">
        <v>593</v>
      </c>
      <c r="D933" s="14" t="s">
        <v>8</v>
      </c>
      <c r="E933" s="280" t="n">
        <v>41422</v>
      </c>
      <c r="F933" s="38" t="s">
        <v>52</v>
      </c>
      <c r="G933" s="44"/>
    </row>
    <row r="934" customFormat="false" ht="12.75" hidden="true" customHeight="true" outlineLevel="0" collapsed="false">
      <c r="A934" s="1" t="n">
        <v>3062</v>
      </c>
      <c r="B934" s="273" t="s">
        <v>1213</v>
      </c>
      <c r="C934" s="273" t="s">
        <v>593</v>
      </c>
      <c r="D934" s="36" t="s">
        <v>8</v>
      </c>
      <c r="E934" s="274" t="n">
        <v>41422</v>
      </c>
      <c r="F934" s="38" t="s">
        <v>52</v>
      </c>
      <c r="G934" s="224" t="s">
        <v>70</v>
      </c>
    </row>
    <row r="935" customFormat="false" ht="12.75" hidden="true" customHeight="true" outlineLevel="0" collapsed="false">
      <c r="A935" s="11"/>
      <c r="B935" s="275" t="s">
        <v>1213</v>
      </c>
      <c r="C935" s="124" t="s">
        <v>1214</v>
      </c>
      <c r="D935" s="14" t="s">
        <v>8</v>
      </c>
      <c r="E935" s="150" t="n">
        <v>42570</v>
      </c>
      <c r="F935" s="38" t="s">
        <v>52</v>
      </c>
      <c r="G935" s="44"/>
    </row>
    <row r="936" customFormat="false" ht="12.75" hidden="true" customHeight="true" outlineLevel="0" collapsed="false">
      <c r="A936" s="1" t="n">
        <v>2023</v>
      </c>
      <c r="B936" s="273" t="s">
        <v>1213</v>
      </c>
      <c r="C936" s="273" t="s">
        <v>1214</v>
      </c>
      <c r="D936" s="36" t="s">
        <v>8</v>
      </c>
      <c r="E936" s="274" t="n">
        <v>42570</v>
      </c>
      <c r="F936" s="38" t="s">
        <v>52</v>
      </c>
      <c r="G936" s="224" t="s">
        <v>1215</v>
      </c>
    </row>
    <row r="937" customFormat="false" ht="12.75" hidden="true" customHeight="true" outlineLevel="0" collapsed="false">
      <c r="A937" s="11"/>
      <c r="B937" s="147" t="s">
        <v>1216</v>
      </c>
      <c r="C937" s="147" t="s">
        <v>107</v>
      </c>
      <c r="D937" s="14" t="s">
        <v>8</v>
      </c>
      <c r="E937" s="281" t="n">
        <v>40479</v>
      </c>
      <c r="F937" s="38" t="s">
        <v>29</v>
      </c>
      <c r="G937" s="44"/>
    </row>
    <row r="938" customFormat="false" ht="12.75" hidden="true" customHeight="true" outlineLevel="0" collapsed="false">
      <c r="A938" s="1" t="n">
        <v>4097</v>
      </c>
      <c r="B938" s="147" t="s">
        <v>1216</v>
      </c>
      <c r="C938" s="147" t="s">
        <v>107</v>
      </c>
      <c r="D938" s="14" t="s">
        <v>8</v>
      </c>
      <c r="E938" s="281" t="n">
        <v>40479</v>
      </c>
      <c r="F938" s="38" t="s">
        <v>29</v>
      </c>
      <c r="G938" s="222" t="n">
        <v>500</v>
      </c>
    </row>
    <row r="939" customFormat="false" ht="12.75" hidden="true" customHeight="true" outlineLevel="0" collapsed="false">
      <c r="A939" s="1" t="n">
        <v>1087</v>
      </c>
      <c r="B939" s="2" t="s">
        <v>1217</v>
      </c>
      <c r="C939" s="2" t="s">
        <v>271</v>
      </c>
      <c r="D939" s="36" t="s">
        <v>8</v>
      </c>
      <c r="E939" s="282" t="n">
        <v>43406</v>
      </c>
      <c r="F939" s="22" t="s">
        <v>34</v>
      </c>
      <c r="G939" s="222" t="n">
        <v>500</v>
      </c>
    </row>
    <row r="940" customFormat="false" ht="12.75" hidden="true" customHeight="true" outlineLevel="0" collapsed="false">
      <c r="A940" s="1" t="n">
        <v>2175</v>
      </c>
      <c r="B940" s="2" t="s">
        <v>1218</v>
      </c>
      <c r="C940" s="2" t="s">
        <v>215</v>
      </c>
      <c r="D940" s="24" t="s">
        <v>8</v>
      </c>
      <c r="E940" s="282" t="n">
        <v>42408</v>
      </c>
      <c r="F940" s="22" t="s">
        <v>34</v>
      </c>
      <c r="G940" s="222" t="n">
        <v>500</v>
      </c>
    </row>
    <row r="941" customFormat="false" ht="12.75" hidden="true" customHeight="true" outlineLevel="0" collapsed="false">
      <c r="A941" s="1" t="n">
        <v>3040</v>
      </c>
      <c r="B941" s="273" t="s">
        <v>1219</v>
      </c>
      <c r="C941" s="273" t="s">
        <v>778</v>
      </c>
      <c r="D941" s="36" t="s">
        <v>8</v>
      </c>
      <c r="E941" s="274" t="n">
        <v>41705</v>
      </c>
      <c r="F941" s="38" t="s">
        <v>52</v>
      </c>
      <c r="G941" s="224" t="s">
        <v>70</v>
      </c>
    </row>
    <row r="942" customFormat="false" ht="12.75" hidden="true" customHeight="true" outlineLevel="0" collapsed="false">
      <c r="A942" s="11"/>
      <c r="B942" s="275" t="s">
        <v>1220</v>
      </c>
      <c r="C942" s="124" t="s">
        <v>723</v>
      </c>
      <c r="D942" s="14" t="s">
        <v>8</v>
      </c>
      <c r="E942" s="280" t="n">
        <v>41936</v>
      </c>
      <c r="F942" s="38" t="s">
        <v>52</v>
      </c>
      <c r="G942" s="44"/>
    </row>
    <row r="943" customFormat="false" ht="12.75" hidden="true" customHeight="true" outlineLevel="0" collapsed="false">
      <c r="A943" s="11"/>
      <c r="B943" s="122" t="s">
        <v>1221</v>
      </c>
      <c r="C943" s="122" t="s">
        <v>1156</v>
      </c>
      <c r="D943" s="14" t="s">
        <v>8</v>
      </c>
      <c r="E943" s="283" t="n">
        <v>41275</v>
      </c>
      <c r="F943" s="38" t="s">
        <v>9</v>
      </c>
      <c r="G943" s="44"/>
    </row>
    <row r="944" customFormat="false" ht="12.75" hidden="true" customHeight="true" outlineLevel="0" collapsed="false">
      <c r="A944" s="11"/>
      <c r="B944" s="275" t="s">
        <v>1222</v>
      </c>
      <c r="C944" s="124" t="s">
        <v>822</v>
      </c>
      <c r="D944" s="137" t="s">
        <v>8</v>
      </c>
      <c r="E944" s="280" t="n">
        <v>41986</v>
      </c>
      <c r="F944" s="50" t="s">
        <v>129</v>
      </c>
      <c r="G944" s="44"/>
    </row>
    <row r="945" customFormat="false" ht="12.75" hidden="true" customHeight="true" outlineLevel="0" collapsed="false">
      <c r="A945" s="1" t="n">
        <v>3002</v>
      </c>
      <c r="B945" s="278" t="s">
        <v>1222</v>
      </c>
      <c r="C945" s="278" t="s">
        <v>822</v>
      </c>
      <c r="D945" s="36" t="s">
        <v>8</v>
      </c>
      <c r="E945" s="274" t="n">
        <v>41986</v>
      </c>
      <c r="F945" s="110" t="s">
        <v>129</v>
      </c>
      <c r="G945" s="109" t="n">
        <v>563</v>
      </c>
    </row>
    <row r="946" customFormat="false" ht="12.75" hidden="true" customHeight="true" outlineLevel="0" collapsed="false">
      <c r="A946" s="42" t="n">
        <v>4014</v>
      </c>
      <c r="B946" s="273" t="s">
        <v>1223</v>
      </c>
      <c r="C946" s="273" t="s">
        <v>1224</v>
      </c>
      <c r="D946" s="36" t="s">
        <v>8</v>
      </c>
      <c r="E946" s="274" t="n">
        <v>41117</v>
      </c>
      <c r="F946" s="38" t="s">
        <v>52</v>
      </c>
      <c r="G946" s="224" t="s">
        <v>70</v>
      </c>
    </row>
    <row r="947" customFormat="false" ht="12.75" hidden="true" customHeight="true" outlineLevel="0" collapsed="false">
      <c r="A947" s="42" t="n">
        <v>4048</v>
      </c>
      <c r="B947" s="273" t="s">
        <v>1223</v>
      </c>
      <c r="C947" s="273" t="s">
        <v>370</v>
      </c>
      <c r="D947" s="36" t="s">
        <v>8</v>
      </c>
      <c r="E947" s="274" t="n">
        <v>40050</v>
      </c>
      <c r="F947" s="38" t="s">
        <v>52</v>
      </c>
      <c r="G947" s="224" t="s">
        <v>70</v>
      </c>
    </row>
    <row r="948" customFormat="false" ht="12.75" hidden="true" customHeight="true" outlineLevel="0" collapsed="false">
      <c r="A948" s="11"/>
      <c r="B948" s="270" t="s">
        <v>1223</v>
      </c>
      <c r="C948" s="271" t="s">
        <v>23</v>
      </c>
      <c r="D948" s="14" t="s">
        <v>8</v>
      </c>
      <c r="E948" s="272" t="n">
        <v>40050</v>
      </c>
      <c r="F948" s="38" t="s">
        <v>52</v>
      </c>
      <c r="G948" s="44"/>
    </row>
    <row r="949" customFormat="false" ht="12.75" hidden="true" customHeight="true" outlineLevel="0" collapsed="false">
      <c r="A949" s="11"/>
      <c r="B949" s="275" t="s">
        <v>1225</v>
      </c>
      <c r="C949" s="124" t="s">
        <v>1226</v>
      </c>
      <c r="D949" s="14" t="s">
        <v>8</v>
      </c>
      <c r="E949" s="280" t="n">
        <v>39199</v>
      </c>
      <c r="F949" s="38" t="s">
        <v>129</v>
      </c>
      <c r="G949" s="44"/>
    </row>
    <row r="950" customFormat="false" ht="12.75" hidden="true" customHeight="true" outlineLevel="0" collapsed="false">
      <c r="A950" s="11"/>
      <c r="B950" s="284" t="s">
        <v>1227</v>
      </c>
      <c r="C950" s="122" t="s">
        <v>1228</v>
      </c>
      <c r="D950" s="14" t="s">
        <v>8</v>
      </c>
      <c r="E950" s="285" t="n">
        <v>42334</v>
      </c>
      <c r="F950" s="50" t="s">
        <v>20</v>
      </c>
      <c r="G950" s="44"/>
    </row>
    <row r="951" customFormat="false" ht="12.75" hidden="true" customHeight="true" outlineLevel="0" collapsed="false">
      <c r="A951" s="1" t="n">
        <v>2131</v>
      </c>
      <c r="B951" s="286" t="s">
        <v>1229</v>
      </c>
      <c r="C951" s="286" t="s">
        <v>1230</v>
      </c>
      <c r="D951" s="24" t="s">
        <v>8</v>
      </c>
      <c r="E951" s="287" t="n">
        <v>42033</v>
      </c>
      <c r="F951" s="10" t="s">
        <v>9</v>
      </c>
      <c r="G951" s="237" t="n">
        <v>500</v>
      </c>
    </row>
    <row r="952" customFormat="false" ht="12.75" hidden="true" customHeight="true" outlineLevel="0" collapsed="false">
      <c r="A952" s="42" t="n">
        <v>4017</v>
      </c>
      <c r="B952" s="276" t="s">
        <v>1231</v>
      </c>
      <c r="C952" s="276" t="s">
        <v>14</v>
      </c>
      <c r="D952" s="36" t="s">
        <v>8</v>
      </c>
      <c r="E952" s="274" t="n">
        <v>40991</v>
      </c>
      <c r="F952" s="38" t="s">
        <v>143</v>
      </c>
      <c r="G952" s="24" t="s">
        <v>70</v>
      </c>
    </row>
    <row r="953" customFormat="false" ht="12.75" hidden="true" customHeight="true" outlineLevel="0" collapsed="false">
      <c r="A953" s="1" t="n">
        <v>2134</v>
      </c>
      <c r="B953" s="288" t="s">
        <v>1232</v>
      </c>
      <c r="C953" s="288" t="s">
        <v>250</v>
      </c>
      <c r="D953" s="24" t="s">
        <v>8</v>
      </c>
      <c r="E953" s="289" t="n">
        <v>42095</v>
      </c>
      <c r="F953" s="56" t="s">
        <v>9</v>
      </c>
      <c r="G953" s="233" t="n">
        <v>500</v>
      </c>
    </row>
    <row r="954" customFormat="false" ht="12.75" hidden="true" customHeight="true" outlineLevel="0" collapsed="false">
      <c r="A954" s="11"/>
      <c r="B954" s="275" t="s">
        <v>1233</v>
      </c>
      <c r="C954" s="124" t="s">
        <v>908</v>
      </c>
      <c r="D954" s="14" t="s">
        <v>8</v>
      </c>
      <c r="E954" s="280" t="n">
        <v>41762</v>
      </c>
      <c r="F954" s="38" t="s">
        <v>52</v>
      </c>
      <c r="G954" s="44"/>
    </row>
    <row r="955" customFormat="false" ht="12.75" hidden="true" customHeight="true" outlineLevel="0" collapsed="false">
      <c r="A955" s="1" t="n">
        <v>3033</v>
      </c>
      <c r="B955" s="273" t="s">
        <v>1233</v>
      </c>
      <c r="C955" s="273" t="s">
        <v>908</v>
      </c>
      <c r="D955" s="36" t="s">
        <v>8</v>
      </c>
      <c r="E955" s="274" t="n">
        <v>41762</v>
      </c>
      <c r="F955" s="38" t="s">
        <v>52</v>
      </c>
      <c r="G955" s="224" t="s">
        <v>70</v>
      </c>
    </row>
    <row r="956" customFormat="false" ht="12.75" hidden="true" customHeight="true" outlineLevel="0" collapsed="false">
      <c r="A956" s="11"/>
      <c r="B956" s="122" t="s">
        <v>1234</v>
      </c>
      <c r="C956" s="122" t="s">
        <v>181</v>
      </c>
      <c r="D956" s="14" t="s">
        <v>8</v>
      </c>
      <c r="E956" s="280" t="n">
        <v>41005</v>
      </c>
      <c r="F956" s="38" t="s">
        <v>12</v>
      </c>
      <c r="G956" s="44"/>
    </row>
    <row r="957" customFormat="false" ht="12.75" hidden="true" customHeight="true" outlineLevel="0" collapsed="false">
      <c r="A957" s="42" t="n">
        <v>4094</v>
      </c>
      <c r="B957" s="290" t="s">
        <v>1235</v>
      </c>
      <c r="C957" s="147" t="s">
        <v>127</v>
      </c>
      <c r="D957" s="105" t="s">
        <v>8</v>
      </c>
      <c r="E957" s="291" t="n">
        <v>40544</v>
      </c>
      <c r="F957" s="1" t="s">
        <v>119</v>
      </c>
      <c r="G957" s="225" t="n">
        <v>500</v>
      </c>
    </row>
    <row r="958" customFormat="false" ht="12.75" hidden="true" customHeight="true" outlineLevel="0" collapsed="false">
      <c r="A958" s="1" t="n">
        <v>1088</v>
      </c>
      <c r="B958" s="2" t="s">
        <v>1236</v>
      </c>
      <c r="C958" s="2" t="s">
        <v>63</v>
      </c>
      <c r="D958" s="36" t="s">
        <v>8</v>
      </c>
      <c r="E958" s="282" t="n">
        <v>43180</v>
      </c>
      <c r="F958" s="22" t="s">
        <v>34</v>
      </c>
      <c r="G958" s="222" t="n">
        <v>500</v>
      </c>
    </row>
    <row r="959" customFormat="false" ht="12.75" hidden="true" customHeight="true" outlineLevel="0" collapsed="false">
      <c r="A959" s="11"/>
      <c r="B959" s="270" t="s">
        <v>1237</v>
      </c>
      <c r="C959" s="271" t="s">
        <v>915</v>
      </c>
      <c r="D959" s="14" t="s">
        <v>26</v>
      </c>
      <c r="E959" s="272" t="n">
        <v>40185</v>
      </c>
      <c r="F959" s="38" t="s">
        <v>17</v>
      </c>
      <c r="G959" s="44"/>
    </row>
    <row r="960" customFormat="false" ht="12.75" hidden="true" customHeight="true" outlineLevel="0" collapsed="false">
      <c r="A960" s="42" t="n">
        <v>4061</v>
      </c>
      <c r="B960" s="292" t="s">
        <v>1237</v>
      </c>
      <c r="C960" s="292" t="s">
        <v>915</v>
      </c>
      <c r="D960" s="24" t="s">
        <v>26</v>
      </c>
      <c r="E960" s="293" t="n">
        <v>40185</v>
      </c>
      <c r="F960" s="22" t="s">
        <v>17</v>
      </c>
      <c r="G960" s="222" t="n">
        <v>500</v>
      </c>
    </row>
    <row r="961" customFormat="false" ht="12.75" hidden="true" customHeight="true" outlineLevel="0" collapsed="false">
      <c r="A961" s="11"/>
      <c r="B961" s="148" t="s">
        <v>1238</v>
      </c>
      <c r="C961" s="147" t="s">
        <v>79</v>
      </c>
      <c r="D961" s="14" t="s">
        <v>8</v>
      </c>
      <c r="E961" s="281" t="n">
        <v>41937</v>
      </c>
      <c r="F961" s="38" t="s">
        <v>29</v>
      </c>
      <c r="G961" s="44"/>
    </row>
    <row r="962" customFormat="false" ht="12.75" hidden="true" customHeight="true" outlineLevel="0" collapsed="false">
      <c r="A962" s="11"/>
      <c r="B962" s="124" t="s">
        <v>1239</v>
      </c>
      <c r="C962" s="124" t="s">
        <v>31</v>
      </c>
      <c r="D962" s="14" t="s">
        <v>8</v>
      </c>
      <c r="E962" s="280" t="n">
        <v>41540</v>
      </c>
      <c r="F962" s="38" t="s">
        <v>143</v>
      </c>
      <c r="G962" s="44"/>
    </row>
    <row r="963" customFormat="false" ht="12.75" hidden="true" customHeight="true" outlineLevel="0" collapsed="false">
      <c r="A963" s="1" t="n">
        <v>3053</v>
      </c>
      <c r="B963" s="276" t="s">
        <v>1239</v>
      </c>
      <c r="C963" s="276" t="s">
        <v>31</v>
      </c>
      <c r="D963" s="36" t="s">
        <v>8</v>
      </c>
      <c r="E963" s="274" t="n">
        <v>41540</v>
      </c>
      <c r="F963" s="38" t="s">
        <v>143</v>
      </c>
      <c r="G963" s="24" t="s">
        <v>70</v>
      </c>
    </row>
    <row r="964" customFormat="false" ht="12.75" hidden="true" customHeight="true" outlineLevel="0" collapsed="false">
      <c r="A964" s="11"/>
      <c r="B964" s="294" t="s">
        <v>1240</v>
      </c>
      <c r="C964" s="295" t="s">
        <v>1241</v>
      </c>
      <c r="D964" s="14" t="s">
        <v>8</v>
      </c>
      <c r="E964" s="296" t="n">
        <v>41345</v>
      </c>
      <c r="F964" s="38" t="s">
        <v>12</v>
      </c>
      <c r="G964" s="44"/>
    </row>
    <row r="965" customFormat="false" ht="12.75" hidden="true" customHeight="true" outlineLevel="0" collapsed="false">
      <c r="A965" s="11"/>
      <c r="B965" s="284" t="s">
        <v>1242</v>
      </c>
      <c r="C965" s="122" t="s">
        <v>777</v>
      </c>
      <c r="D965" s="14" t="s">
        <v>26</v>
      </c>
      <c r="E965" s="283" t="n">
        <v>42005</v>
      </c>
      <c r="F965" s="38" t="s">
        <v>9</v>
      </c>
      <c r="G965" s="44"/>
    </row>
    <row r="966" customFormat="false" ht="12.75" hidden="true" customHeight="true" outlineLevel="0" collapsed="false">
      <c r="A966" s="1" t="n">
        <v>1059</v>
      </c>
      <c r="B966" s="276" t="s">
        <v>1243</v>
      </c>
      <c r="C966" s="276" t="s">
        <v>578</v>
      </c>
      <c r="D966" s="36" t="s">
        <v>8</v>
      </c>
      <c r="E966" s="277" t="n">
        <v>42816</v>
      </c>
      <c r="F966" s="50" t="s">
        <v>20</v>
      </c>
      <c r="G966" s="24" t="n">
        <v>500</v>
      </c>
    </row>
    <row r="967" customFormat="false" ht="12.75" hidden="true" customHeight="true" outlineLevel="0" collapsed="false">
      <c r="A967" s="11"/>
      <c r="B967" s="284" t="s">
        <v>1244</v>
      </c>
      <c r="C967" s="122" t="s">
        <v>1245</v>
      </c>
      <c r="D967" s="14" t="s">
        <v>8</v>
      </c>
      <c r="E967" s="277" t="n">
        <v>41906</v>
      </c>
      <c r="F967" s="38" t="s">
        <v>9</v>
      </c>
      <c r="G967" s="44"/>
    </row>
    <row r="968" customFormat="false" ht="12.75" hidden="true" customHeight="true" outlineLevel="0" collapsed="false">
      <c r="A968" s="11"/>
      <c r="B968" s="122" t="s">
        <v>1244</v>
      </c>
      <c r="C968" s="122" t="s">
        <v>1246</v>
      </c>
      <c r="D968" s="14" t="s">
        <v>8</v>
      </c>
      <c r="E968" s="297" t="n">
        <v>41207</v>
      </c>
      <c r="F968" s="38" t="s">
        <v>9</v>
      </c>
      <c r="G968" s="44"/>
    </row>
    <row r="969" customFormat="false" ht="12.75" hidden="true" customHeight="true" outlineLevel="0" collapsed="false">
      <c r="A969" s="42" t="n">
        <v>4064</v>
      </c>
      <c r="B969" s="292" t="s">
        <v>1247</v>
      </c>
      <c r="C969" s="292" t="s">
        <v>1246</v>
      </c>
      <c r="D969" s="24" t="s">
        <v>8</v>
      </c>
      <c r="E969" s="298" t="n">
        <v>41207</v>
      </c>
      <c r="F969" s="22" t="s">
        <v>9</v>
      </c>
      <c r="G969" s="222" t="n">
        <v>561</v>
      </c>
    </row>
    <row r="970" customFormat="false" ht="12.75" hidden="true" customHeight="true" outlineLevel="0" collapsed="false">
      <c r="A970" s="1" t="n">
        <v>2013</v>
      </c>
      <c r="B970" s="273" t="s">
        <v>1248</v>
      </c>
      <c r="C970" s="273" t="s">
        <v>1249</v>
      </c>
      <c r="D970" s="36" t="s">
        <v>8</v>
      </c>
      <c r="E970" s="274" t="n">
        <v>42664</v>
      </c>
      <c r="F970" s="38" t="s">
        <v>52</v>
      </c>
      <c r="G970" s="224" t="s">
        <v>70</v>
      </c>
    </row>
    <row r="971" customFormat="false" ht="12.75" hidden="true" customHeight="true" outlineLevel="0" collapsed="false">
      <c r="A971" s="1" t="n">
        <v>2029</v>
      </c>
      <c r="B971" s="276" t="s">
        <v>1250</v>
      </c>
      <c r="C971" s="276" t="s">
        <v>14</v>
      </c>
      <c r="D971" s="36" t="s">
        <v>8</v>
      </c>
      <c r="E971" s="274" t="n">
        <v>42536</v>
      </c>
      <c r="F971" s="38" t="s">
        <v>143</v>
      </c>
      <c r="G971" s="24" t="s">
        <v>70</v>
      </c>
    </row>
    <row r="972" customFormat="false" ht="12.75" hidden="true" customHeight="true" outlineLevel="0" collapsed="false">
      <c r="A972" s="42" t="n">
        <v>4008</v>
      </c>
      <c r="B972" s="273" t="s">
        <v>1251</v>
      </c>
      <c r="C972" s="273" t="s">
        <v>406</v>
      </c>
      <c r="D972" s="36" t="s">
        <v>8</v>
      </c>
      <c r="E972" s="274" t="n">
        <v>41191</v>
      </c>
      <c r="F972" s="38" t="s">
        <v>52</v>
      </c>
      <c r="G972" s="224" t="s">
        <v>70</v>
      </c>
    </row>
    <row r="973" customFormat="false" ht="12.75" hidden="true" customHeight="true" outlineLevel="0" collapsed="false">
      <c r="A973" s="11"/>
      <c r="B973" s="147" t="s">
        <v>1252</v>
      </c>
      <c r="C973" s="147" t="s">
        <v>1000</v>
      </c>
      <c r="D973" s="14" t="s">
        <v>8</v>
      </c>
      <c r="E973" s="281" t="n">
        <v>42000</v>
      </c>
      <c r="F973" s="38" t="s">
        <v>29</v>
      </c>
      <c r="G973" s="44"/>
    </row>
    <row r="974" customFormat="false" ht="12.75" hidden="true" customHeight="true" outlineLevel="0" collapsed="false">
      <c r="A974" s="11"/>
      <c r="B974" s="284" t="s">
        <v>1253</v>
      </c>
      <c r="C974" s="122" t="s">
        <v>1254</v>
      </c>
      <c r="D974" s="14" t="s">
        <v>8</v>
      </c>
      <c r="E974" s="283" t="n">
        <v>41640</v>
      </c>
      <c r="F974" s="38" t="s">
        <v>9</v>
      </c>
      <c r="G974" s="44"/>
    </row>
    <row r="975" customFormat="false" ht="12.75" hidden="true" customHeight="true" outlineLevel="0" collapsed="false">
      <c r="A975" s="42" t="n">
        <v>4007</v>
      </c>
      <c r="B975" s="278" t="s">
        <v>1255</v>
      </c>
      <c r="C975" s="279" t="s">
        <v>736</v>
      </c>
      <c r="D975" s="36" t="s">
        <v>8</v>
      </c>
      <c r="E975" s="274" t="n">
        <v>41197</v>
      </c>
      <c r="F975" s="38" t="s">
        <v>29</v>
      </c>
      <c r="G975" s="24" t="s">
        <v>70</v>
      </c>
    </row>
    <row r="976" customFormat="false" ht="12.75" hidden="true" customHeight="true" outlineLevel="0" collapsed="false">
      <c r="A976" s="1" t="n">
        <v>2176</v>
      </c>
      <c r="B976" s="2" t="s">
        <v>1256</v>
      </c>
      <c r="C976" s="2" t="s">
        <v>75</v>
      </c>
      <c r="D976" s="24" t="s">
        <v>8</v>
      </c>
      <c r="E976" s="282" t="n">
        <v>42502</v>
      </c>
      <c r="F976" s="22" t="s">
        <v>34</v>
      </c>
      <c r="G976" s="222" t="n">
        <v>500</v>
      </c>
    </row>
    <row r="977" customFormat="false" ht="12.75" hidden="true" customHeight="true" outlineLevel="0" collapsed="false">
      <c r="A977" s="17" t="n">
        <v>3125</v>
      </c>
      <c r="B977" s="2" t="s">
        <v>1257</v>
      </c>
      <c r="C977" s="2" t="s">
        <v>250</v>
      </c>
      <c r="D977" s="24" t="s">
        <v>8</v>
      </c>
      <c r="E977" s="282" t="n">
        <v>41967</v>
      </c>
      <c r="F977" s="22" t="s">
        <v>34</v>
      </c>
      <c r="G977" s="222" t="n">
        <v>500</v>
      </c>
    </row>
    <row r="978" customFormat="false" ht="12.75" hidden="true" customHeight="true" outlineLevel="0" collapsed="false">
      <c r="A978" s="11"/>
      <c r="B978" s="122" t="s">
        <v>1258</v>
      </c>
      <c r="C978" s="122" t="s">
        <v>215</v>
      </c>
      <c r="D978" s="14" t="s">
        <v>8</v>
      </c>
      <c r="E978" s="283" t="n">
        <v>41275</v>
      </c>
      <c r="F978" s="38" t="s">
        <v>9</v>
      </c>
      <c r="G978" s="44"/>
    </row>
    <row r="979" customFormat="false" ht="12.75" hidden="true" customHeight="true" outlineLevel="0" collapsed="false">
      <c r="A979" s="11"/>
      <c r="B979" s="122" t="s">
        <v>1259</v>
      </c>
      <c r="C979" s="122" t="s">
        <v>440</v>
      </c>
      <c r="D979" s="14" t="s">
        <v>26</v>
      </c>
      <c r="E979" s="283" t="n">
        <v>40909</v>
      </c>
      <c r="F979" s="38" t="s">
        <v>9</v>
      </c>
      <c r="G979" s="44"/>
    </row>
    <row r="980" customFormat="false" ht="12.75" hidden="true" customHeight="true" outlineLevel="0" collapsed="false">
      <c r="A980" s="11"/>
      <c r="B980" s="122" t="s">
        <v>1259</v>
      </c>
      <c r="C980" s="122" t="s">
        <v>123</v>
      </c>
      <c r="D980" s="14" t="s">
        <v>8</v>
      </c>
      <c r="E980" s="283" t="n">
        <v>41275</v>
      </c>
      <c r="F980" s="38" t="s">
        <v>9</v>
      </c>
      <c r="G980" s="44"/>
    </row>
    <row r="981" customFormat="false" ht="12.75" hidden="true" customHeight="true" outlineLevel="0" collapsed="false">
      <c r="A981" s="42" t="n">
        <v>4044</v>
      </c>
      <c r="B981" s="273" t="s">
        <v>1260</v>
      </c>
      <c r="C981" s="273" t="s">
        <v>1261</v>
      </c>
      <c r="D981" s="36" t="s">
        <v>8</v>
      </c>
      <c r="E981" s="274" t="n">
        <v>40378</v>
      </c>
      <c r="F981" s="38" t="s">
        <v>52</v>
      </c>
      <c r="G981" s="224" t="s">
        <v>70</v>
      </c>
    </row>
    <row r="982" customFormat="false" ht="12.75" hidden="true" customHeight="true" outlineLevel="0" collapsed="false">
      <c r="A982" s="1" t="n">
        <v>2071</v>
      </c>
      <c r="B982" s="273" t="s">
        <v>1262</v>
      </c>
      <c r="C982" s="273" t="s">
        <v>527</v>
      </c>
      <c r="D982" s="36" t="s">
        <v>8</v>
      </c>
      <c r="E982" s="274" t="n">
        <v>42258</v>
      </c>
      <c r="F982" s="38" t="s">
        <v>52</v>
      </c>
      <c r="G982" s="224" t="s">
        <v>70</v>
      </c>
    </row>
    <row r="983" customFormat="false" ht="12.75" hidden="true" customHeight="true" outlineLevel="0" collapsed="false">
      <c r="A983" s="11"/>
      <c r="B983" s="275" t="s">
        <v>1263</v>
      </c>
      <c r="C983" s="124" t="s">
        <v>1264</v>
      </c>
      <c r="D983" s="14" t="s">
        <v>8</v>
      </c>
      <c r="E983" s="280" t="n">
        <v>42065</v>
      </c>
      <c r="F983" s="38" t="s">
        <v>52</v>
      </c>
      <c r="G983" s="44"/>
    </row>
    <row r="984" customFormat="false" ht="12.75" hidden="true" customHeight="true" outlineLevel="0" collapsed="false">
      <c r="A984" s="1" t="n">
        <v>2104</v>
      </c>
      <c r="B984" s="273" t="s">
        <v>1263</v>
      </c>
      <c r="C984" s="273" t="s">
        <v>1264</v>
      </c>
      <c r="D984" s="36" t="s">
        <v>8</v>
      </c>
      <c r="E984" s="274" t="n">
        <v>42065</v>
      </c>
      <c r="F984" s="38" t="s">
        <v>52</v>
      </c>
      <c r="G984" s="224" t="s">
        <v>70</v>
      </c>
    </row>
    <row r="985" customFormat="false" ht="12.75" hidden="true" customHeight="true" outlineLevel="0" collapsed="false">
      <c r="A985" s="1" t="n">
        <v>3048</v>
      </c>
      <c r="B985" s="278" t="s">
        <v>1265</v>
      </c>
      <c r="C985" s="279" t="s">
        <v>165</v>
      </c>
      <c r="D985" s="36" t="s">
        <v>8</v>
      </c>
      <c r="E985" s="274" t="n">
        <v>41651</v>
      </c>
      <c r="F985" s="38" t="s">
        <v>29</v>
      </c>
      <c r="G985" s="24" t="s">
        <v>70</v>
      </c>
    </row>
    <row r="986" customFormat="false" ht="12.75" hidden="true" customHeight="true" outlineLevel="0" collapsed="false">
      <c r="A986" s="11"/>
      <c r="B986" s="275" t="s">
        <v>1266</v>
      </c>
      <c r="C986" s="124" t="s">
        <v>1267</v>
      </c>
      <c r="D986" s="14" t="s">
        <v>8</v>
      </c>
      <c r="E986" s="280" t="n">
        <v>41975</v>
      </c>
      <c r="F986" s="38" t="s">
        <v>34</v>
      </c>
      <c r="G986" s="44"/>
    </row>
    <row r="987" customFormat="false" ht="12.75" hidden="true" customHeight="true" outlineLevel="0" collapsed="false">
      <c r="A987" s="17" t="n">
        <v>3126</v>
      </c>
      <c r="B987" s="2" t="s">
        <v>1266</v>
      </c>
      <c r="C987" s="2" t="s">
        <v>1267</v>
      </c>
      <c r="D987" s="24" t="s">
        <v>8</v>
      </c>
      <c r="E987" s="282" t="n">
        <v>41975</v>
      </c>
      <c r="F987" s="22" t="s">
        <v>34</v>
      </c>
      <c r="G987" s="222" t="n">
        <v>500</v>
      </c>
    </row>
    <row r="988" customFormat="false" ht="12.75" hidden="true" customHeight="true" outlineLevel="0" collapsed="false">
      <c r="A988" s="11"/>
      <c r="B988" s="270" t="s">
        <v>1268</v>
      </c>
      <c r="C988" s="271" t="s">
        <v>112</v>
      </c>
      <c r="D988" s="14" t="s">
        <v>8</v>
      </c>
      <c r="E988" s="272" t="n">
        <v>40870</v>
      </c>
      <c r="F988" s="38" t="s">
        <v>34</v>
      </c>
      <c r="G988" s="44"/>
    </row>
    <row r="989" customFormat="false" ht="12.75" hidden="true" customHeight="true" outlineLevel="0" collapsed="false">
      <c r="A989" s="11"/>
      <c r="B989" s="270" t="s">
        <v>1269</v>
      </c>
      <c r="C989" s="271" t="s">
        <v>1270</v>
      </c>
      <c r="D989" s="14" t="s">
        <v>26</v>
      </c>
      <c r="E989" s="272" t="n">
        <v>40658</v>
      </c>
      <c r="F989" s="38" t="s">
        <v>20</v>
      </c>
      <c r="G989" s="44"/>
    </row>
    <row r="990" customFormat="false" ht="12.75" hidden="true" customHeight="true" outlineLevel="0" collapsed="false">
      <c r="A990" s="42" t="n">
        <v>4045</v>
      </c>
      <c r="B990" s="276" t="s">
        <v>1271</v>
      </c>
      <c r="C990" s="276" t="s">
        <v>1272</v>
      </c>
      <c r="D990" s="36" t="s">
        <v>8</v>
      </c>
      <c r="E990" s="277" t="n">
        <v>40290</v>
      </c>
      <c r="F990" s="50" t="s">
        <v>20</v>
      </c>
      <c r="G990" s="24" t="n">
        <v>487</v>
      </c>
    </row>
    <row r="991" customFormat="false" ht="12.75" hidden="true" customHeight="true" outlineLevel="0" collapsed="false">
      <c r="A991" s="11"/>
      <c r="B991" s="275" t="s">
        <v>1273</v>
      </c>
      <c r="C991" s="124" t="s">
        <v>112</v>
      </c>
      <c r="D991" s="14" t="s">
        <v>8</v>
      </c>
      <c r="E991" s="150" t="n">
        <v>41696</v>
      </c>
      <c r="F991" s="38" t="s">
        <v>34</v>
      </c>
      <c r="G991" s="44"/>
    </row>
    <row r="992" customFormat="false" ht="12.75" hidden="true" customHeight="true" outlineLevel="0" collapsed="false">
      <c r="A992" s="17" t="n">
        <v>3127</v>
      </c>
      <c r="B992" s="2" t="s">
        <v>1273</v>
      </c>
      <c r="C992" s="2" t="s">
        <v>112</v>
      </c>
      <c r="D992" s="24" t="s">
        <v>8</v>
      </c>
      <c r="E992" s="282" t="n">
        <v>41696</v>
      </c>
      <c r="F992" s="22" t="s">
        <v>34</v>
      </c>
      <c r="G992" s="222" t="n">
        <v>500</v>
      </c>
    </row>
    <row r="993" customFormat="false" ht="12.75" hidden="true" customHeight="true" outlineLevel="0" collapsed="false">
      <c r="A993" s="11"/>
      <c r="B993" s="42" t="s">
        <v>1274</v>
      </c>
      <c r="C993" s="42" t="s">
        <v>988</v>
      </c>
      <c r="D993" s="14" t="s">
        <v>8</v>
      </c>
      <c r="E993" s="299" t="n">
        <v>42898</v>
      </c>
      <c r="F993" s="50" t="s">
        <v>52</v>
      </c>
      <c r="G993" s="44"/>
    </row>
    <row r="994" customFormat="false" ht="12.75" hidden="true" customHeight="true" outlineLevel="0" collapsed="false">
      <c r="A994" s="11"/>
      <c r="B994" s="270" t="s">
        <v>1275</v>
      </c>
      <c r="C994" s="271" t="s">
        <v>711</v>
      </c>
      <c r="D994" s="14" t="s">
        <v>8</v>
      </c>
      <c r="E994" s="272" t="n">
        <v>40501</v>
      </c>
      <c r="F994" s="38" t="s">
        <v>34</v>
      </c>
      <c r="G994" s="44"/>
    </row>
    <row r="995" customFormat="false" ht="12.75" hidden="true" customHeight="true" outlineLevel="0" collapsed="false">
      <c r="A995" s="42" t="n">
        <v>4092</v>
      </c>
      <c r="B995" s="2" t="s">
        <v>1275</v>
      </c>
      <c r="C995" s="2" t="s">
        <v>711</v>
      </c>
      <c r="D995" s="24" t="s">
        <v>8</v>
      </c>
      <c r="E995" s="282" t="n">
        <v>40501</v>
      </c>
      <c r="F995" s="22" t="s">
        <v>34</v>
      </c>
      <c r="G995" s="222" t="n">
        <v>500</v>
      </c>
    </row>
    <row r="996" customFormat="false" ht="12.75" hidden="true" customHeight="true" outlineLevel="0" collapsed="false">
      <c r="A996" s="1" t="n">
        <v>1020</v>
      </c>
      <c r="B996" s="276" t="s">
        <v>1276</v>
      </c>
      <c r="C996" s="276" t="s">
        <v>132</v>
      </c>
      <c r="D996" s="36" t="s">
        <v>8</v>
      </c>
      <c r="E996" s="274" t="n">
        <v>43290</v>
      </c>
      <c r="F996" s="38" t="s">
        <v>143</v>
      </c>
      <c r="G996" s="24" t="s">
        <v>70</v>
      </c>
    </row>
    <row r="997" customFormat="false" ht="12.75" hidden="true" customHeight="true" outlineLevel="0" collapsed="false">
      <c r="A997" s="11"/>
      <c r="B997" s="147" t="s">
        <v>1277</v>
      </c>
      <c r="C997" s="147" t="s">
        <v>574</v>
      </c>
      <c r="D997" s="14" t="s">
        <v>8</v>
      </c>
      <c r="E997" s="281" t="n">
        <v>39145</v>
      </c>
      <c r="F997" s="38" t="s">
        <v>29</v>
      </c>
      <c r="G997" s="44"/>
    </row>
    <row r="998" customFormat="false" ht="12.75" hidden="true" customHeight="true" outlineLevel="0" collapsed="false">
      <c r="A998" s="11"/>
      <c r="B998" s="270" t="s">
        <v>1278</v>
      </c>
      <c r="C998" s="271" t="s">
        <v>821</v>
      </c>
      <c r="D998" s="14" t="s">
        <v>26</v>
      </c>
      <c r="E998" s="280" t="n">
        <v>41881</v>
      </c>
      <c r="F998" s="38" t="s">
        <v>20</v>
      </c>
      <c r="G998" s="44"/>
    </row>
    <row r="999" customFormat="false" ht="12.75" hidden="true" customHeight="true" outlineLevel="0" collapsed="false">
      <c r="A999" s="11"/>
      <c r="B999" s="124" t="s">
        <v>1279</v>
      </c>
      <c r="C999" s="124" t="s">
        <v>1280</v>
      </c>
      <c r="D999" s="14" t="s">
        <v>26</v>
      </c>
      <c r="E999" s="280" t="n">
        <v>41590</v>
      </c>
      <c r="F999" s="38" t="s">
        <v>17</v>
      </c>
      <c r="G999" s="44"/>
    </row>
    <row r="1000" customFormat="false" ht="12.75" hidden="true" customHeight="true" outlineLevel="0" collapsed="false">
      <c r="A1000" s="11"/>
      <c r="B1000" s="300" t="s">
        <v>1281</v>
      </c>
      <c r="C1000" s="301" t="s">
        <v>1038</v>
      </c>
      <c r="D1000" s="14" t="s">
        <v>26</v>
      </c>
      <c r="E1000" s="283" t="n">
        <v>40179</v>
      </c>
      <c r="F1000" s="38" t="s">
        <v>9</v>
      </c>
      <c r="G1000" s="44"/>
    </row>
    <row r="1001" customFormat="false" ht="12.75" hidden="true" customHeight="true" outlineLevel="0" collapsed="false">
      <c r="A1001" s="42" t="n">
        <v>4012</v>
      </c>
      <c r="B1001" s="276" t="s">
        <v>1282</v>
      </c>
      <c r="C1001" s="276" t="s">
        <v>1101</v>
      </c>
      <c r="D1001" s="36" t="s">
        <v>8</v>
      </c>
      <c r="E1001" s="274" t="n">
        <v>41158</v>
      </c>
      <c r="F1001" s="38" t="s">
        <v>143</v>
      </c>
      <c r="G1001" s="24" t="s">
        <v>70</v>
      </c>
    </row>
    <row r="1002" customFormat="false" ht="12.75" hidden="true" customHeight="true" outlineLevel="0" collapsed="false">
      <c r="A1002" s="1" t="n">
        <v>2072</v>
      </c>
      <c r="B1002" s="273" t="s">
        <v>1283</v>
      </c>
      <c r="C1002" s="273" t="s">
        <v>639</v>
      </c>
      <c r="D1002" s="36" t="s">
        <v>8</v>
      </c>
      <c r="E1002" s="274" t="n">
        <v>42253</v>
      </c>
      <c r="F1002" s="38" t="s">
        <v>52</v>
      </c>
      <c r="G1002" s="224" t="s">
        <v>70</v>
      </c>
    </row>
    <row r="1003" customFormat="false" ht="12.75" hidden="true" customHeight="true" outlineLevel="0" collapsed="false">
      <c r="A1003" s="42" t="n">
        <v>4067</v>
      </c>
      <c r="B1003" s="292" t="s">
        <v>1284</v>
      </c>
      <c r="C1003" s="292" t="s">
        <v>241</v>
      </c>
      <c r="D1003" s="24" t="s">
        <v>8</v>
      </c>
      <c r="E1003" s="298" t="n">
        <v>41084</v>
      </c>
      <c r="F1003" s="22" t="s">
        <v>9</v>
      </c>
      <c r="G1003" s="222" t="n">
        <v>654</v>
      </c>
    </row>
    <row r="1004" customFormat="false" ht="12.75" hidden="true" customHeight="true" outlineLevel="0" collapsed="false">
      <c r="A1004" s="1" t="n">
        <v>2129</v>
      </c>
      <c r="B1004" s="286" t="s">
        <v>1284</v>
      </c>
      <c r="C1004" s="286" t="s">
        <v>136</v>
      </c>
      <c r="D1004" s="24" t="s">
        <v>8</v>
      </c>
      <c r="E1004" s="287" t="n">
        <v>42217</v>
      </c>
      <c r="F1004" s="10" t="s">
        <v>9</v>
      </c>
      <c r="G1004" s="237" t="n">
        <v>521</v>
      </c>
    </row>
    <row r="1005" customFormat="false" ht="12.75" hidden="true" customHeight="true" outlineLevel="0" collapsed="false">
      <c r="A1005" s="11"/>
      <c r="B1005" s="122" t="s">
        <v>1285</v>
      </c>
      <c r="C1005" s="122" t="s">
        <v>241</v>
      </c>
      <c r="D1005" s="14" t="s">
        <v>8</v>
      </c>
      <c r="E1005" s="277" t="n">
        <v>40963</v>
      </c>
      <c r="F1005" s="38" t="s">
        <v>9</v>
      </c>
      <c r="G1005" s="44"/>
    </row>
    <row r="1006" customFormat="false" ht="12.75" hidden="true" customHeight="true" outlineLevel="0" collapsed="false">
      <c r="A1006" s="11"/>
      <c r="B1006" s="284" t="s">
        <v>1285</v>
      </c>
      <c r="C1006" s="122" t="s">
        <v>136</v>
      </c>
      <c r="D1006" s="14" t="s">
        <v>8</v>
      </c>
      <c r="E1006" s="277" t="n">
        <v>42217</v>
      </c>
      <c r="F1006" s="38" t="s">
        <v>9</v>
      </c>
      <c r="G1006" s="44"/>
    </row>
    <row r="1007" customFormat="false" ht="12.75" hidden="true" customHeight="true" outlineLevel="0" collapsed="false">
      <c r="A1007" s="11"/>
      <c r="B1007" s="275" t="s">
        <v>1286</v>
      </c>
      <c r="C1007" s="124" t="s">
        <v>214</v>
      </c>
      <c r="D1007" s="14" t="s">
        <v>8</v>
      </c>
      <c r="E1007" s="150" t="n">
        <v>42358</v>
      </c>
      <c r="F1007" s="38" t="s">
        <v>52</v>
      </c>
      <c r="G1007" s="44"/>
    </row>
    <row r="1008" customFormat="false" ht="12.75" hidden="true" customHeight="true" outlineLevel="0" collapsed="false">
      <c r="A1008" s="1" t="n">
        <v>2054</v>
      </c>
      <c r="B1008" s="273" t="s">
        <v>1286</v>
      </c>
      <c r="C1008" s="273" t="s">
        <v>214</v>
      </c>
      <c r="D1008" s="36" t="s">
        <v>8</v>
      </c>
      <c r="E1008" s="274" t="n">
        <v>42358</v>
      </c>
      <c r="F1008" s="38" t="s">
        <v>52</v>
      </c>
      <c r="G1008" s="224" t="s">
        <v>70</v>
      </c>
    </row>
    <row r="1009" customFormat="false" ht="12.75" hidden="true" customHeight="true" outlineLevel="0" collapsed="false">
      <c r="A1009" s="42" t="n">
        <v>4036</v>
      </c>
      <c r="B1009" s="273" t="s">
        <v>1286</v>
      </c>
      <c r="C1009" s="273" t="s">
        <v>391</v>
      </c>
      <c r="D1009" s="36" t="s">
        <v>8</v>
      </c>
      <c r="E1009" s="274" t="n">
        <v>40654</v>
      </c>
      <c r="F1009" s="38" t="s">
        <v>52</v>
      </c>
      <c r="G1009" s="224" t="s">
        <v>1287</v>
      </c>
    </row>
    <row r="1010" customFormat="false" ht="12.75" hidden="true" customHeight="true" outlineLevel="0" collapsed="false">
      <c r="A1010" s="1" t="n">
        <v>1033</v>
      </c>
      <c r="B1010" s="276" t="s">
        <v>1288</v>
      </c>
      <c r="C1010" s="276" t="s">
        <v>1289</v>
      </c>
      <c r="D1010" s="36" t="s">
        <v>26</v>
      </c>
      <c r="E1010" s="277" t="n">
        <v>43120</v>
      </c>
      <c r="F1010" s="50" t="s">
        <v>20</v>
      </c>
      <c r="G1010" s="24" t="n">
        <v>500</v>
      </c>
    </row>
    <row r="1011" customFormat="false" ht="12.75" hidden="true" customHeight="true" outlineLevel="0" collapsed="false">
      <c r="A1011" s="11"/>
      <c r="B1011" s="275" t="s">
        <v>1290</v>
      </c>
      <c r="C1011" s="124" t="s">
        <v>1291</v>
      </c>
      <c r="D1011" s="14" t="s">
        <v>8</v>
      </c>
      <c r="E1011" s="280" t="n">
        <v>42196</v>
      </c>
      <c r="F1011" s="38" t="s">
        <v>34</v>
      </c>
      <c r="G1011" s="44"/>
    </row>
    <row r="1012" customFormat="false" ht="12.75" hidden="true" customHeight="true" outlineLevel="0" collapsed="false">
      <c r="A1012" s="1" t="n">
        <v>2108</v>
      </c>
      <c r="B1012" s="302" t="s">
        <v>1292</v>
      </c>
      <c r="C1012" s="303" t="s">
        <v>1293</v>
      </c>
      <c r="D1012" s="36" t="s">
        <v>8</v>
      </c>
      <c r="E1012" s="274" t="n">
        <v>42040</v>
      </c>
      <c r="F1012" s="38" t="s">
        <v>12</v>
      </c>
      <c r="G1012" s="16" t="n">
        <v>500</v>
      </c>
    </row>
    <row r="1013" customFormat="false" ht="12.75" hidden="true" customHeight="true" outlineLevel="0" collapsed="false">
      <c r="A1013" s="11"/>
      <c r="B1013" s="122" t="s">
        <v>1294</v>
      </c>
      <c r="C1013" s="122" t="s">
        <v>693</v>
      </c>
      <c r="D1013" s="14" t="s">
        <v>8</v>
      </c>
      <c r="E1013" s="280" t="n">
        <v>41577</v>
      </c>
      <c r="F1013" s="38" t="s">
        <v>29</v>
      </c>
      <c r="G1013" s="44"/>
    </row>
    <row r="1014" customFormat="false" ht="12.75" hidden="true" customHeight="true" outlineLevel="0" collapsed="false">
      <c r="A1014" s="1" t="n">
        <v>3063</v>
      </c>
      <c r="B1014" s="273" t="s">
        <v>1295</v>
      </c>
      <c r="C1014" s="273" t="s">
        <v>1296</v>
      </c>
      <c r="D1014" s="36" t="s">
        <v>8</v>
      </c>
      <c r="E1014" s="274" t="n">
        <v>41418</v>
      </c>
      <c r="F1014" s="38" t="s">
        <v>52</v>
      </c>
      <c r="G1014" s="224" t="s">
        <v>70</v>
      </c>
    </row>
    <row r="1015" customFormat="false" ht="12.75" hidden="true" customHeight="true" outlineLevel="0" collapsed="false">
      <c r="A1015" s="11"/>
      <c r="B1015" s="275" t="s">
        <v>1297</v>
      </c>
      <c r="C1015" s="124" t="s">
        <v>565</v>
      </c>
      <c r="D1015" s="14" t="s">
        <v>8</v>
      </c>
      <c r="E1015" s="280" t="n">
        <v>40154</v>
      </c>
      <c r="F1015" s="38" t="s">
        <v>52</v>
      </c>
      <c r="G1015" s="44"/>
    </row>
    <row r="1016" customFormat="false" ht="12.75" hidden="true" customHeight="true" outlineLevel="0" collapsed="false">
      <c r="A1016" s="42" t="n">
        <v>4046</v>
      </c>
      <c r="B1016" s="273" t="s">
        <v>1297</v>
      </c>
      <c r="C1016" s="273" t="s">
        <v>565</v>
      </c>
      <c r="D1016" s="36" t="s">
        <v>8</v>
      </c>
      <c r="E1016" s="274" t="n">
        <v>40154</v>
      </c>
      <c r="F1016" s="38" t="s">
        <v>52</v>
      </c>
      <c r="G1016" s="224" t="s">
        <v>1298</v>
      </c>
    </row>
    <row r="1017" customFormat="false" ht="12.75" hidden="true" customHeight="true" outlineLevel="0" collapsed="false">
      <c r="A1017" s="11"/>
      <c r="B1017" s="270" t="s">
        <v>1299</v>
      </c>
      <c r="C1017" s="271" t="s">
        <v>1300</v>
      </c>
      <c r="D1017" s="14" t="s">
        <v>26</v>
      </c>
      <c r="E1017" s="304" t="n">
        <v>40216</v>
      </c>
      <c r="F1017" s="38" t="s">
        <v>34</v>
      </c>
      <c r="G1017" s="44"/>
    </row>
    <row r="1018" customFormat="false" ht="12.75" hidden="true" customHeight="true" outlineLevel="0" collapsed="false">
      <c r="A1018" s="42" t="n">
        <v>4025</v>
      </c>
      <c r="B1018" s="302" t="s">
        <v>1301</v>
      </c>
      <c r="C1018" s="303" t="s">
        <v>1302</v>
      </c>
      <c r="D1018" s="36" t="s">
        <v>26</v>
      </c>
      <c r="E1018" s="274" t="n">
        <v>40861</v>
      </c>
      <c r="F1018" s="38" t="s">
        <v>12</v>
      </c>
      <c r="G1018" s="16" t="n">
        <v>500</v>
      </c>
    </row>
    <row r="1019" customFormat="false" ht="12.75" hidden="true" customHeight="true" outlineLevel="0" collapsed="false">
      <c r="A1019" s="11"/>
      <c r="B1019" s="147" t="s">
        <v>1303</v>
      </c>
      <c r="C1019" s="148" t="s">
        <v>1304</v>
      </c>
      <c r="D1019" s="14" t="s">
        <v>26</v>
      </c>
      <c r="E1019" s="305" t="n">
        <v>41286</v>
      </c>
      <c r="F1019" s="38" t="s">
        <v>29</v>
      </c>
      <c r="G1019" s="44"/>
    </row>
    <row r="1020" customFormat="false" ht="12.75" hidden="true" customHeight="true" outlineLevel="0" collapsed="false">
      <c r="A1020" s="11"/>
      <c r="B1020" s="147" t="s">
        <v>1303</v>
      </c>
      <c r="C1020" s="148" t="s">
        <v>355</v>
      </c>
      <c r="D1020" s="14" t="s">
        <v>8</v>
      </c>
      <c r="E1020" s="281" t="n">
        <v>42366</v>
      </c>
      <c r="F1020" s="38" t="s">
        <v>29</v>
      </c>
      <c r="G1020" s="44"/>
    </row>
    <row r="1021" customFormat="false" ht="12.75" hidden="true" customHeight="true" outlineLevel="0" collapsed="false">
      <c r="A1021" s="1" t="n">
        <v>3079</v>
      </c>
      <c r="B1021" s="278" t="s">
        <v>1305</v>
      </c>
      <c r="C1021" s="279" t="s">
        <v>355</v>
      </c>
      <c r="D1021" s="36" t="s">
        <v>8</v>
      </c>
      <c r="E1021" s="274" t="n">
        <v>41286</v>
      </c>
      <c r="F1021" s="38" t="s">
        <v>29</v>
      </c>
      <c r="G1021" s="24" t="s">
        <v>70</v>
      </c>
    </row>
    <row r="1022" customFormat="false" ht="12.75" hidden="true" customHeight="true" outlineLevel="0" collapsed="false">
      <c r="A1022" s="11"/>
      <c r="B1022" s="300" t="s">
        <v>1306</v>
      </c>
      <c r="C1022" s="301" t="s">
        <v>1307</v>
      </c>
      <c r="D1022" s="14" t="s">
        <v>8</v>
      </c>
      <c r="E1022" s="280" t="n">
        <v>40763</v>
      </c>
      <c r="F1022" s="38" t="s">
        <v>12</v>
      </c>
      <c r="G1022" s="44"/>
    </row>
    <row r="1023" customFormat="false" ht="12.75" hidden="true" customHeight="true" outlineLevel="0" collapsed="false">
      <c r="A1023" s="42" t="n">
        <v>4029</v>
      </c>
      <c r="B1023" s="302" t="s">
        <v>1308</v>
      </c>
      <c r="C1023" s="303" t="s">
        <v>1307</v>
      </c>
      <c r="D1023" s="36" t="s">
        <v>8</v>
      </c>
      <c r="E1023" s="274" t="n">
        <v>40763</v>
      </c>
      <c r="F1023" s="38" t="s">
        <v>12</v>
      </c>
      <c r="G1023" s="16" t="n">
        <v>514</v>
      </c>
    </row>
    <row r="1024" customFormat="false" ht="12.75" hidden="true" customHeight="true" outlineLevel="0" collapsed="false">
      <c r="A1024" s="17" t="n">
        <v>3128</v>
      </c>
      <c r="B1024" s="2" t="s">
        <v>1309</v>
      </c>
      <c r="C1024" s="2" t="s">
        <v>1310</v>
      </c>
      <c r="D1024" s="24" t="s">
        <v>8</v>
      </c>
      <c r="E1024" s="282" t="n">
        <v>41678</v>
      </c>
      <c r="F1024" s="22" t="s">
        <v>34</v>
      </c>
      <c r="G1024" s="222" t="n">
        <v>500</v>
      </c>
    </row>
    <row r="1025" customFormat="false" ht="12.75" hidden="true" customHeight="true" outlineLevel="0" collapsed="false">
      <c r="A1025" s="11"/>
      <c r="B1025" s="275" t="s">
        <v>1311</v>
      </c>
      <c r="C1025" s="124" t="s">
        <v>1312</v>
      </c>
      <c r="D1025" s="14" t="s">
        <v>8</v>
      </c>
      <c r="E1025" s="280" t="n">
        <v>42354</v>
      </c>
      <c r="F1025" s="38" t="s">
        <v>17</v>
      </c>
      <c r="G1025" s="44"/>
    </row>
    <row r="1026" customFormat="false" ht="12.75" hidden="true" customHeight="true" outlineLevel="0" collapsed="false">
      <c r="A1026" s="11"/>
      <c r="B1026" s="275" t="s">
        <v>1311</v>
      </c>
      <c r="C1026" s="124" t="s">
        <v>1313</v>
      </c>
      <c r="D1026" s="14" t="s">
        <v>8</v>
      </c>
      <c r="E1026" s="280" t="n">
        <v>41878</v>
      </c>
      <c r="F1026" s="38" t="s">
        <v>17</v>
      </c>
      <c r="G1026" s="44"/>
    </row>
    <row r="1027" customFormat="false" ht="12.75" hidden="true" customHeight="true" outlineLevel="0" collapsed="false">
      <c r="A1027" s="1" t="n">
        <v>1024</v>
      </c>
      <c r="B1027" s="302" t="s">
        <v>1314</v>
      </c>
      <c r="C1027" s="303" t="s">
        <v>342</v>
      </c>
      <c r="D1027" s="36" t="s">
        <v>8</v>
      </c>
      <c r="E1027" s="274" t="n">
        <v>43231</v>
      </c>
      <c r="F1027" s="38" t="s">
        <v>12</v>
      </c>
      <c r="G1027" s="16" t="n">
        <v>500</v>
      </c>
    </row>
    <row r="1028" customFormat="false" ht="12.75" hidden="true" customHeight="true" outlineLevel="0" collapsed="false">
      <c r="A1028" s="1" t="n">
        <v>3001</v>
      </c>
      <c r="B1028" s="302" t="s">
        <v>1314</v>
      </c>
      <c r="C1028" s="303" t="s">
        <v>1315</v>
      </c>
      <c r="D1028" s="36" t="s">
        <v>8</v>
      </c>
      <c r="E1028" s="274" t="n">
        <v>41992</v>
      </c>
      <c r="F1028" s="38" t="s">
        <v>12</v>
      </c>
      <c r="G1028" s="16" t="n">
        <v>500</v>
      </c>
    </row>
    <row r="1029" customFormat="false" ht="12.75" hidden="true" customHeight="true" outlineLevel="0" collapsed="false">
      <c r="A1029" s="11"/>
      <c r="B1029" s="124" t="s">
        <v>1316</v>
      </c>
      <c r="C1029" s="124" t="s">
        <v>616</v>
      </c>
      <c r="D1029" s="14" t="s">
        <v>8</v>
      </c>
      <c r="E1029" s="280" t="n">
        <v>41323</v>
      </c>
      <c r="F1029" s="38" t="s">
        <v>143</v>
      </c>
      <c r="G1029" s="2"/>
    </row>
    <row r="1030" customFormat="false" ht="12.75" hidden="true" customHeight="true" outlineLevel="0" collapsed="false">
      <c r="A1030" s="11"/>
      <c r="B1030" s="270" t="s">
        <v>1317</v>
      </c>
      <c r="C1030" s="271" t="s">
        <v>1318</v>
      </c>
      <c r="D1030" s="14" t="s">
        <v>8</v>
      </c>
      <c r="E1030" s="304" t="n">
        <v>40716</v>
      </c>
      <c r="F1030" s="38" t="s">
        <v>20</v>
      </c>
      <c r="G1030" s="2"/>
    </row>
    <row r="1031" customFormat="false" ht="12.75" hidden="true" customHeight="true" outlineLevel="0" collapsed="false">
      <c r="A1031" s="11"/>
      <c r="B1031" s="275" t="s">
        <v>1319</v>
      </c>
      <c r="C1031" s="124" t="s">
        <v>1320</v>
      </c>
      <c r="D1031" s="149" t="s">
        <v>8</v>
      </c>
      <c r="E1031" s="150" t="n">
        <v>42625</v>
      </c>
      <c r="F1031" s="38" t="s">
        <v>52</v>
      </c>
      <c r="G1031" s="2"/>
    </row>
    <row r="1032" customFormat="false" ht="12.75" hidden="true" customHeight="true" outlineLevel="0" collapsed="false">
      <c r="A1032" s="11"/>
      <c r="B1032" s="275" t="s">
        <v>1321</v>
      </c>
      <c r="C1032" s="124" t="s">
        <v>1322</v>
      </c>
      <c r="D1032" s="149" t="s">
        <v>26</v>
      </c>
      <c r="E1032" s="150" t="n">
        <v>42406</v>
      </c>
      <c r="F1032" s="38" t="s">
        <v>34</v>
      </c>
      <c r="G1032" s="2"/>
    </row>
    <row r="1033" customFormat="false" ht="12.75" hidden="true" customHeight="true" outlineLevel="0" collapsed="false">
      <c r="A1033" s="1" t="n">
        <v>2177</v>
      </c>
      <c r="B1033" s="2" t="s">
        <v>1321</v>
      </c>
      <c r="C1033" s="2" t="s">
        <v>1322</v>
      </c>
      <c r="D1033" s="50" t="s">
        <v>26</v>
      </c>
      <c r="E1033" s="282" t="n">
        <v>42406</v>
      </c>
      <c r="F1033" s="22" t="s">
        <v>34</v>
      </c>
      <c r="G1033" s="22" t="n">
        <v>500</v>
      </c>
    </row>
    <row r="1034" customFormat="false" ht="12.75" hidden="true" customHeight="true" outlineLevel="0" collapsed="false">
      <c r="A1034" s="11"/>
      <c r="B1034" s="13" t="s">
        <v>1323</v>
      </c>
      <c r="C1034" s="13" t="s">
        <v>1324</v>
      </c>
      <c r="D1034" s="14" t="s">
        <v>8</v>
      </c>
      <c r="E1034" s="33" t="n">
        <v>40909</v>
      </c>
      <c r="F1034" s="16" t="s">
        <v>9</v>
      </c>
      <c r="G1034" s="44"/>
    </row>
    <row r="1035" customFormat="false" ht="12.75" hidden="true" customHeight="true" outlineLevel="0" collapsed="false">
      <c r="A1035" s="223" t="n">
        <v>1002</v>
      </c>
      <c r="B1035" s="79" t="s">
        <v>1323</v>
      </c>
      <c r="C1035" s="79" t="s">
        <v>1325</v>
      </c>
      <c r="D1035" s="36" t="s">
        <v>26</v>
      </c>
      <c r="E1035" s="37" t="n">
        <v>43983</v>
      </c>
      <c r="F1035" s="16" t="s">
        <v>52</v>
      </c>
      <c r="G1035" s="224" t="s">
        <v>70</v>
      </c>
    </row>
    <row r="1036" customFormat="false" ht="12.75" hidden="true" customHeight="true" outlineLevel="0" collapsed="false">
      <c r="A1036" s="1" t="n">
        <v>1025</v>
      </c>
      <c r="B1036" s="273" t="s">
        <v>1323</v>
      </c>
      <c r="C1036" s="273" t="s">
        <v>1326</v>
      </c>
      <c r="D1036" s="36" t="s">
        <v>26</v>
      </c>
      <c r="E1036" s="274" t="n">
        <v>43226</v>
      </c>
      <c r="F1036" s="38" t="s">
        <v>52</v>
      </c>
      <c r="G1036" s="224" t="s">
        <v>70</v>
      </c>
    </row>
    <row r="1037" customFormat="false" ht="12.75" hidden="true" customHeight="true" outlineLevel="0" collapsed="false">
      <c r="A1037" s="1" t="n">
        <v>3020</v>
      </c>
      <c r="B1037" s="79" t="s">
        <v>1327</v>
      </c>
      <c r="C1037" s="79" t="s">
        <v>14</v>
      </c>
      <c r="D1037" s="36" t="s">
        <v>8</v>
      </c>
      <c r="E1037" s="37" t="n">
        <v>41862</v>
      </c>
      <c r="F1037" s="16" t="s">
        <v>52</v>
      </c>
      <c r="G1037" s="224" t="s">
        <v>70</v>
      </c>
    </row>
  </sheetData>
  <autoFilter ref="A1:F1037">
    <filterColumn colId="2">
      <filters>
        <filter val="Tsiry"/>
        <filter val="Tugdual"/>
      </filters>
    </filterColumn>
  </autoFilter>
  <conditionalFormatting sqref="B1037">
    <cfRule type="duplicateValues" priority="2" aboveAverage="0" equalAverage="0" bottom="0" percent="0" rank="0" text="" dxfId="16"/>
    <cfRule type="duplicateValues" priority="3" aboveAverage="0" equalAverage="0" bottom="0" percent="0" rank="0" text="" dxfId="17"/>
    <cfRule type="duplicateValues" priority="4" aboveAverage="0" equalAverage="0" bottom="0" percent="0" rank="0" text="" dxfId="16"/>
  </conditionalFormatting>
  <conditionalFormatting sqref="D1037">
    <cfRule type="expression" priority="5" aboveAverage="0" equalAverage="0" bottom="0" percent="0" rank="0" text="" dxfId="18">
      <formula>#ref!=#ref!</formula>
    </cfRule>
    <cfRule type="cellIs" priority="6" operator="equal" aboveAverage="0" equalAverage="0" bottom="0" percent="0" rank="0" text="" dxfId="19">
      <formula>"F"</formula>
    </cfRule>
  </conditionalFormatting>
  <conditionalFormatting sqref="D1037 F1037">
    <cfRule type="expression" priority="7" aboveAverage="0" equalAverage="0" bottom="0" percent="0" rank="0" text="" dxfId="18">
      <formula>$F1037=#ref!</formula>
    </cfRule>
  </conditionalFormatting>
  <conditionalFormatting sqref="D1036">
    <cfRule type="cellIs" priority="8" operator="equal" aboveAverage="0" equalAverage="0" bottom="0" percent="0" rank="0" text="" dxfId="19">
      <formula>"F"</formula>
    </cfRule>
    <cfRule type="expression" priority="9" aboveAverage="0" equalAverage="0" bottom="0" percent="0" rank="0" text="" dxfId="20">
      <formula>#ref!=#ref!</formula>
    </cfRule>
    <cfRule type="expression" priority="10" aboveAverage="0" equalAverage="0" bottom="0" percent="0" rank="0" text="" dxfId="20">
      <formula>$F1036=#ref!</formula>
    </cfRule>
  </conditionalFormatting>
  <conditionalFormatting sqref="A1036:A1037">
    <cfRule type="duplicateValues" priority="11" aboveAverage="0" equalAverage="0" bottom="0" percent="0" rank="0" text="" dxfId="21"/>
  </conditionalFormatting>
  <conditionalFormatting sqref="D1035">
    <cfRule type="expression" priority="12" aboveAverage="0" equalAverage="0" bottom="0" percent="0" rank="0" text="" dxfId="20">
      <formula>#ref!=$E$5</formula>
    </cfRule>
  </conditionalFormatting>
  <conditionalFormatting sqref="A1034">
    <cfRule type="duplicateValues" priority="13" aboveAverage="0" equalAverage="0" bottom="0" percent="0" rank="0" text="" dxfId="21"/>
  </conditionalFormatting>
  <conditionalFormatting sqref="D1034">
    <cfRule type="cellIs" priority="14" operator="equal" aboveAverage="0" equalAverage="0" bottom="0" percent="0" rank="0" text="" dxfId="19">
      <formula>"F"</formula>
    </cfRule>
    <cfRule type="expression" priority="15" aboveAverage="0" equalAverage="0" bottom="0" percent="0" rank="0" text="" dxfId="20">
      <formula>#ref!=$E$5</formula>
    </cfRule>
  </conditionalFormatting>
  <conditionalFormatting sqref="D1034:D1035 F1034">
    <cfRule type="expression" priority="16" aboveAverage="0" equalAverage="0" bottom="0" percent="0" rank="0" text="" dxfId="20">
      <formula>$F1034=$E$5</formula>
    </cfRule>
  </conditionalFormatting>
  <conditionalFormatting sqref="D1029:D1030">
    <cfRule type="cellIs" priority="17" operator="equal" aboveAverage="0" equalAverage="0" bottom="0" percent="0" rank="0" text="" dxfId="19">
      <formula>"F"</formula>
    </cfRule>
    <cfRule type="expression" priority="18" aboveAverage="0" equalAverage="0" bottom="0" percent="0" rank="0" text="" dxfId="20">
      <formula>#ref!=#ref!</formula>
    </cfRule>
  </conditionalFormatting>
  <conditionalFormatting sqref="D1022:D1028">
    <cfRule type="cellIs" priority="19" operator="equal" aboveAverage="0" equalAverage="0" bottom="0" percent="0" rank="0" text="" dxfId="19">
      <formula>"F"</formula>
    </cfRule>
    <cfRule type="expression" priority="20" aboveAverage="0" equalAverage="0" bottom="0" percent="0" rank="0" text="" dxfId="20">
      <formula>#ref!=#ref!</formula>
    </cfRule>
  </conditionalFormatting>
  <conditionalFormatting sqref="D1016:D1020">
    <cfRule type="cellIs" priority="21" operator="equal" aboveAverage="0" equalAverage="0" bottom="0" percent="0" rank="0" text="" dxfId="19">
      <formula>"F"</formula>
    </cfRule>
    <cfRule type="expression" priority="22" aboveAverage="0" equalAverage="0" bottom="0" percent="0" rank="0" text="" dxfId="20">
      <formula>#ref!=#ref!</formula>
    </cfRule>
  </conditionalFormatting>
  <conditionalFormatting sqref="D1011:D1014">
    <cfRule type="cellIs" priority="23" operator="equal" aboveAverage="0" equalAverage="0" bottom="0" percent="0" rank="0" text="" dxfId="19">
      <formula>"F"</formula>
    </cfRule>
    <cfRule type="expression" priority="24" aboveAverage="0" equalAverage="0" bottom="0" percent="0" rank="0" text="" dxfId="20">
      <formula>#ref!=#ref!</formula>
    </cfRule>
  </conditionalFormatting>
  <conditionalFormatting sqref="D1021">
    <cfRule type="cellIs" priority="25" operator="equal" aboveAverage="0" equalAverage="0" bottom="0" percent="0" rank="0" text="" dxfId="19">
      <formula>"F"</formula>
    </cfRule>
    <cfRule type="expression" priority="26" aboveAverage="0" equalAverage="0" bottom="0" percent="0" rank="0" text="" dxfId="20">
      <formula>#ref!=#ref!</formula>
    </cfRule>
  </conditionalFormatting>
  <conditionalFormatting sqref="D1015">
    <cfRule type="cellIs" priority="27" operator="equal" aboveAverage="0" equalAverage="0" bottom="0" percent="0" rank="0" text="" dxfId="19">
      <formula>"F"</formula>
    </cfRule>
    <cfRule type="expression" priority="28" aboveAverage="0" equalAverage="0" bottom="0" percent="0" rank="0" text="" dxfId="20">
      <formula>#ref!=#ref!</formula>
    </cfRule>
  </conditionalFormatting>
  <conditionalFormatting sqref="D1010">
    <cfRule type="cellIs" priority="29" operator="equal" aboveAverage="0" equalAverage="0" bottom="0" percent="0" rank="0" text="" dxfId="19">
      <formula>"F"</formula>
    </cfRule>
    <cfRule type="expression" priority="30" aboveAverage="0" equalAverage="0" bottom="0" percent="0" rank="0" text="" dxfId="20">
      <formula>#ref!=#ref!</formula>
    </cfRule>
  </conditionalFormatting>
  <conditionalFormatting sqref="D1002:D1005">
    <cfRule type="cellIs" priority="31" operator="equal" aboveAverage="0" equalAverage="0" bottom="0" percent="0" rank="0" text="" dxfId="19">
      <formula>"F"</formula>
    </cfRule>
    <cfRule type="expression" priority="32" aboveAverage="0" equalAverage="0" bottom="0" percent="0" rank="0" text="" dxfId="20">
      <formula>#ref!=#ref!</formula>
    </cfRule>
  </conditionalFormatting>
  <conditionalFormatting sqref="D987:D988">
    <cfRule type="cellIs" priority="33" operator="equal" aboveAverage="0" equalAverage="0" bottom="0" percent="0" rank="0" text="" dxfId="19">
      <formula>"F"</formula>
    </cfRule>
    <cfRule type="expression" priority="34" aboveAverage="0" equalAverage="0" bottom="0" percent="0" rank="0" text="" dxfId="20">
      <formula>#ref!=#ref!</formula>
    </cfRule>
  </conditionalFormatting>
  <conditionalFormatting sqref="D983:D984">
    <cfRule type="cellIs" priority="35" operator="equal" aboveAverage="0" equalAverage="0" bottom="0" percent="0" rank="0" text="" dxfId="19">
      <formula>"F"</formula>
    </cfRule>
    <cfRule type="expression" priority="36" aboveAverage="0" equalAverage="0" bottom="0" percent="0" rank="0" text="" dxfId="20">
      <formula>#ref!=#ref!</formula>
    </cfRule>
  </conditionalFormatting>
  <conditionalFormatting sqref="D1006">
    <cfRule type="cellIs" priority="37" operator="equal" aboveAverage="0" equalAverage="0" bottom="0" percent="0" rank="0" text="" dxfId="19">
      <formula>"F"</formula>
    </cfRule>
    <cfRule type="expression" priority="38" aboveAverage="0" equalAverage="0" bottom="0" percent="0" rank="0" text="" dxfId="20">
      <formula>#ref!=#ref!</formula>
    </cfRule>
  </conditionalFormatting>
  <conditionalFormatting sqref="D1001">
    <cfRule type="cellIs" priority="39" operator="equal" aboveAverage="0" equalAverage="0" bottom="0" percent="0" rank="0" text="" dxfId="19">
      <formula>"F"</formula>
    </cfRule>
    <cfRule type="expression" priority="40" aboveAverage="0" equalAverage="0" bottom="0" percent="0" rank="0" text="" dxfId="20">
      <formula>#ref!=#ref!</formula>
    </cfRule>
  </conditionalFormatting>
  <conditionalFormatting sqref="D989">
    <cfRule type="cellIs" priority="41" operator="equal" aboveAverage="0" equalAverage="0" bottom="0" percent="0" rank="0" text="" dxfId="19">
      <formula>"F"</formula>
    </cfRule>
    <cfRule type="expression" priority="42" aboveAverage="0" equalAverage="0" bottom="0" percent="0" rank="0" text="" dxfId="20">
      <formula>#ref!=#ref!</formula>
    </cfRule>
  </conditionalFormatting>
  <conditionalFormatting sqref="D986">
    <cfRule type="cellIs" priority="43" operator="equal" aboveAverage="0" equalAverage="0" bottom="0" percent="0" rank="0" text="" dxfId="19">
      <formula>"F"</formula>
    </cfRule>
    <cfRule type="expression" priority="44" aboveAverage="0" equalAverage="0" bottom="0" percent="0" rank="0" text="" dxfId="20">
      <formula>#ref!=#ref!</formula>
    </cfRule>
  </conditionalFormatting>
  <conditionalFormatting sqref="D985">
    <cfRule type="cellIs" priority="45" operator="equal" aboveAverage="0" equalAverage="0" bottom="0" percent="0" rank="0" text="" dxfId="19">
      <formula>"F"</formula>
    </cfRule>
    <cfRule type="expression" priority="46" aboveAverage="0" equalAverage="0" bottom="0" percent="0" rank="0" text="" dxfId="20">
      <formula>#ref!=#ref!</formula>
    </cfRule>
  </conditionalFormatting>
  <conditionalFormatting sqref="D973:D977">
    <cfRule type="cellIs" priority="47" operator="equal" aboveAverage="0" equalAverage="0" bottom="0" percent="0" rank="0" text="" dxfId="19">
      <formula>"F"</formula>
    </cfRule>
    <cfRule type="expression" priority="48" aboveAverage="0" equalAverage="0" bottom="0" percent="0" rank="0" text="" dxfId="20">
      <formula>#ref!=#ref!</formula>
    </cfRule>
  </conditionalFormatting>
  <conditionalFormatting sqref="D964:D965">
    <cfRule type="cellIs" priority="49" operator="equal" aboveAverage="0" equalAverage="0" bottom="0" percent="0" rank="0" text="" dxfId="19">
      <formula>"F"</formula>
    </cfRule>
    <cfRule type="expression" priority="50" aboveAverage="0" equalAverage="0" bottom="0" percent="0" rank="0" text="" dxfId="20">
      <formula>#ref!=#ref!</formula>
    </cfRule>
  </conditionalFormatting>
  <conditionalFormatting sqref="D978">
    <cfRule type="cellIs" priority="51" operator="equal" aboveAverage="0" equalAverage="0" bottom="0" percent="0" rank="0" text="" dxfId="19">
      <formula>"F"</formula>
    </cfRule>
    <cfRule type="expression" priority="52" aboveAverage="0" equalAverage="0" bottom="0" percent="0" rank="0" text="" dxfId="20">
      <formula>#ref!=#ref!</formula>
    </cfRule>
  </conditionalFormatting>
  <conditionalFormatting sqref="D972">
    <cfRule type="cellIs" priority="53" operator="equal" aboveAverage="0" equalAverage="0" bottom="0" percent="0" rank="0" text="" dxfId="19">
      <formula>"F"</formula>
    </cfRule>
    <cfRule type="expression" priority="54" aboveAverage="0" equalAverage="0" bottom="0" percent="0" rank="0" text="" dxfId="20">
      <formula>#ref!=#ref!</formula>
    </cfRule>
  </conditionalFormatting>
  <conditionalFormatting sqref="D966">
    <cfRule type="cellIs" priority="55" operator="equal" aboveAverage="0" equalAverage="0" bottom="0" percent="0" rank="0" text="" dxfId="19">
      <formula>"F"</formula>
    </cfRule>
    <cfRule type="expression" priority="56" aboveAverage="0" equalAverage="0" bottom="0" percent="0" rank="0" text="" dxfId="20">
      <formula>#ref!=#ref!</formula>
    </cfRule>
  </conditionalFormatting>
  <conditionalFormatting sqref="D961:D962">
    <cfRule type="cellIs" priority="57" operator="equal" aboveAverage="0" equalAverage="0" bottom="0" percent="0" rank="0" text="" dxfId="19">
      <formula>"F"</formula>
    </cfRule>
    <cfRule type="expression" priority="58" aboveAverage="0" equalAverage="0" bottom="0" percent="0" rank="0" text="" dxfId="20">
      <formula>#ref!=#ref!</formula>
    </cfRule>
  </conditionalFormatting>
  <conditionalFormatting sqref="D958:D959">
    <cfRule type="cellIs" priority="59" operator="equal" aboveAverage="0" equalAverage="0" bottom="0" percent="0" rank="0" text="" dxfId="19">
      <formula>"F"</formula>
    </cfRule>
    <cfRule type="expression" priority="60" aboveAverage="0" equalAverage="0" bottom="0" percent="0" rank="0" text="" dxfId="20">
      <formula>#ref!=#ref!</formula>
    </cfRule>
  </conditionalFormatting>
  <conditionalFormatting sqref="D933:D939">
    <cfRule type="cellIs" priority="61" operator="equal" aboveAverage="0" equalAverage="0" bottom="0" percent="0" rank="0" text="" dxfId="19">
      <formula>"F"</formula>
    </cfRule>
    <cfRule type="expression" priority="62" aboveAverage="0" equalAverage="0" bottom="0" percent="0" rank="0" text="" dxfId="20">
      <formula>#ref!=#ref!</formula>
    </cfRule>
  </conditionalFormatting>
  <conditionalFormatting sqref="D963">
    <cfRule type="cellIs" priority="63" operator="equal" aboveAverage="0" equalAverage="0" bottom="0" percent="0" rank="0" text="" dxfId="19">
      <formula>"F"</formula>
    </cfRule>
    <cfRule type="expression" priority="64" aboveAverage="0" equalAverage="0" bottom="0" percent="0" rank="0" text="" dxfId="20">
      <formula>#ref!=#ref!</formula>
    </cfRule>
  </conditionalFormatting>
  <conditionalFormatting sqref="D960">
    <cfRule type="cellIs" priority="65" operator="equal" aboveAverage="0" equalAverage="0" bottom="0" percent="0" rank="0" text="" dxfId="19">
      <formula>"F"</formula>
    </cfRule>
    <cfRule type="expression" priority="66" aboveAverage="0" equalAverage="0" bottom="0" percent="0" rank="0" text="" dxfId="20">
      <formula>#ref!=#ref!</formula>
    </cfRule>
  </conditionalFormatting>
  <conditionalFormatting sqref="D957">
    <cfRule type="cellIs" priority="67" operator="equal" aboveAverage="0" equalAverage="0" bottom="0" percent="0" rank="0" text="" dxfId="19">
      <formula>"F"</formula>
    </cfRule>
    <cfRule type="expression" priority="68" aboveAverage="0" equalAverage="0" bottom="0" percent="0" rank="0" text="" dxfId="20">
      <formula>#ref!=#ref!</formula>
    </cfRule>
  </conditionalFormatting>
  <conditionalFormatting sqref="D940">
    <cfRule type="cellIs" priority="69" operator="equal" aboveAverage="0" equalAverage="0" bottom="0" percent="0" rank="0" text="" dxfId="19">
      <formula>"F"</formula>
    </cfRule>
    <cfRule type="expression" priority="70" aboveAverage="0" equalAverage="0" bottom="0" percent="0" rank="0" text="" dxfId="20">
      <formula>#ref!=#ref!</formula>
    </cfRule>
  </conditionalFormatting>
  <conditionalFormatting sqref="D932">
    <cfRule type="cellIs" priority="71" operator="equal" aboveAverage="0" equalAverage="0" bottom="0" percent="0" rank="0" text="" dxfId="19">
      <formula>"F"</formula>
    </cfRule>
    <cfRule type="expression" priority="72" aboveAverage="0" equalAverage="0" bottom="0" percent="0" rank="0" text="" dxfId="20">
      <formula>#ref!=#ref!</formula>
    </cfRule>
  </conditionalFormatting>
  <conditionalFormatting sqref="D928:D931">
    <cfRule type="cellIs" priority="73" operator="equal" aboveAverage="0" equalAverage="0" bottom="0" percent="0" rank="0" text="" dxfId="19">
      <formula>"F"</formula>
    </cfRule>
    <cfRule type="expression" priority="74" aboveAverage="0" equalAverage="0" bottom="0" percent="0" rank="0" text="" dxfId="20">
      <formula>#ref!=#ref!</formula>
    </cfRule>
  </conditionalFormatting>
  <conditionalFormatting sqref="D920">
    <cfRule type="cellIs" priority="75" operator="equal" aboveAverage="0" equalAverage="0" bottom="0" percent="0" rank="0" text="" dxfId="19">
      <formula>"F"</formula>
    </cfRule>
    <cfRule type="expression" priority="76" aboveAverage="0" equalAverage="0" bottom="0" percent="0" rank="0" text="" dxfId="20">
      <formula>#ref!=#ref!</formula>
    </cfRule>
  </conditionalFormatting>
  <conditionalFormatting sqref="D919">
    <cfRule type="cellIs" priority="77" operator="equal" aboveAverage="0" equalAverage="0" bottom="0" percent="0" rank="0" text="" dxfId="19">
      <formula>"F"</formula>
    </cfRule>
    <cfRule type="expression" priority="78" aboveAverage="0" equalAverage="0" bottom="0" percent="0" rank="0" text="" dxfId="20">
      <formula>#ref!=#ref!</formula>
    </cfRule>
  </conditionalFormatting>
  <conditionalFormatting sqref="D918">
    <cfRule type="cellIs" priority="79" operator="equal" aboveAverage="0" equalAverage="0" bottom="0" percent="0" rank="0" text="" dxfId="19">
      <formula>"F"</formula>
    </cfRule>
    <cfRule type="expression" priority="80" aboveAverage="0" equalAverage="0" bottom="0" percent="0" rank="0" text="" dxfId="20">
      <formula>#ref!=#ref!</formula>
    </cfRule>
  </conditionalFormatting>
  <conditionalFormatting sqref="D917">
    <cfRule type="cellIs" priority="81" operator="equal" aboveAverage="0" equalAverage="0" bottom="0" percent="0" rank="0" text="" dxfId="19">
      <formula>"F"</formula>
    </cfRule>
    <cfRule type="expression" priority="82" aboveAverage="0" equalAverage="0" bottom="0" percent="0" rank="0" text="" dxfId="20">
      <formula>#ref!=#ref!</formula>
    </cfRule>
  </conditionalFormatting>
  <conditionalFormatting sqref="D922:D926">
    <cfRule type="cellIs" priority="83" operator="equal" aboveAverage="0" equalAverage="0" bottom="0" percent="0" rank="0" text="" dxfId="19">
      <formula>"F"</formula>
    </cfRule>
    <cfRule type="expression" priority="84" aboveAverage="0" equalAverage="0" bottom="0" percent="0" rank="0" text="" dxfId="20">
      <formula>#ref!=#ref!</formula>
    </cfRule>
  </conditionalFormatting>
  <conditionalFormatting sqref="D927">
    <cfRule type="cellIs" priority="85" operator="equal" aboveAverage="0" equalAverage="0" bottom="0" percent="0" rank="0" text="" dxfId="19">
      <formula>"F"</formula>
    </cfRule>
    <cfRule type="expression" priority="86" aboveAverage="0" equalAverage="0" bottom="0" percent="0" rank="0" text="" dxfId="20">
      <formula>#ref!=#ref!</formula>
    </cfRule>
  </conditionalFormatting>
  <conditionalFormatting sqref="D921">
    <cfRule type="cellIs" priority="87" operator="equal" aboveAverage="0" equalAverage="0" bottom="0" percent="0" rank="0" text="" dxfId="19">
      <formula>"F"</formula>
    </cfRule>
    <cfRule type="expression" priority="88" aboveAverage="0" equalAverage="0" bottom="0" percent="0" rank="0" text="" dxfId="20">
      <formula>#ref!=#ref!</formula>
    </cfRule>
  </conditionalFormatting>
  <conditionalFormatting sqref="D899">
    <cfRule type="cellIs" priority="89" operator="equal" aboveAverage="0" equalAverage="0" bottom="0" percent="0" rank="0" text="" dxfId="19">
      <formula>"F"</formula>
    </cfRule>
    <cfRule type="expression" priority="90" aboveAverage="0" equalAverage="0" bottom="0" percent="0" rank="0" text="" dxfId="20">
      <formula>#ref!=#ref!</formula>
    </cfRule>
  </conditionalFormatting>
  <conditionalFormatting sqref="D898">
    <cfRule type="cellIs" priority="91" operator="equal" aboveAverage="0" equalAverage="0" bottom="0" percent="0" rank="0" text="" dxfId="19">
      <formula>"F"</formula>
    </cfRule>
    <cfRule type="expression" priority="92" aboveAverage="0" equalAverage="0" bottom="0" percent="0" rank="0" text="" dxfId="20">
      <formula>#ref!=#ref!</formula>
    </cfRule>
  </conditionalFormatting>
  <conditionalFormatting sqref="D889">
    <cfRule type="cellIs" priority="93" operator="equal" aboveAverage="0" equalAverage="0" bottom="0" percent="0" rank="0" text="" dxfId="19">
      <formula>"F"</formula>
    </cfRule>
    <cfRule type="expression" priority="94" aboveAverage="0" equalAverage="0" bottom="0" percent="0" rank="0" text="" dxfId="20">
      <formula>#ref!=#ref!</formula>
    </cfRule>
  </conditionalFormatting>
  <conditionalFormatting sqref="D893">
    <cfRule type="cellIs" priority="95" operator="equal" aboveAverage="0" equalAverage="0" bottom="0" percent="0" rank="0" text="" dxfId="19">
      <formula>"F"</formula>
    </cfRule>
    <cfRule type="expression" priority="96" aboveAverage="0" equalAverage="0" bottom="0" percent="0" rank="0" text="" dxfId="20">
      <formula>#ref!=#ref!</formula>
    </cfRule>
  </conditionalFormatting>
  <conditionalFormatting sqref="D895">
    <cfRule type="cellIs" priority="97" operator="equal" aboveAverage="0" equalAverage="0" bottom="0" percent="0" rank="0" text="" dxfId="19">
      <formula>"F"</formula>
    </cfRule>
    <cfRule type="expression" priority="98" aboveAverage="0" equalAverage="0" bottom="0" percent="0" rank="0" text="" dxfId="20">
      <formula>#ref!=#ref!</formula>
    </cfRule>
  </conditionalFormatting>
  <conditionalFormatting sqref="D897">
    <cfRule type="cellIs" priority="99" operator="equal" aboveAverage="0" equalAverage="0" bottom="0" percent="0" rank="0" text="" dxfId="19">
      <formula>"F"</formula>
    </cfRule>
    <cfRule type="expression" priority="100" aboveAverage="0" equalAverage="0" bottom="0" percent="0" rank="0" text="" dxfId="20">
      <formula>#ref!=#ref!</formula>
    </cfRule>
  </conditionalFormatting>
  <conditionalFormatting sqref="D896">
    <cfRule type="cellIs" priority="101" operator="equal" aboveAverage="0" equalAverage="0" bottom="0" percent="0" rank="0" text="" dxfId="19">
      <formula>"F"</formula>
    </cfRule>
    <cfRule type="expression" priority="102" aboveAverage="0" equalAverage="0" bottom="0" percent="0" rank="0" text="" dxfId="20">
      <formula>#ref!=#ref!</formula>
    </cfRule>
  </conditionalFormatting>
  <conditionalFormatting sqref="D894">
    <cfRule type="cellIs" priority="103" operator="equal" aboveAverage="0" equalAverage="0" bottom="0" percent="0" rank="0" text="" dxfId="19">
      <formula>"F"</formula>
    </cfRule>
    <cfRule type="expression" priority="104" aboveAverage="0" equalAverage="0" bottom="0" percent="0" rank="0" text="" dxfId="20">
      <formula>#ref!=#ref!</formula>
    </cfRule>
  </conditionalFormatting>
  <conditionalFormatting sqref="D890:D892">
    <cfRule type="cellIs" priority="105" operator="equal" aboveAverage="0" equalAverage="0" bottom="0" percent="0" rank="0" text="" dxfId="19">
      <formula>"F"</formula>
    </cfRule>
    <cfRule type="expression" priority="106" aboveAverage="0" equalAverage="0" bottom="0" percent="0" rank="0" text="" dxfId="20">
      <formula>#ref!=#ref!</formula>
    </cfRule>
  </conditionalFormatting>
  <conditionalFormatting sqref="D772:D777">
    <cfRule type="expression" priority="107" aboveAverage="0" equalAverage="0" bottom="0" percent="0" rank="0" text="" dxfId="20">
      <formula>#ref!=#ref!</formula>
    </cfRule>
  </conditionalFormatting>
  <conditionalFormatting sqref="D821:D827">
    <cfRule type="expression" priority="108" aboveAverage="0" equalAverage="0" bottom="0" percent="0" rank="0" text="" dxfId="20">
      <formula>#ref!=#ref!</formula>
    </cfRule>
  </conditionalFormatting>
  <conditionalFormatting sqref="D779:D780">
    <cfRule type="expression" priority="109" aboveAverage="0" equalAverage="0" bottom="0" percent="0" rank="0" text="" dxfId="20">
      <formula>#ref!=#ref!</formula>
    </cfRule>
  </conditionalFormatting>
  <conditionalFormatting sqref="D758:D760">
    <cfRule type="expression" priority="110" aboveAverage="0" equalAverage="0" bottom="0" percent="0" rank="0" text="" dxfId="20">
      <formula>#ref!=#ref!</formula>
    </cfRule>
  </conditionalFormatting>
  <conditionalFormatting sqref="D845:D888">
    <cfRule type="cellIs" priority="111" operator="equal" aboveAverage="0" equalAverage="0" bottom="0" percent="0" rank="0" text="" dxfId="19">
      <formula>"F"</formula>
    </cfRule>
  </conditionalFormatting>
  <conditionalFormatting sqref="D854:D888">
    <cfRule type="expression" priority="112" aboveAverage="0" equalAverage="0" bottom="0" percent="0" rank="0" text="" dxfId="20">
      <formula>#ref!=#ref!</formula>
    </cfRule>
  </conditionalFormatting>
  <conditionalFormatting sqref="D796:D799">
    <cfRule type="expression" priority="113" aboveAverage="0" equalAverage="0" bottom="0" percent="0" rank="0" text="" dxfId="20">
      <formula>#ref!=#ref!</formula>
    </cfRule>
  </conditionalFormatting>
  <conditionalFormatting sqref="D630:D652">
    <cfRule type="expression" priority="114" aboveAverage="0" equalAverage="0" bottom="0" percent="0" rank="0" text="" dxfId="20">
      <formula>#ref!=#ref!</formula>
    </cfRule>
  </conditionalFormatting>
  <conditionalFormatting sqref="D801:D805">
    <cfRule type="expression" priority="115" aboveAverage="0" equalAverage="0" bottom="0" percent="0" rank="0" text="" dxfId="20">
      <formula>#ref!=#ref!</formula>
    </cfRule>
  </conditionalFormatting>
  <conditionalFormatting sqref="D848:D852">
    <cfRule type="expression" priority="116" aboveAverage="0" equalAverage="0" bottom="0" percent="0" rank="0" text="" dxfId="20">
      <formula>#ref!=#ref!</formula>
    </cfRule>
  </conditionalFormatting>
  <conditionalFormatting sqref="D829:D838">
    <cfRule type="expression" priority="117" aboveAverage="0" equalAverage="0" bottom="0" percent="0" rank="0" text="" dxfId="20">
      <formula>#ref!=#ref!</formula>
    </cfRule>
  </conditionalFormatting>
  <conditionalFormatting sqref="D819">
    <cfRule type="expression" priority="118" aboveAverage="0" equalAverage="0" bottom="0" percent="0" rank="0" text="" dxfId="20">
      <formula>#ref!=#ref!</formula>
    </cfRule>
  </conditionalFormatting>
  <conditionalFormatting sqref="D762:D770">
    <cfRule type="expression" priority="119" aboveAverage="0" equalAverage="0" bottom="0" percent="0" rank="0" text="" dxfId="20">
      <formula>#ref!=#ref!</formula>
    </cfRule>
  </conditionalFormatting>
  <conditionalFormatting sqref="D700:D707">
    <cfRule type="expression" priority="120" aboveAverage="0" equalAverage="0" bottom="0" percent="0" rank="0" text="" dxfId="20">
      <formula>#ref!=#ref!</formula>
    </cfRule>
  </conditionalFormatting>
  <conditionalFormatting sqref="D695:D698">
    <cfRule type="expression" priority="121" aboveAverage="0" equalAverage="0" bottom="0" percent="0" rank="0" text="" dxfId="20">
      <formula>#ref!=#ref!</formula>
    </cfRule>
  </conditionalFormatting>
  <conditionalFormatting sqref="D619:D622">
    <cfRule type="expression" priority="122" aboveAverage="0" equalAverage="0" bottom="0" percent="0" rank="0" text="" dxfId="20">
      <formula>#ref!=#ref!</formula>
    </cfRule>
  </conditionalFormatting>
  <conditionalFormatting sqref="D604:D607 D613 D625:D626 D664:D688 D722:D733 D746:D752 D783:D789 D791:D794 D809:D816 D840:D843 D900:D916 D941:D956 D967:D971 D979:D982 D990:D1000 D1007:D1009">
    <cfRule type="expression" priority="123" aboveAverage="0" equalAverage="0" bottom="0" percent="0" rank="0" text="" dxfId="20">
      <formula>#ref!=#ref!</formula>
    </cfRule>
  </conditionalFormatting>
  <conditionalFormatting sqref="D743:D744">
    <cfRule type="expression" priority="124" aboveAverage="0" equalAverage="0" bottom="0" percent="0" rank="0" text="" dxfId="20">
      <formula>#ref!=#ref!</formula>
    </cfRule>
  </conditionalFormatting>
  <conditionalFormatting sqref="D736:D741">
    <cfRule type="expression" priority="125" aboveAverage="0" equalAverage="0" bottom="0" percent="0" rank="0" text="" dxfId="20">
      <formula>#ref!=#ref!</formula>
    </cfRule>
  </conditionalFormatting>
  <conditionalFormatting sqref="D719:D720">
    <cfRule type="expression" priority="126" aboveAverage="0" equalAverage="0" bottom="0" percent="0" rank="0" text="" dxfId="20">
      <formula>#ref!=#ref!</formula>
    </cfRule>
  </conditionalFormatting>
  <conditionalFormatting sqref="D710:D717">
    <cfRule type="expression" priority="127" aboveAverage="0" equalAverage="0" bottom="0" percent="0" rank="0" text="" dxfId="20">
      <formula>#ref!=#ref!</formula>
    </cfRule>
  </conditionalFormatting>
  <conditionalFormatting sqref="D689:D691">
    <cfRule type="expression" priority="128" aboveAverage="0" equalAverage="0" bottom="0" percent="0" rank="0" text="" dxfId="20">
      <formula>#ref!=#ref!</formula>
    </cfRule>
  </conditionalFormatting>
  <conditionalFormatting sqref="D609">
    <cfRule type="expression" priority="129" aboveAverage="0" equalAverage="0" bottom="0" percent="0" rank="0" text="" dxfId="20">
      <formula>#ref!=#ref!</formula>
    </cfRule>
  </conditionalFormatting>
  <conditionalFormatting sqref="D845">
    <cfRule type="expression" priority="130" aboveAverage="0" equalAverage="0" bottom="0" percent="0" rank="0" text="" dxfId="20">
      <formula>#ref!=#ref!</formula>
    </cfRule>
  </conditionalFormatting>
  <conditionalFormatting sqref="D846">
    <cfRule type="expression" priority="131" aboveAverage="0" equalAverage="0" bottom="0" percent="0" rank="0" text="" dxfId="20">
      <formula>#ref!=#ref!</formula>
    </cfRule>
  </conditionalFormatting>
  <conditionalFormatting sqref="D754:D756">
    <cfRule type="expression" priority="132" aboveAverage="0" equalAverage="0" bottom="0" percent="0" rank="0" text="" dxfId="20">
      <formula>#ref!=#ref!</formula>
    </cfRule>
  </conditionalFormatting>
  <conditionalFormatting sqref="D608 D610:D612 D614 D616:D618 D623:D624 D627 D629 D653:D663 D692:D694 D699 D708:D709 D718 D721 D734:D735 D742 D745 D753 D757 D761 D771 D778 D781:D782 D790 D795 D800 D806 D808 D817:D818 D820 D828 D839 D847 D853">
    <cfRule type="expression" priority="133" aboveAverage="0" equalAverage="0" bottom="0" percent="0" rank="0" text="" dxfId="20">
      <formula>#ref!=#ref!</formula>
    </cfRule>
  </conditionalFormatting>
  <conditionalFormatting sqref="D615">
    <cfRule type="expression" priority="134" aboveAverage="0" equalAverage="0" bottom="0" percent="0" rank="0" text="" dxfId="20">
      <formula>#ref!=#ref!</formula>
    </cfRule>
  </conditionalFormatting>
  <conditionalFormatting sqref="D807">
    <cfRule type="expression" priority="135" aboveAverage="0" equalAverage="0" bottom="0" percent="0" rank="0" text="" dxfId="20">
      <formula>#ref!=#ref!</formula>
    </cfRule>
  </conditionalFormatting>
  <conditionalFormatting sqref="D628">
    <cfRule type="expression" priority="136" aboveAverage="0" equalAverage="0" bottom="0" percent="0" rank="0" text="" dxfId="20">
      <formula>#ref!=#ref!</formula>
    </cfRule>
  </conditionalFormatting>
  <conditionalFormatting sqref="E593:E594">
    <cfRule type="cellIs" priority="137" operator="equal" aboveAverage="0" equalAverage="0" bottom="0" percent="0" rank="0" text="" dxfId="22">
      <formula>0</formula>
    </cfRule>
    <cfRule type="cellIs" priority="138" operator="equal" aboveAverage="0" equalAverage="0" bottom="0" percent="0" rank="0" text="" dxfId="22">
      <formula>""" """</formula>
    </cfRule>
    <cfRule type="containsText" priority="139" operator="containsText" aboveAverage="0" equalAverage="0" bottom="0" percent="0" rank="0" text=" " dxfId="23">
      <formula>NOT(ISERROR(SEARCH(" ",E593)))</formula>
    </cfRule>
    <cfRule type="cellIs" priority="140" operator="equal" aboveAverage="0" equalAverage="0" bottom="0" percent="0" rank="0" text="" dxfId="22">
      <formula>""" """</formula>
    </cfRule>
  </conditionalFormatting>
  <conditionalFormatting sqref="G574">
    <cfRule type="cellIs" priority="141" operator="equal" aboveAverage="0" equalAverage="0" bottom="0" percent="0" rank="0" text="" dxfId="24">
      <formula>"LV"</formula>
    </cfRule>
  </conditionalFormatting>
  <conditionalFormatting sqref="G574:G603">
    <cfRule type="cellIs" priority="142" operator="equal" aboveAverage="0" equalAverage="0" bottom="0" percent="0" rank="0" text="" dxfId="25">
      <formula>"NL"</formula>
    </cfRule>
  </conditionalFormatting>
  <conditionalFormatting sqref="G575:G603">
    <cfRule type="cellIs" priority="143" operator="equal" aboveAverage="0" equalAverage="0" bottom="0" percent="0" rank="0" text="" dxfId="24">
      <formula>"LL"</formula>
    </cfRule>
  </conditionalFormatting>
  <conditionalFormatting sqref="B1:B162 B165:B573 B1038:B1048576">
    <cfRule type="duplicateValues" priority="144" aboveAverage="0" equalAverage="0" bottom="0" percent="0" rank="0" text="" dxfId="16"/>
  </conditionalFormatting>
  <conditionalFormatting sqref="A1:A573 A1038:A1048576">
    <cfRule type="duplicateValues" priority="145" aboveAverage="0" equalAverage="0" bottom="0" percent="0" rank="0" text="" dxfId="16"/>
  </conditionalFormatting>
  <conditionalFormatting sqref="D479 D488">
    <cfRule type="cellIs" priority="146" operator="equal" aboveAverage="0" equalAverage="0" bottom="0" percent="0" rank="0" text="" dxfId="19">
      <formula>"F"</formula>
    </cfRule>
  </conditionalFormatting>
  <conditionalFormatting sqref="B471:B476 B478:B492 B494:B515 B517:B529 B532 B534:B536 B538:B540 B542 B544:B550 B553:B555 B557:B562 B565:B568 B570:B572">
    <cfRule type="duplicateValues" priority="147" aboveAverage="0" equalAverage="0" bottom="0" percent="0" rank="0" text="" dxfId="17"/>
  </conditionalFormatting>
  <conditionalFormatting sqref="D491 D495 D501:D502 D509 D512 D521:D522 D528 D539 D542 D549 D551 D560 D562 D564:D565 D567:D568 D570:D571">
    <cfRule type="cellIs" priority="148" operator="equal" aboveAverage="0" equalAverage="0" bottom="0" percent="0" rank="0" text="" dxfId="19">
      <formula>"F"</formula>
    </cfRule>
    <cfRule type="expression" priority="149" aboveAverage="0" equalAverage="0" bottom="0" percent="0" rank="0" text="" dxfId="18">
      <formula>#ref!=#ref!</formula>
    </cfRule>
  </conditionalFormatting>
  <conditionalFormatting sqref="A461:A462">
    <cfRule type="duplicateValues" priority="150" aboveAverage="0" equalAverage="0" bottom="0" percent="0" rank="0" text="" dxfId="16"/>
    <cfRule type="duplicateValues" priority="151" aboveAverage="0" equalAverage="0" bottom="0" percent="0" rank="0" text="" dxfId="16"/>
  </conditionalFormatting>
  <conditionalFormatting sqref="D410">
    <cfRule type="expression" priority="152" aboveAverage="0" equalAverage="0" bottom="0" percent="0" rank="0" text="" dxfId="18">
      <formula>#ref!=#ref!</formula>
    </cfRule>
  </conditionalFormatting>
  <conditionalFormatting sqref="D367">
    <cfRule type="expression" priority="153" aboveAverage="0" equalAverage="0" bottom="0" percent="0" rank="0" text="" dxfId="18">
      <formula>#ref!=#ref!</formula>
    </cfRule>
  </conditionalFormatting>
  <conditionalFormatting sqref="D357">
    <cfRule type="expression" priority="154" aboveAverage="0" equalAverage="0" bottom="0" percent="0" rank="0" text="" dxfId="18">
      <formula>#ref!=#ref!</formula>
    </cfRule>
  </conditionalFormatting>
  <conditionalFormatting sqref="D335">
    <cfRule type="expression" priority="155" aboveAverage="0" equalAverage="0" bottom="0" percent="0" rank="0" text="" dxfId="18">
      <formula>#ref!=#ref!</formula>
    </cfRule>
  </conditionalFormatting>
  <conditionalFormatting sqref="D316:D334">
    <cfRule type="expression" priority="156" aboveAverage="0" equalAverage="0" bottom="0" percent="0" rank="0" text="" dxfId="18">
      <formula>#ref!=#ref!</formula>
    </cfRule>
  </conditionalFormatting>
  <conditionalFormatting sqref="B320:B334 B336:B356 B358:B366 B368:B409 B411:B460 B463">
    <cfRule type="duplicateValues" priority="157" aboveAverage="0" equalAverage="0" bottom="0" percent="0" rank="0" text="" dxfId="21"/>
  </conditionalFormatting>
  <conditionalFormatting sqref="A314:A315">
    <cfRule type="duplicateValues" priority="158" aboveAverage="0" equalAverage="0" bottom="0" percent="0" rank="0" text="" dxfId="26"/>
    <cfRule type="duplicateValues" priority="159" aboveAverage="0" equalAverage="0" bottom="0" percent="0" rank="0" text="" dxfId="16"/>
  </conditionalFormatting>
  <conditionalFormatting sqref="D314:D315">
    <cfRule type="expression" priority="160" aboveAverage="0" equalAverage="0" bottom="0" percent="0" rank="0" text="" dxfId="18">
      <formula>#ref!=#ref!</formula>
    </cfRule>
    <cfRule type="expression" priority="161" aboveAverage="0" equalAverage="0" bottom="0" percent="0" rank="0" text="" dxfId="18">
      <formula>#ref!=#ref!</formula>
    </cfRule>
  </conditionalFormatting>
  <conditionalFormatting sqref="D311:D315">
    <cfRule type="cellIs" priority="162" operator="equal" aboveAverage="0" equalAverage="0" bottom="0" percent="0" rank="0" text="" dxfId="19">
      <formula>"F"</formula>
    </cfRule>
  </conditionalFormatting>
  <conditionalFormatting sqref="A313">
    <cfRule type="duplicateValues" priority="163" aboveAverage="0" equalAverage="0" bottom="0" percent="0" rank="0" text="" dxfId="16"/>
  </conditionalFormatting>
  <conditionalFormatting sqref="D293">
    <cfRule type="expression" priority="164" aboveAverage="0" equalAverage="0" bottom="0" percent="0" rank="0" text="" dxfId="18">
      <formula>#ref!=#ref!</formula>
    </cfRule>
  </conditionalFormatting>
  <conditionalFormatting sqref="D232">
    <cfRule type="expression" priority="165" aboveAverage="0" equalAverage="0" bottom="0" percent="0" rank="0" text="" dxfId="18">
      <formula>#ref!=#ref!</formula>
    </cfRule>
  </conditionalFormatting>
  <conditionalFormatting sqref="D219">
    <cfRule type="expression" priority="166" aboveAverage="0" equalAverage="0" bottom="0" percent="0" rank="0" text="" dxfId="18">
      <formula>#ref!=#ref!</formula>
    </cfRule>
  </conditionalFormatting>
  <conditionalFormatting sqref="D180">
    <cfRule type="expression" priority="167" aboveAverage="0" equalAverage="0" bottom="0" percent="0" rank="0" text="" dxfId="18">
      <formula>#ref!=#ref!</formula>
    </cfRule>
  </conditionalFormatting>
  <conditionalFormatting sqref="D151">
    <cfRule type="cellIs" priority="168" operator="equal" aboveAverage="0" equalAverage="0" bottom="0" percent="0" rank="0" text="" dxfId="19">
      <formula>"F"</formula>
    </cfRule>
    <cfRule type="expression" priority="169" aboveAverage="0" equalAverage="0" bottom="0" percent="0" rank="0" text="" dxfId="18">
      <formula>#ref!=#ref!</formula>
    </cfRule>
  </conditionalFormatting>
  <conditionalFormatting sqref="D139">
    <cfRule type="cellIs" priority="170" operator="equal" aboveAverage="0" equalAverage="0" bottom="0" percent="0" rank="0" text="" dxfId="19">
      <formula>"F"</formula>
    </cfRule>
    <cfRule type="expression" priority="171" aboveAverage="0" equalAverage="0" bottom="0" percent="0" rank="0" text="" dxfId="18">
      <formula>#ref!=#ref!</formula>
    </cfRule>
  </conditionalFormatting>
  <conditionalFormatting sqref="D140:D150">
    <cfRule type="cellIs" priority="172" operator="equal" aboveAverage="0" equalAverage="0" bottom="0" percent="0" rank="0" text="" dxfId="19">
      <formula>"F"</formula>
    </cfRule>
  </conditionalFormatting>
  <conditionalFormatting sqref="D143">
    <cfRule type="expression" priority="173" aboveAverage="0" equalAverage="0" bottom="0" percent="0" rank="0" text="" dxfId="18">
      <formula>#ref!=#ref!</formula>
    </cfRule>
  </conditionalFormatting>
  <conditionalFormatting sqref="D2:D138 D152:D308 D316:D471 D574:D843 D900:D916 D941:D956 D967:D971 D979:D982 D990:D1000 D1007:D1009 D1035">
    <cfRule type="cellIs" priority="174" operator="equal" aboveAverage="0" equalAverage="0" bottom="0" percent="0" rank="0" text="" dxfId="19">
      <formula>"F"</formula>
    </cfRule>
  </conditionalFormatting>
  <conditionalFormatting sqref="D311">
    <cfRule type="expression" priority="175" aboveAverage="0" equalAverage="0" bottom="0" percent="0" rank="0" text="" dxfId="18">
      <formula>#ref!=#ref!</formula>
    </cfRule>
  </conditionalFormatting>
  <conditionalFormatting sqref="D312:D313">
    <cfRule type="expression" priority="176" aboveAverage="0" equalAverage="0" bottom="0" percent="0" rank="0" text="" dxfId="18">
      <formula>#ref!=#ref!</formula>
    </cfRule>
  </conditionalFormatting>
  <conditionalFormatting sqref="D111:D120 D122:D138 D140:D142 D144:D150 D181:D218 D220:D231 D233:D292 D294:D308 D336:D356 D358:D366 D368:D409 D411:D470">
    <cfRule type="expression" priority="177" aboveAverage="0" equalAverage="0" bottom="0" percent="0" rank="0" text="" dxfId="18">
      <formula>#ref!=#ref!</formula>
    </cfRule>
  </conditionalFormatting>
  <conditionalFormatting sqref="B311:D312">
    <cfRule type="expression" priority="178" aboveAverage="0" equalAverage="0" bottom="0" percent="0" rank="0" text="" dxfId="18">
      <formula>#ref!=#ref!</formula>
    </cfRule>
  </conditionalFormatting>
  <conditionalFormatting sqref="B116:B120 B122:B138 B140:B142 B144:B150 B152:B162 B165:B179 B181:B218 B220:B231 B233:B292 B294:B312">
    <cfRule type="duplicateValues" priority="179" aboveAverage="0" equalAverage="0" bottom="0" percent="0" rank="0" text="" dxfId="17"/>
  </conditionalFormatting>
  <conditionalFormatting sqref="A115">
    <cfRule type="duplicateValues" priority="180" aboveAverage="0" equalAverage="0" bottom="0" percent="0" rank="0" text="" dxfId="26"/>
    <cfRule type="duplicateValues" priority="181" aboveAverage="0" equalAverage="0" bottom="0" percent="0" rank="0" text="" dxfId="16"/>
  </conditionalFormatting>
  <conditionalFormatting sqref="B115">
    <cfRule type="duplicateValues" priority="182" aboveAverage="0" equalAverage="0" bottom="0" percent="0" rank="0" text="" dxfId="16"/>
    <cfRule type="duplicateValues" priority="183" aboveAverage="0" equalAverage="0" bottom="0" percent="0" rank="0" text="" dxfId="17"/>
  </conditionalFormatting>
  <conditionalFormatting sqref="B115:C115">
    <cfRule type="expression" priority="184" aboveAverage="0" equalAverage="0" bottom="0" percent="0" rank="0" text="" dxfId="18">
      <formula>#ref!=#ref!</formula>
    </cfRule>
  </conditionalFormatting>
  <conditionalFormatting sqref="D110">
    <cfRule type="expression" priority="185" aboveAverage="0" equalAverage="0" bottom="0" percent="0" rank="0" text="" dxfId="18">
      <formula>#ref!=#ref!</formula>
    </cfRule>
  </conditionalFormatting>
  <conditionalFormatting sqref="B110:C110">
    <cfRule type="expression" priority="186" aboveAverage="0" equalAverage="0" bottom="0" percent="0" rank="0" text="" dxfId="18">
      <formula>#ref!=#ref!</formula>
    </cfRule>
  </conditionalFormatting>
  <conditionalFormatting sqref="D58">
    <cfRule type="expression" priority="187" aboveAverage="0" equalAverage="0" bottom="0" percent="0" rank="0" text="" dxfId="18">
      <formula>#ref!=#ref!</formula>
    </cfRule>
  </conditionalFormatting>
  <conditionalFormatting sqref="B113:C114 B116:C117 D313">
    <cfRule type="expression" priority="188" aboveAverage="0" equalAverage="0" bottom="0" percent="0" rank="0" text="" dxfId="18">
      <formula>#ref!=#ref!</formula>
    </cfRule>
  </conditionalFormatting>
  <conditionalFormatting sqref="D2:D11 D13:D57 D59:D109 D152:D179">
    <cfRule type="expression" priority="189" aboveAverage="0" equalAverage="0" bottom="0" percent="0" rank="0" text="" dxfId="18">
      <formula>#ref!=#ref!</formula>
    </cfRule>
  </conditionalFormatting>
  <conditionalFormatting sqref="B2:B11 B13:B57 B59:B109 B111:B114">
    <cfRule type="duplicateValues" priority="190" aboveAverage="0" equalAverage="0" bottom="0" percent="0" rank="0" text="" dxfId="17"/>
  </conditionalFormatting>
  <conditionalFormatting sqref="B113:C117 B311:D312 B316:C316 B471:C472 D2:D11 D13:D57 D59:D109 D111:D120 D122:D138 D140:D142 D144:D150 D152:D179 D181:D218 D220:D231 D233:D292 D294:D308 D313:D334 D336:D356 D358:D366 D368:D409 D411:D470 D472:D478 D480:D487 D489:D573 E114:E115 E116:F117 E316:F316 E471:E472 F2:F57 F59:F109 F111:F115 F118:F138 F140:F142 F144:F150 F152:F179 F181:F292 F294:F315 F317:F334 F336:F356 F358:F478 F480 F482:F484 F486:F488 F490:F573">
    <cfRule type="expression" priority="191" aboveAverage="0" equalAverage="0" bottom="0" percent="0" rank="0" text="" dxfId="18">
      <formula>#ref!=#ref!</formula>
    </cfRule>
  </conditionalFormatting>
  <conditionalFormatting sqref="B110:D110 D58 D139 D143 D151 D180 D219 D232 D293 D335 D357 D367 D410 F58 F110 F139 F143 F151 F180 F293 F335 F357">
    <cfRule type="expression" priority="192" aboveAverage="0" equalAverage="0" bottom="0" percent="0" rank="0" text="" dxfId="18">
      <formula>#ref!=#ref!</formula>
    </cfRule>
  </conditionalFormatting>
  <conditionalFormatting sqref="D12 D471 D479 D488">
    <cfRule type="expression" priority="193" aboveAverage="0" equalAverage="0" bottom="0" percent="0" rank="0" text="" dxfId="18">
      <formula>#ref!=#ref!</formula>
    </cfRule>
    <cfRule type="expression" priority="194" aboveAverage="0" equalAverage="0" bottom="0" percent="0" rank="0" text="" dxfId="18">
      <formula>$F12=#ref!</formula>
    </cfRule>
  </conditionalFormatting>
  <conditionalFormatting sqref="D121">
    <cfRule type="expression" priority="195" aboveAverage="0" equalAverage="0" bottom="0" percent="0" rank="0" text="" dxfId="18">
      <formula>$F121=#ref!</formula>
    </cfRule>
    <cfRule type="expression" priority="196" aboveAverage="0" equalAverage="0" bottom="0" percent="0" rank="0" text="" dxfId="18">
      <formula>#ref!=#ref!</formula>
    </cfRule>
  </conditionalFormatting>
  <conditionalFormatting sqref="D574:D603">
    <cfRule type="expression" priority="197" aboveAverage="0" equalAverage="0" bottom="0" percent="0" rank="0" text="" dxfId="20">
      <formula>#ref!=#ref!</formula>
    </cfRule>
    <cfRule type="expression" priority="198" aboveAverage="0" equalAverage="0" bottom="0" percent="0" rank="0" text="" dxfId="20">
      <formula>$F574=#ref!</formula>
    </cfRule>
  </conditionalFormatting>
  <conditionalFormatting sqref="D604:D843 D845:D1030 F574:F695 F714:F825">
    <cfRule type="expression" priority="199" aboveAverage="0" equalAverage="0" bottom="0" percent="0" rank="0" text="" dxfId="20">
      <formula>$F484=#ref!</formula>
    </cfRule>
  </conditionalFormatting>
  <conditionalFormatting sqref="A316:A460 A463:A470">
    <cfRule type="duplicateValues" priority="200" aboveAverage="0" equalAverage="0" bottom="0" percent="0" rank="0" text="" dxfId="16"/>
    <cfRule type="duplicateValues" priority="201" aboveAverage="0" equalAverage="0" bottom="0" percent="0" rank="0" text="" dxfId="16"/>
  </conditionalFormatting>
  <conditionalFormatting sqref="B316:B334 B336:B356 B358:B366 B368:B409 B411:B460 B463:B470">
    <cfRule type="duplicateValues" priority="202" aboveAverage="0" equalAverage="0" bottom="0" percent="0" rank="0" text="" dxfId="17"/>
  </conditionalFormatting>
  <conditionalFormatting sqref="B316:B460 B463:B470">
    <cfRule type="duplicateValues" priority="203" aboveAverage="0" equalAverage="0" bottom="0" percent="0" rank="0" text="" dxfId="16"/>
  </conditionalFormatting>
  <conditionalFormatting sqref="A471:A572">
    <cfRule type="duplicateValues" priority="204" aboveAverage="0" equalAverage="0" bottom="0" percent="0" rank="0" text="" dxfId="16"/>
  </conditionalFormatting>
  <conditionalFormatting sqref="B471:B572">
    <cfRule type="duplicateValues" priority="205" aboveAverage="0" equalAverage="0" bottom="0" percent="0" rank="0" text="" dxfId="16"/>
    <cfRule type="duplicateValues" priority="206" aboveAverage="0" equalAverage="0" bottom="0" percent="0" rank="0" text="" dxfId="16"/>
  </conditionalFormatting>
  <conditionalFormatting sqref="A1035">
    <cfRule type="duplicateValues" priority="207" aboveAverage="0" equalAverage="0" bottom="0" percent="0" rank="0" text="" dxfId="21"/>
  </conditionalFormatting>
  <conditionalFormatting sqref="B9:B11 B13:B57 B59:B109">
    <cfRule type="duplicateValues" priority="208" aboveAverage="0" equalAverage="0" bottom="0" percent="0" rank="0" text="" dxfId="21"/>
  </conditionalFormatting>
  <conditionalFormatting sqref="A2:A114">
    <cfRule type="duplicateValues" priority="209" aboveAverage="0" equalAverage="0" bottom="0" percent="0" rank="0" text="" dxfId="16"/>
  </conditionalFormatting>
  <conditionalFormatting sqref="B2:B114">
    <cfRule type="duplicateValues" priority="210" aboveAverage="0" equalAverage="0" bottom="0" percent="0" rank="0" text="" dxfId="16"/>
  </conditionalFormatting>
  <conditionalFormatting sqref="A116:A312">
    <cfRule type="duplicateValues" priority="211" aboveAverage="0" equalAverage="0" bottom="0" percent="0" rank="0" text="" dxfId="16"/>
  </conditionalFormatting>
  <conditionalFormatting sqref="B116:B162 B165:B312">
    <cfRule type="duplicateValues" priority="212" aboveAverage="0" equalAverage="0" bottom="0" percent="0" rank="0" text="" dxfId="16"/>
  </conditionalFormatting>
  <conditionalFormatting sqref="A574:A1033">
    <cfRule type="duplicateValues" priority="213" aboveAverage="0" equalAverage="0" bottom="0" percent="0" rank="0" text="" dxfId="21"/>
  </conditionalFormatting>
  <dataValidations count="12">
    <dataValidation allowBlank="true" errorStyle="stop" operator="between" showDropDown="false" showErrorMessage="true" showInputMessage="true" sqref="D2:D11 D13:D57 D59:D65 D67:D93 D95:D109 D111:D120 D122:D133 D135 D138 D141:D142 D145 D148 D150 D152 D154:D155 C157 D158:D161 D172 D175:D176 D182:D188 D190 D192:D202 D205 D207 D209:D215 D217:D218 D221:D223 D225:D226 D233 D237 D246 D250:D251 D255 D261:D262 D264 D268 D271 D278:D279 D284 D288 D298:D301 D305 D307:D308 D311:D334 D336:D356 D358:D366 D368:D409 D411:D428 D430:D470 D472:D478 D480:D487 D489:D573 D1037" type="list">
      <formula1>"F,M"</formula1>
      <formula2>0</formula2>
    </dataValidation>
    <dataValidation allowBlank="true" errorStyle="stop" operator="between" showDropDown="false" showErrorMessage="true" showInputMessage="false" sqref="D12 D58 D110 D121 D134 D136:D137 D139:D140 D144 D157 D162:D171 D173:D174 D177:D181 D189 D191 D203:D204 D206 D208 D227 D229:D232 D236 D238:D239 D241:D242 D248 D252:D253 D258:D259 D266:D267 D272 D275 D277 D280 D282:D283 D287 D289:D295 D302:D304 D306 D335 D357 D367 D410 D471 D479 D488" type="list">
      <formula1>"F,M"</formula1>
      <formula2>0</formula2>
    </dataValidation>
    <dataValidation allowBlank="false" errorStyle="stop" operator="between" showDropDown="false" showErrorMessage="true" showInputMessage="true" sqref="F3 F117 F119 F132 F136 F144 F157 F169 F179 F189 F191 F203 F323:F327 F329:F330 F336 F346 F361:F364 F369 F371 F373 F380 F382 F384 F386:F388 F390 F398:F399 F402 F406 F408:F409 F411:F412 F417:F418 F425 F427 F429 F431 F434:F435" type="list">
      <formula1>"API,ASM,ASV,BUC,CAO,CC2,COS,COU,USBY,USP,VAU"</formula1>
      <formula2>0</formula2>
    </dataValidation>
    <dataValidation allowBlank="true" errorStyle="stop" operator="between" showDropDown="false" showErrorMessage="true" showInputMessage="false" sqref="F163 F166 F350 F352 F357:F359 F456:F457 F459 F464 F466" type="list">
      <formula1>"API,ASM,ASV,TTJ-BUC,CAO,CC2,COS,COU,JOUY,USBY,USP,VAU"</formula1>
      <formula2>0</formula2>
    </dataValidation>
    <dataValidation allowBlank="true" errorStyle="stop" operator="between" showDropDown="false" showErrorMessage="true" showInputMessage="false" sqref="F335" type="list">
      <formula1>"API,ASM,ASV,BUC,CAO,CC2,COS,COU,USBY,USP,VAU"</formula1>
      <formula2>0</formula2>
    </dataValidation>
    <dataValidation allowBlank="true" errorStyle="stop" operator="between" showDropDown="false" showErrorMessage="true" showInputMessage="true" sqref="D574:D843 D845:D1030 D1034:D1036" type="list">
      <formula1>"F,M"</formula1>
      <formula2>0</formula2>
    </dataValidation>
    <dataValidation allowBlank="true" errorStyle="stop" operator="between" showDropDown="false" showErrorMessage="true" showInputMessage="true" sqref="F2 F30 F39 F67" type="list">
      <formula1>#ref!</formula1>
      <formula2>0</formula2>
    </dataValidation>
    <dataValidation allowBlank="true" errorStyle="stop" operator="between" showDropDown="false" showErrorMessage="true" showInputMessage="false" sqref="F104 F158 F171 F206 F227 F229 F247 F258:F259 F267 F283 F289:F290 F292 F302 F304 F309:F310" type="list">
      <formula1>#ref!</formula1>
      <formula2>0</formula2>
    </dataValidation>
    <dataValidation allowBlank="false" errorStyle="stop" operator="between" showDropDown="false" showErrorMessage="true" showInputMessage="true" sqref="F4:F29 F31:F38 F40:F57 F59:F66 F68:F103 F105:F109 F111:F116 F118 F120:F131 F133:F135 F137:F138 F140:F142 F145:F150 F152:F156 F159:F162 F164:F165 F167:F168 F170 F172:F178 F181:F188 F190 F192:F202 F204:F205 F207:F226 F228 F230:F246 F248:F257 F260:F266 F268:F282 F284:F288 F291 F294:F301 F303 F305:F308 F311:F317 F321:F322 F328 F333 F338 F340:F341 F343 F345 F347 F351 F354 F366:F367 F379 F383 F385 F391 F397 F405 F410 F414 F420 F424 F432:F433 F442 F449 F454 F460 F470" type="list">
      <formula1>#ref!</formula1>
      <formula2>0</formula2>
    </dataValidation>
    <dataValidation allowBlank="false" errorStyle="stop" operator="between" showDropDown="false" showErrorMessage="true" showInputMessage="true" sqref="F318:F320 F331:F332 F334 F337 F339 F342 F344 F348:F349 F355 F368 F370 F372 F375:F378 F381 F389 F392 F394:F396 F400:F401 F403:F404 F407 F413 F415:F416 F419 F421:F423 F428 F430 F436 F440 F443 F445 F450:F453 F455 F461:F463 F465 F467:F469 F471:F478 F480 F482:F484 F486:F488 F490:F492 F494:F497 F499:F514 F516:F517 F519:F528 F532 F534:F536 F538:F539 F545:F550 F553:F555 F558:F560 F562 F565:F568 F570:F573" type="list">
      <formula1>#ref!</formula1>
      <formula2>0</formula2>
    </dataValidation>
    <dataValidation allowBlank="true" errorStyle="stop" operator="between" showDropDown="false" showErrorMessage="true" showInputMessage="false" sqref="F353 F356 F360 F365 F374 F393 F426 F438 F458 F493 F498 F515 F518 F529:F531 F533 F537 F540:F541 F543:F544 F551:F552 F556 F563:F564 F569" type="list">
      <formula1>#ref!</formula1>
      <formula2>0</formula2>
    </dataValidation>
    <dataValidation allowBlank="true" errorStyle="stop" operator="between" showDropDown="false" showErrorMessage="true" showInputMessage="true" sqref="F479 F481 F485 F489 F542 F557 F561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8" activePane="bottomRight" state="frozen"/>
      <selection pane="topLeft" activeCell="A1" activeCellId="0" sqref="A1"/>
      <selection pane="topRight" activeCell="G1" activeCellId="0" sqref="G1"/>
      <selection pane="bottomLeft" activeCell="A8" activeCellId="0" sqref="A8"/>
      <selection pane="bottomRight" activeCell="R18" activeCellId="0" sqref="R18"/>
    </sheetView>
  </sheetViews>
  <sheetFormatPr defaultColWidth="10.66796875" defaultRowHeight="12.75" customHeight="true" zeroHeight="false" outlineLevelRow="0" outlineLevelCol="0"/>
  <cols>
    <col collapsed="false" customWidth="true" hidden="false" outlineLevel="0" max="1" min="1" style="2" width="8.67"/>
    <col collapsed="false" customWidth="true" hidden="false" outlineLevel="0" max="2" min="2" style="2" width="25.51"/>
    <col collapsed="false" customWidth="true" hidden="false" outlineLevel="0" max="3" min="3" style="2" width="26.16"/>
    <col collapsed="false" customWidth="true" hidden="false" outlineLevel="0" max="4" min="4" style="1" width="6.51"/>
    <col collapsed="false" customWidth="true" hidden="false" outlineLevel="0" max="5" min="5" style="1" width="12.67"/>
    <col collapsed="false" customWidth="true" hidden="false" outlineLevel="0" max="6" min="6" style="1" width="11.33"/>
    <col collapsed="false" customWidth="true" hidden="false" outlineLevel="0" max="7" min="7" style="306" width="15.83"/>
    <col collapsed="false" customWidth="true" hidden="false" outlineLevel="0" max="8" min="8" style="2" width="4.33"/>
    <col collapsed="false" customWidth="true" hidden="false" outlineLevel="0" max="9" min="9" style="2" width="7.16"/>
    <col collapsed="false" customWidth="true" hidden="false" outlineLevel="0" max="10" min="10" style="2" width="3.5"/>
    <col collapsed="false" customWidth="true" hidden="false" outlineLevel="0" max="11" min="11" style="2" width="7.16"/>
    <col collapsed="false" customWidth="true" hidden="false" outlineLevel="0" max="12" min="12" style="2" width="3.5"/>
    <col collapsed="false" customWidth="true" hidden="false" outlineLevel="0" max="13" min="13" style="2" width="11.83"/>
    <col collapsed="false" customWidth="true" hidden="false" outlineLevel="0" max="14" min="14" style="2" width="3.5"/>
    <col collapsed="false" customWidth="true" hidden="false" outlineLevel="0" max="15" min="15" style="2" width="9.83"/>
    <col collapsed="false" customWidth="true" hidden="false" outlineLevel="0" max="16" min="16" style="2" width="9.33"/>
  </cols>
  <sheetData>
    <row r="1" customFormat="false" ht="17.25" hidden="false" customHeight="true" outlineLevel="0" collapsed="false">
      <c r="B1" s="307" t="s">
        <v>1328</v>
      </c>
      <c r="C1" s="308"/>
      <c r="D1" s="309"/>
      <c r="E1" s="309"/>
      <c r="F1" s="309"/>
      <c r="G1" s="310"/>
      <c r="Z1" s="311"/>
    </row>
    <row r="2" customFormat="false" ht="25.5" hidden="false" customHeight="true" outlineLevel="0" collapsed="false">
      <c r="Z2" s="311"/>
      <c r="AA2" s="311"/>
    </row>
    <row r="3" customFormat="false" ht="17.25" hidden="false" customHeight="true" outlineLevel="0" collapsed="false">
      <c r="B3" s="312" t="s">
        <v>1329</v>
      </c>
      <c r="C3" s="313"/>
      <c r="D3" s="314"/>
      <c r="E3" s="315"/>
      <c r="H3" s="316"/>
      <c r="I3" s="316"/>
      <c r="J3" s="316"/>
      <c r="K3" s="316"/>
      <c r="L3" s="316"/>
      <c r="M3" s="316"/>
      <c r="N3" s="316"/>
      <c r="O3" s="316"/>
      <c r="Z3" s="311"/>
      <c r="AA3" s="311"/>
    </row>
    <row r="4" customFormat="false" ht="12.75" hidden="false" customHeight="true" outlineLevel="0" collapsed="false">
      <c r="C4" s="1" t="s">
        <v>1330</v>
      </c>
      <c r="H4" s="317" t="s">
        <v>1331</v>
      </c>
      <c r="I4" s="317"/>
      <c r="J4" s="317" t="s">
        <v>1332</v>
      </c>
      <c r="K4" s="317"/>
      <c r="L4" s="317" t="s">
        <v>1333</v>
      </c>
      <c r="M4" s="317"/>
      <c r="N4" s="317" t="s">
        <v>1334</v>
      </c>
      <c r="O4" s="317"/>
      <c r="Z4" s="311"/>
      <c r="AA4" s="311"/>
    </row>
    <row r="5" customFormat="false" ht="12.75" hidden="false" customHeight="true" outlineLevel="0" collapsed="false">
      <c r="C5" s="318" t="s">
        <v>1335</v>
      </c>
      <c r="E5" s="319" t="s">
        <v>1336</v>
      </c>
      <c r="H5" s="320" t="n">
        <v>45991</v>
      </c>
      <c r="I5" s="320"/>
      <c r="J5" s="320" t="n">
        <v>46040</v>
      </c>
      <c r="K5" s="320"/>
      <c r="L5" s="320" t="n">
        <v>46103</v>
      </c>
      <c r="M5" s="320"/>
      <c r="N5" s="320" t="n">
        <v>46180</v>
      </c>
      <c r="O5" s="320"/>
      <c r="Z5" s="311"/>
      <c r="AA5" s="311"/>
    </row>
    <row r="6" customFormat="false" ht="12.75" hidden="false" customHeight="true" outlineLevel="0" collapsed="false">
      <c r="F6" s="321"/>
      <c r="G6" s="322"/>
      <c r="H6" s="323"/>
      <c r="I6" s="324"/>
      <c r="J6" s="323"/>
      <c r="K6" s="324"/>
      <c r="L6" s="323"/>
      <c r="M6" s="324"/>
      <c r="N6" s="323"/>
      <c r="O6" s="324"/>
      <c r="Z6" s="311"/>
      <c r="AA6" s="311"/>
    </row>
    <row r="7" customFormat="false" ht="12.75" hidden="false" customHeight="true" outlineLevel="0" collapsed="false">
      <c r="A7" s="325" t="s">
        <v>0</v>
      </c>
      <c r="B7" s="326" t="s">
        <v>1</v>
      </c>
      <c r="C7" s="326" t="s">
        <v>2</v>
      </c>
      <c r="D7" s="327" t="s">
        <v>3</v>
      </c>
      <c r="E7" s="327" t="s">
        <v>4</v>
      </c>
      <c r="F7" s="327" t="s">
        <v>5</v>
      </c>
      <c r="G7" s="328" t="s">
        <v>995</v>
      </c>
      <c r="H7" s="329" t="s">
        <v>1337</v>
      </c>
      <c r="I7" s="330" t="s">
        <v>1338</v>
      </c>
      <c r="J7" s="329" t="s">
        <v>1339</v>
      </c>
      <c r="K7" s="330" t="s">
        <v>1340</v>
      </c>
      <c r="L7" s="329" t="s">
        <v>1341</v>
      </c>
      <c r="M7" s="330" t="s">
        <v>1342</v>
      </c>
      <c r="N7" s="329" t="s">
        <v>1343</v>
      </c>
      <c r="O7" s="330" t="s">
        <v>1344</v>
      </c>
      <c r="P7" s="331" t="s">
        <v>1345</v>
      </c>
      <c r="Z7" s="311"/>
      <c r="AA7" s="311"/>
    </row>
    <row r="8" customFormat="false" ht="15" hidden="false" customHeight="true" outlineLevel="0" collapsed="false">
      <c r="A8" s="44" t="n">
        <v>1070</v>
      </c>
      <c r="B8" s="44" t="s">
        <v>32</v>
      </c>
      <c r="C8" s="44" t="s">
        <v>33</v>
      </c>
      <c r="D8" s="24" t="s">
        <v>26</v>
      </c>
      <c r="E8" s="45" t="n">
        <v>43191</v>
      </c>
      <c r="F8" s="332" t="s">
        <v>34</v>
      </c>
      <c r="G8" s="222" t="n">
        <v>500</v>
      </c>
      <c r="H8" s="333"/>
      <c r="I8" s="334"/>
      <c r="J8" s="333"/>
      <c r="K8" s="335"/>
      <c r="L8" s="333"/>
      <c r="M8" s="334"/>
      <c r="N8" s="333"/>
      <c r="O8" s="334"/>
      <c r="P8" s="336" t="n">
        <f aca="false">SUM(I8:O8)</f>
        <v>0</v>
      </c>
    </row>
    <row r="9" customFormat="false" ht="15" hidden="false" customHeight="true" outlineLevel="0" collapsed="false">
      <c r="A9" s="223" t="n">
        <v>1071</v>
      </c>
      <c r="B9" s="44" t="s">
        <v>32</v>
      </c>
      <c r="C9" s="44" t="s">
        <v>35</v>
      </c>
      <c r="D9" s="36" t="s">
        <v>8</v>
      </c>
      <c r="E9" s="45" t="n">
        <v>44075</v>
      </c>
      <c r="F9" s="332" t="s">
        <v>34</v>
      </c>
      <c r="G9" s="222" t="n">
        <v>500</v>
      </c>
      <c r="H9" s="337"/>
      <c r="I9" s="338"/>
      <c r="J9" s="337"/>
      <c r="K9" s="339"/>
      <c r="L9" s="337"/>
      <c r="M9" s="340"/>
      <c r="N9" s="337"/>
      <c r="O9" s="340"/>
      <c r="P9" s="341" t="n">
        <f aca="false">SUM(I9:O9)</f>
        <v>0</v>
      </c>
    </row>
    <row r="10" customFormat="false" ht="15" hidden="false" customHeight="true" outlineLevel="0" collapsed="false">
      <c r="A10" s="223" t="n">
        <v>1072</v>
      </c>
      <c r="B10" s="44" t="s">
        <v>42</v>
      </c>
      <c r="C10" s="44" t="s">
        <v>43</v>
      </c>
      <c r="D10" s="36" t="s">
        <v>8</v>
      </c>
      <c r="E10" s="45" t="n">
        <v>42775</v>
      </c>
      <c r="F10" s="332" t="s">
        <v>34</v>
      </c>
      <c r="G10" s="222" t="n">
        <v>500</v>
      </c>
      <c r="H10" s="333" t="s">
        <v>1346</v>
      </c>
      <c r="I10" s="342" t="n">
        <v>1</v>
      </c>
      <c r="J10" s="333" t="s">
        <v>1346</v>
      </c>
      <c r="K10" s="335"/>
      <c r="L10" s="333"/>
      <c r="M10" s="334"/>
      <c r="N10" s="333"/>
      <c r="O10" s="334"/>
      <c r="P10" s="336" t="n">
        <f aca="false">SUM(I10:O10)</f>
        <v>1</v>
      </c>
    </row>
    <row r="11" customFormat="false" ht="15" hidden="false" customHeight="true" outlineLevel="0" collapsed="false">
      <c r="A11" s="223" t="n">
        <v>1073</v>
      </c>
      <c r="B11" s="44" t="s">
        <v>77</v>
      </c>
      <c r="C11" s="44" t="s">
        <v>78</v>
      </c>
      <c r="D11" s="36" t="s">
        <v>8</v>
      </c>
      <c r="E11" s="45" t="n">
        <v>43245</v>
      </c>
      <c r="F11" s="332" t="s">
        <v>34</v>
      </c>
      <c r="G11" s="222" t="n">
        <v>500</v>
      </c>
      <c r="H11" s="343" t="s">
        <v>1346</v>
      </c>
      <c r="I11" s="334" t="n">
        <v>6</v>
      </c>
      <c r="J11" s="343" t="s">
        <v>1346</v>
      </c>
      <c r="K11" s="344"/>
      <c r="L11" s="343"/>
      <c r="M11" s="342"/>
      <c r="N11" s="343"/>
      <c r="O11" s="342"/>
      <c r="P11" s="345" t="n">
        <f aca="false">SUM(I11:O11)</f>
        <v>6</v>
      </c>
    </row>
    <row r="12" customFormat="false" ht="15" hidden="false" customHeight="true" outlineLevel="0" collapsed="false">
      <c r="A12" s="223" t="n">
        <v>1074</v>
      </c>
      <c r="B12" s="44" t="s">
        <v>306</v>
      </c>
      <c r="C12" s="44" t="s">
        <v>307</v>
      </c>
      <c r="D12" s="36" t="s">
        <v>8</v>
      </c>
      <c r="E12" s="45" t="n">
        <v>43176</v>
      </c>
      <c r="F12" s="332" t="s">
        <v>34</v>
      </c>
      <c r="G12" s="222" t="n">
        <v>500</v>
      </c>
      <c r="H12" s="343" t="s">
        <v>1346</v>
      </c>
      <c r="I12" s="334" t="n">
        <v>2</v>
      </c>
      <c r="J12" s="343" t="s">
        <v>1346</v>
      </c>
      <c r="K12" s="346"/>
      <c r="L12" s="343"/>
      <c r="M12" s="347"/>
      <c r="N12" s="343"/>
      <c r="O12" s="347"/>
      <c r="P12" s="348" t="n">
        <f aca="false">SUM(I12:O12)</f>
        <v>2</v>
      </c>
      <c r="Q12" s="295"/>
    </row>
    <row r="13" customFormat="false" ht="15" hidden="false" customHeight="true" outlineLevel="0" collapsed="false">
      <c r="A13" s="223" t="n">
        <v>1075</v>
      </c>
      <c r="B13" s="44" t="s">
        <v>412</v>
      </c>
      <c r="C13" s="44" t="s">
        <v>413</v>
      </c>
      <c r="D13" s="24" t="s">
        <v>26</v>
      </c>
      <c r="E13" s="45" t="n">
        <v>42845</v>
      </c>
      <c r="F13" s="332" t="s">
        <v>34</v>
      </c>
      <c r="G13" s="222" t="n">
        <v>500</v>
      </c>
      <c r="H13" s="333"/>
      <c r="I13" s="334"/>
      <c r="J13" s="333"/>
      <c r="K13" s="335"/>
      <c r="L13" s="333"/>
      <c r="M13" s="334"/>
      <c r="N13" s="333"/>
      <c r="O13" s="334"/>
      <c r="P13" s="336" t="n">
        <f aca="false">SUM(I13:O13)</f>
        <v>0</v>
      </c>
    </row>
    <row r="14" customFormat="false" ht="15" hidden="false" customHeight="true" outlineLevel="0" collapsed="false">
      <c r="A14" s="223" t="n">
        <v>1076</v>
      </c>
      <c r="B14" s="44" t="s">
        <v>487</v>
      </c>
      <c r="C14" s="44" t="s">
        <v>222</v>
      </c>
      <c r="D14" s="36" t="s">
        <v>8</v>
      </c>
      <c r="E14" s="45" t="n">
        <v>44000</v>
      </c>
      <c r="F14" s="332" t="s">
        <v>34</v>
      </c>
      <c r="G14" s="222" t="n">
        <v>500</v>
      </c>
      <c r="H14" s="333"/>
      <c r="I14" s="335"/>
      <c r="J14" s="333"/>
      <c r="K14" s="335"/>
      <c r="L14" s="333"/>
      <c r="M14" s="334"/>
      <c r="N14" s="333"/>
      <c r="O14" s="334"/>
      <c r="P14" s="336" t="n">
        <f aca="false">SUM(I14:O14)</f>
        <v>0</v>
      </c>
    </row>
    <row r="15" customFormat="false" ht="15" hidden="false" customHeight="true" outlineLevel="0" collapsed="false">
      <c r="A15" s="223" t="n">
        <v>1077</v>
      </c>
      <c r="B15" s="44" t="s">
        <v>506</v>
      </c>
      <c r="C15" s="44" t="s">
        <v>79</v>
      </c>
      <c r="D15" s="36" t="s">
        <v>8</v>
      </c>
      <c r="E15" s="45" t="n">
        <v>42997</v>
      </c>
      <c r="F15" s="332" t="s">
        <v>34</v>
      </c>
      <c r="G15" s="222" t="n">
        <v>500</v>
      </c>
      <c r="H15" s="349"/>
      <c r="I15" s="334"/>
      <c r="J15" s="349"/>
      <c r="K15" s="350"/>
      <c r="L15" s="349"/>
      <c r="M15" s="338"/>
      <c r="N15" s="349"/>
      <c r="O15" s="338"/>
      <c r="P15" s="351" t="n">
        <f aca="false">SUM(I15:O15)</f>
        <v>0</v>
      </c>
    </row>
    <row r="16" customFormat="false" ht="15" hidden="false" customHeight="true" outlineLevel="0" collapsed="false">
      <c r="A16" s="223" t="n">
        <v>1078</v>
      </c>
      <c r="B16" s="44" t="s">
        <v>562</v>
      </c>
      <c r="C16" s="44" t="s">
        <v>520</v>
      </c>
      <c r="D16" s="36" t="s">
        <v>8</v>
      </c>
      <c r="E16" s="45" t="n">
        <v>42927</v>
      </c>
      <c r="F16" s="332" t="s">
        <v>34</v>
      </c>
      <c r="G16" s="222" t="n">
        <v>501</v>
      </c>
      <c r="H16" s="333" t="s">
        <v>1346</v>
      </c>
      <c r="I16" s="338" t="n">
        <v>7</v>
      </c>
      <c r="J16" s="333" t="s">
        <v>1346</v>
      </c>
      <c r="K16" s="335"/>
      <c r="L16" s="333"/>
      <c r="M16" s="334"/>
      <c r="N16" s="333"/>
      <c r="O16" s="334"/>
      <c r="P16" s="336" t="n">
        <f aca="false">SUM(I16:O16)</f>
        <v>7</v>
      </c>
    </row>
    <row r="17" customFormat="false" ht="15" hidden="false" customHeight="true" outlineLevel="0" collapsed="false">
      <c r="A17" s="223" t="n">
        <v>1079</v>
      </c>
      <c r="B17" s="44" t="s">
        <v>588</v>
      </c>
      <c r="C17" s="44" t="s">
        <v>406</v>
      </c>
      <c r="D17" s="36" t="s">
        <v>8</v>
      </c>
      <c r="E17" s="45" t="n">
        <v>43047</v>
      </c>
      <c r="F17" s="332" t="s">
        <v>34</v>
      </c>
      <c r="G17" s="222" t="n">
        <v>501</v>
      </c>
      <c r="H17" s="333" t="s">
        <v>1346</v>
      </c>
      <c r="I17" s="334" t="n">
        <v>6</v>
      </c>
      <c r="J17" s="333" t="s">
        <v>1346</v>
      </c>
      <c r="K17" s="335"/>
      <c r="L17" s="333"/>
      <c r="M17" s="334"/>
      <c r="N17" s="333"/>
      <c r="O17" s="334"/>
      <c r="P17" s="336" t="n">
        <f aca="false">SUM(I17:O17)</f>
        <v>6</v>
      </c>
    </row>
    <row r="18" customFormat="false" ht="15" hidden="false" customHeight="true" outlineLevel="0" collapsed="false">
      <c r="A18" s="223" t="n">
        <v>1080</v>
      </c>
      <c r="B18" s="44" t="s">
        <v>799</v>
      </c>
      <c r="C18" s="44" t="s">
        <v>31</v>
      </c>
      <c r="D18" s="36" t="s">
        <v>8</v>
      </c>
      <c r="E18" s="45" t="n">
        <v>43110</v>
      </c>
      <c r="F18" s="332" t="s">
        <v>34</v>
      </c>
      <c r="G18" s="222" t="n">
        <v>500</v>
      </c>
      <c r="H18" s="349"/>
      <c r="I18" s="338"/>
      <c r="J18" s="349"/>
      <c r="K18" s="350"/>
      <c r="L18" s="349"/>
      <c r="M18" s="338"/>
      <c r="N18" s="349"/>
      <c r="O18" s="338"/>
      <c r="P18" s="351" t="n">
        <f aca="false">SUM(I18:O18)</f>
        <v>0</v>
      </c>
    </row>
    <row r="19" customFormat="false" ht="15" hidden="false" customHeight="true" outlineLevel="0" collapsed="false">
      <c r="A19" s="223" t="n">
        <v>1081</v>
      </c>
      <c r="B19" s="44" t="s">
        <v>815</v>
      </c>
      <c r="C19" s="44" t="s">
        <v>69</v>
      </c>
      <c r="D19" s="24" t="s">
        <v>26</v>
      </c>
      <c r="E19" s="45" t="n">
        <v>43081</v>
      </c>
      <c r="F19" s="332" t="s">
        <v>34</v>
      </c>
      <c r="G19" s="222" t="n">
        <v>500</v>
      </c>
      <c r="H19" s="333"/>
      <c r="I19" s="334"/>
      <c r="J19" s="333"/>
      <c r="K19" s="335"/>
      <c r="L19" s="333"/>
      <c r="M19" s="334"/>
      <c r="N19" s="333"/>
      <c r="O19" s="334"/>
      <c r="P19" s="336" t="n">
        <f aca="false">SUM(I19:O19)</f>
        <v>0</v>
      </c>
    </row>
    <row r="20" customFormat="false" ht="15" hidden="false" customHeight="true" outlineLevel="0" collapsed="false">
      <c r="A20" s="223" t="n">
        <v>1082</v>
      </c>
      <c r="B20" s="44" t="s">
        <v>964</v>
      </c>
      <c r="C20" s="44" t="s">
        <v>437</v>
      </c>
      <c r="D20" s="36" t="s">
        <v>8</v>
      </c>
      <c r="E20" s="45" t="n">
        <v>43882</v>
      </c>
      <c r="F20" s="332" t="s">
        <v>34</v>
      </c>
      <c r="G20" s="222" t="n">
        <v>500</v>
      </c>
      <c r="H20" s="333"/>
      <c r="I20" s="334"/>
      <c r="J20" s="333"/>
      <c r="K20" s="335"/>
      <c r="L20" s="333"/>
      <c r="M20" s="334"/>
      <c r="N20" s="333"/>
      <c r="O20" s="334"/>
      <c r="P20" s="336" t="n">
        <f aca="false">SUM(I20:O20)</f>
        <v>0</v>
      </c>
    </row>
    <row r="21" customFormat="false" ht="15" hidden="false" customHeight="true" outlineLevel="0" collapsed="false">
      <c r="A21" s="223" t="n">
        <v>1083</v>
      </c>
      <c r="B21" s="44" t="s">
        <v>997</v>
      </c>
      <c r="C21" s="44" t="s">
        <v>214</v>
      </c>
      <c r="D21" s="36" t="s">
        <v>8</v>
      </c>
      <c r="E21" s="45" t="n">
        <v>42961</v>
      </c>
      <c r="F21" s="332" t="s">
        <v>34</v>
      </c>
      <c r="G21" s="222" t="n">
        <v>500</v>
      </c>
      <c r="H21" s="333" t="s">
        <v>1346</v>
      </c>
      <c r="I21" s="334" t="n">
        <v>6</v>
      </c>
      <c r="J21" s="333" t="s">
        <v>1346</v>
      </c>
      <c r="K21" s="335"/>
      <c r="L21" s="333"/>
      <c r="M21" s="334"/>
      <c r="N21" s="333"/>
      <c r="O21" s="334"/>
      <c r="P21" s="336" t="n">
        <f aca="false">SUM(I21:O21)</f>
        <v>6</v>
      </c>
    </row>
    <row r="22" customFormat="false" ht="15" hidden="false" customHeight="true" outlineLevel="0" collapsed="false">
      <c r="A22" s="223" t="n">
        <v>1084</v>
      </c>
      <c r="B22" s="44" t="s">
        <v>1137</v>
      </c>
      <c r="C22" s="44" t="s">
        <v>1071</v>
      </c>
      <c r="D22" s="36" t="s">
        <v>8</v>
      </c>
      <c r="E22" s="45" t="n">
        <v>43371</v>
      </c>
      <c r="F22" s="332" t="s">
        <v>34</v>
      </c>
      <c r="G22" s="222" t="n">
        <v>500</v>
      </c>
      <c r="H22" s="349"/>
      <c r="I22" s="334"/>
      <c r="J22" s="349"/>
      <c r="K22" s="338"/>
      <c r="L22" s="349"/>
      <c r="M22" s="338"/>
      <c r="N22" s="349"/>
      <c r="O22" s="338"/>
      <c r="P22" s="351" t="n">
        <f aca="false">SUM(I22:O22)</f>
        <v>0</v>
      </c>
    </row>
    <row r="23" customFormat="false" ht="15" hidden="false" customHeight="true" outlineLevel="0" collapsed="false">
      <c r="A23" s="223" t="n">
        <v>1085</v>
      </c>
      <c r="B23" s="44" t="s">
        <v>1179</v>
      </c>
      <c r="C23" s="44" t="s">
        <v>318</v>
      </c>
      <c r="D23" s="36" t="s">
        <v>8</v>
      </c>
      <c r="E23" s="45" t="n">
        <v>43268</v>
      </c>
      <c r="F23" s="332" t="s">
        <v>34</v>
      </c>
      <c r="G23" s="222" t="n">
        <v>500</v>
      </c>
      <c r="H23" s="333"/>
      <c r="I23" s="342"/>
      <c r="J23" s="333"/>
      <c r="K23" s="334"/>
      <c r="L23" s="333"/>
      <c r="M23" s="334"/>
      <c r="N23" s="333"/>
      <c r="O23" s="334"/>
      <c r="P23" s="336" t="n">
        <f aca="false">SUM(I23:O23)</f>
        <v>0</v>
      </c>
    </row>
    <row r="24" customFormat="false" ht="15" hidden="false" customHeight="true" outlineLevel="0" collapsed="false">
      <c r="A24" s="223" t="n">
        <v>1086</v>
      </c>
      <c r="B24" s="44" t="s">
        <v>1205</v>
      </c>
      <c r="C24" s="44" t="s">
        <v>214</v>
      </c>
      <c r="D24" s="36" t="s">
        <v>8</v>
      </c>
      <c r="E24" s="45" t="n">
        <v>42820</v>
      </c>
      <c r="F24" s="332" t="s">
        <v>34</v>
      </c>
      <c r="G24" s="222" t="n">
        <v>501</v>
      </c>
      <c r="H24" s="333" t="s">
        <v>1346</v>
      </c>
      <c r="I24" s="334" t="n">
        <v>8</v>
      </c>
      <c r="J24" s="333" t="s">
        <v>1346</v>
      </c>
      <c r="K24" s="335"/>
      <c r="L24" s="333"/>
      <c r="M24" s="334"/>
      <c r="N24" s="333"/>
      <c r="O24" s="334"/>
      <c r="P24" s="336" t="n">
        <f aca="false">SUM(I24:O24)</f>
        <v>8</v>
      </c>
    </row>
    <row r="25" customFormat="false" ht="15" hidden="false" customHeight="true" outlineLevel="0" collapsed="false">
      <c r="A25" s="223" t="n">
        <v>1087</v>
      </c>
      <c r="B25" s="44" t="s">
        <v>1217</v>
      </c>
      <c r="C25" s="44" t="s">
        <v>271</v>
      </c>
      <c r="D25" s="36" t="s">
        <v>8</v>
      </c>
      <c r="E25" s="45" t="n">
        <v>43406</v>
      </c>
      <c r="F25" s="332" t="s">
        <v>34</v>
      </c>
      <c r="G25" s="222" t="n">
        <v>500</v>
      </c>
      <c r="H25" s="333" t="s">
        <v>1346</v>
      </c>
      <c r="I25" s="334" t="n">
        <v>6</v>
      </c>
      <c r="J25" s="333" t="s">
        <v>1346</v>
      </c>
      <c r="K25" s="335"/>
      <c r="L25" s="333"/>
      <c r="M25" s="334"/>
      <c r="N25" s="333"/>
      <c r="O25" s="334"/>
      <c r="P25" s="336" t="n">
        <f aca="false">SUM(I25:O25)</f>
        <v>6</v>
      </c>
    </row>
    <row r="26" customFormat="false" ht="15" hidden="false" customHeight="true" outlineLevel="0" collapsed="false">
      <c r="A26" s="223" t="n">
        <v>1088</v>
      </c>
      <c r="B26" s="44" t="s">
        <v>1236</v>
      </c>
      <c r="C26" s="44" t="s">
        <v>63</v>
      </c>
      <c r="D26" s="36" t="s">
        <v>8</v>
      </c>
      <c r="E26" s="45" t="n">
        <v>43180</v>
      </c>
      <c r="F26" s="332" t="s">
        <v>34</v>
      </c>
      <c r="G26" s="222" t="n">
        <v>500</v>
      </c>
      <c r="H26" s="337" t="s">
        <v>1346</v>
      </c>
      <c r="I26" s="334" t="n">
        <v>4</v>
      </c>
      <c r="J26" s="337" t="s">
        <v>1346</v>
      </c>
      <c r="K26" s="339"/>
      <c r="L26" s="337"/>
      <c r="M26" s="340"/>
      <c r="N26" s="337"/>
      <c r="O26" s="340"/>
      <c r="P26" s="341" t="n">
        <f aca="false">SUM(I26:O26)</f>
        <v>4</v>
      </c>
    </row>
    <row r="27" customFormat="false" ht="15" hidden="false" customHeight="true" outlineLevel="0" collapsed="false">
      <c r="A27" s="223" t="n">
        <v>1050</v>
      </c>
      <c r="B27" s="51" t="s">
        <v>158</v>
      </c>
      <c r="C27" s="51" t="s">
        <v>159</v>
      </c>
      <c r="D27" s="36" t="s">
        <v>8</v>
      </c>
      <c r="E27" s="37" t="n">
        <v>42883</v>
      </c>
      <c r="F27" s="16" t="s">
        <v>143</v>
      </c>
      <c r="G27" s="24" t="s">
        <v>70</v>
      </c>
      <c r="H27" s="349"/>
      <c r="I27" s="334"/>
      <c r="J27" s="349"/>
      <c r="K27" s="350"/>
      <c r="L27" s="349"/>
      <c r="M27" s="338"/>
      <c r="N27" s="349"/>
      <c r="O27" s="338"/>
      <c r="P27" s="351" t="n">
        <f aca="false">SUM(I27:O27)</f>
        <v>0</v>
      </c>
    </row>
    <row r="28" customFormat="false" ht="15" hidden="false" customHeight="true" outlineLevel="0" collapsed="false">
      <c r="A28" s="223" t="n">
        <v>1018</v>
      </c>
      <c r="B28" s="51" t="s">
        <v>407</v>
      </c>
      <c r="C28" s="51" t="s">
        <v>408</v>
      </c>
      <c r="D28" s="36" t="s">
        <v>26</v>
      </c>
      <c r="E28" s="37" t="n">
        <v>43293</v>
      </c>
      <c r="F28" s="16" t="s">
        <v>143</v>
      </c>
      <c r="G28" s="24" t="s">
        <v>70</v>
      </c>
      <c r="H28" s="333" t="s">
        <v>1346</v>
      </c>
      <c r="I28" s="334" t="n">
        <v>3</v>
      </c>
      <c r="J28" s="333" t="s">
        <v>1346</v>
      </c>
      <c r="K28" s="335"/>
      <c r="L28" s="333"/>
      <c r="M28" s="334"/>
      <c r="N28" s="333"/>
      <c r="O28" s="334"/>
      <c r="P28" s="336" t="n">
        <f aca="false">SUM(I28:O28)</f>
        <v>3</v>
      </c>
    </row>
    <row r="29" customFormat="false" ht="15" hidden="false" customHeight="true" outlineLevel="0" collapsed="false">
      <c r="A29" s="223" t="n">
        <v>1019</v>
      </c>
      <c r="B29" s="51" t="s">
        <v>407</v>
      </c>
      <c r="C29" s="51" t="s">
        <v>409</v>
      </c>
      <c r="D29" s="36" t="s">
        <v>8</v>
      </c>
      <c r="E29" s="37" t="n">
        <v>43293</v>
      </c>
      <c r="F29" s="16" t="s">
        <v>143</v>
      </c>
      <c r="G29" s="24" t="s">
        <v>70</v>
      </c>
      <c r="H29" s="333" t="s">
        <v>1346</v>
      </c>
      <c r="I29" s="334" t="n">
        <v>1</v>
      </c>
      <c r="J29" s="333" t="s">
        <v>1346</v>
      </c>
      <c r="K29" s="334"/>
      <c r="L29" s="333"/>
      <c r="M29" s="334"/>
      <c r="N29" s="333"/>
      <c r="O29" s="334"/>
      <c r="P29" s="336" t="n">
        <f aca="false">SUM(I29:O29)</f>
        <v>1</v>
      </c>
    </row>
    <row r="30" customFormat="false" ht="15" hidden="false" customHeight="true" outlineLevel="0" collapsed="false">
      <c r="A30" s="223" t="n">
        <v>1043</v>
      </c>
      <c r="B30" s="51" t="s">
        <v>488</v>
      </c>
      <c r="C30" s="51" t="s">
        <v>489</v>
      </c>
      <c r="D30" s="36" t="s">
        <v>8</v>
      </c>
      <c r="E30" s="37" t="n">
        <v>43035</v>
      </c>
      <c r="F30" s="16" t="s">
        <v>143</v>
      </c>
      <c r="G30" s="24" t="s">
        <v>70</v>
      </c>
      <c r="H30" s="343"/>
      <c r="I30" s="342"/>
      <c r="J30" s="343"/>
      <c r="K30" s="342"/>
      <c r="L30" s="343"/>
      <c r="M30" s="342"/>
      <c r="N30" s="343"/>
      <c r="O30" s="342"/>
      <c r="P30" s="345" t="n">
        <f aca="false">SUM(I30:O30)</f>
        <v>0</v>
      </c>
    </row>
    <row r="31" customFormat="false" ht="15" hidden="false" customHeight="true" outlineLevel="0" collapsed="false">
      <c r="A31" s="223" t="n">
        <v>1030</v>
      </c>
      <c r="B31" s="51" t="s">
        <v>512</v>
      </c>
      <c r="C31" s="51" t="s">
        <v>513</v>
      </c>
      <c r="D31" s="36" t="s">
        <v>8</v>
      </c>
      <c r="E31" s="37" t="n">
        <v>43154</v>
      </c>
      <c r="F31" s="16" t="s">
        <v>143</v>
      </c>
      <c r="G31" s="24" t="s">
        <v>70</v>
      </c>
      <c r="H31" s="333" t="s">
        <v>1346</v>
      </c>
      <c r="I31" s="334" t="n">
        <v>6</v>
      </c>
      <c r="J31" s="333" t="s">
        <v>1346</v>
      </c>
      <c r="K31" s="335"/>
      <c r="L31" s="333"/>
      <c r="M31" s="334"/>
      <c r="N31" s="333"/>
      <c r="O31" s="334"/>
      <c r="P31" s="336" t="n">
        <f aca="false">SUM(I31:O31)</f>
        <v>6</v>
      </c>
    </row>
    <row r="32" customFormat="false" ht="15" hidden="false" customHeight="true" outlineLevel="0" collapsed="false">
      <c r="A32" s="223" t="n">
        <v>1012</v>
      </c>
      <c r="B32" s="51" t="s">
        <v>1023</v>
      </c>
      <c r="C32" s="51" t="s">
        <v>747</v>
      </c>
      <c r="D32" s="36" t="s">
        <v>8</v>
      </c>
      <c r="E32" s="37" t="n">
        <v>43425</v>
      </c>
      <c r="F32" s="16" t="s">
        <v>143</v>
      </c>
      <c r="G32" s="24" t="s">
        <v>70</v>
      </c>
      <c r="H32" s="333"/>
      <c r="I32" s="334"/>
      <c r="J32" s="333"/>
      <c r="K32" s="335"/>
      <c r="L32" s="333"/>
      <c r="M32" s="334"/>
      <c r="N32" s="333"/>
      <c r="O32" s="334"/>
      <c r="P32" s="336" t="n">
        <f aca="false">SUM(I32:O32)</f>
        <v>0</v>
      </c>
    </row>
    <row r="33" customFormat="false" ht="15" hidden="false" customHeight="true" outlineLevel="0" collapsed="false">
      <c r="A33" s="223" t="n">
        <v>1060</v>
      </c>
      <c r="B33" s="51" t="s">
        <v>1082</v>
      </c>
      <c r="C33" s="51" t="s">
        <v>1083</v>
      </c>
      <c r="D33" s="36" t="s">
        <v>8</v>
      </c>
      <c r="E33" s="37" t="n">
        <v>42802</v>
      </c>
      <c r="F33" s="16" t="s">
        <v>143</v>
      </c>
      <c r="G33" s="24" t="s">
        <v>70</v>
      </c>
      <c r="H33" s="333" t="s">
        <v>1346</v>
      </c>
      <c r="I33" s="340" t="n">
        <v>6</v>
      </c>
      <c r="J33" s="333" t="s">
        <v>1346</v>
      </c>
      <c r="K33" s="334"/>
      <c r="L33" s="333"/>
      <c r="M33" s="334"/>
      <c r="N33" s="333"/>
      <c r="O33" s="334"/>
      <c r="P33" s="336" t="n">
        <f aca="false">SUM(I33:O33)</f>
        <v>6</v>
      </c>
    </row>
    <row r="34" customFormat="false" ht="15" hidden="false" customHeight="true" outlineLevel="0" collapsed="false">
      <c r="A34" s="223" t="n">
        <v>1020</v>
      </c>
      <c r="B34" s="51" t="s">
        <v>1276</v>
      </c>
      <c r="C34" s="51" t="s">
        <v>132</v>
      </c>
      <c r="D34" s="36" t="s">
        <v>8</v>
      </c>
      <c r="E34" s="37" t="n">
        <v>43290</v>
      </c>
      <c r="F34" s="16" t="s">
        <v>143</v>
      </c>
      <c r="G34" s="24" t="s">
        <v>70</v>
      </c>
      <c r="H34" s="333"/>
      <c r="I34" s="342"/>
      <c r="J34" s="333"/>
      <c r="K34" s="335"/>
      <c r="L34" s="333"/>
      <c r="M34" s="334"/>
      <c r="N34" s="333"/>
      <c r="O34" s="334"/>
      <c r="P34" s="336" t="n">
        <f aca="false">SUM(I34:O34)</f>
        <v>0</v>
      </c>
    </row>
    <row r="35" customFormat="false" ht="15" hidden="false" customHeight="true" outlineLevel="0" collapsed="false">
      <c r="A35" s="223" t="n">
        <v>1013</v>
      </c>
      <c r="B35" s="35" t="s">
        <v>180</v>
      </c>
      <c r="C35" s="34" t="s">
        <v>181</v>
      </c>
      <c r="D35" s="36" t="s">
        <v>8</v>
      </c>
      <c r="E35" s="37" t="n">
        <v>43410</v>
      </c>
      <c r="F35" s="16" t="s">
        <v>12</v>
      </c>
      <c r="G35" s="16" t="n">
        <v>500</v>
      </c>
      <c r="H35" s="333"/>
      <c r="I35" s="334"/>
      <c r="J35" s="333"/>
      <c r="K35" s="334"/>
      <c r="L35" s="333"/>
      <c r="M35" s="334"/>
      <c r="N35" s="333"/>
      <c r="O35" s="334"/>
      <c r="P35" s="336" t="n">
        <f aca="false">SUM(I35:O35)</f>
        <v>0</v>
      </c>
    </row>
    <row r="36" customFormat="false" ht="15" hidden="false" customHeight="true" outlineLevel="0" collapsed="false">
      <c r="A36" s="223" t="n">
        <v>1057</v>
      </c>
      <c r="B36" s="35" t="s">
        <v>640</v>
      </c>
      <c r="C36" s="34" t="s">
        <v>642</v>
      </c>
      <c r="D36" s="36" t="s">
        <v>8</v>
      </c>
      <c r="E36" s="37" t="n">
        <v>42825</v>
      </c>
      <c r="F36" s="16" t="s">
        <v>12</v>
      </c>
      <c r="G36" s="16" t="n">
        <v>503</v>
      </c>
      <c r="H36" s="352" t="s">
        <v>1346</v>
      </c>
      <c r="I36" s="340" t="n">
        <v>9</v>
      </c>
      <c r="J36" s="352" t="s">
        <v>1346</v>
      </c>
      <c r="K36" s="353"/>
      <c r="L36" s="352"/>
      <c r="M36" s="353"/>
      <c r="N36" s="352"/>
      <c r="O36" s="353"/>
      <c r="P36" s="354" t="n">
        <f aca="false">SUM(I36:O36)</f>
        <v>9</v>
      </c>
    </row>
    <row r="37" customFormat="false" ht="15" hidden="false" customHeight="true" outlineLevel="0" collapsed="false">
      <c r="A37" s="223" t="n">
        <v>1058</v>
      </c>
      <c r="B37" s="35" t="s">
        <v>786</v>
      </c>
      <c r="C37" s="34" t="s">
        <v>787</v>
      </c>
      <c r="D37" s="36" t="s">
        <v>26</v>
      </c>
      <c r="E37" s="37" t="n">
        <v>42820</v>
      </c>
      <c r="F37" s="16" t="s">
        <v>12</v>
      </c>
      <c r="G37" s="16" t="n">
        <v>500</v>
      </c>
      <c r="H37" s="333"/>
      <c r="I37" s="334"/>
      <c r="J37" s="333"/>
      <c r="K37" s="335"/>
      <c r="L37" s="333"/>
      <c r="M37" s="334"/>
      <c r="N37" s="333"/>
      <c r="O37" s="334"/>
      <c r="P37" s="336" t="n">
        <f aca="false">SUM(I37:O37)</f>
        <v>0</v>
      </c>
    </row>
    <row r="38" customFormat="false" ht="15" hidden="false" customHeight="true" outlineLevel="0" collapsed="false">
      <c r="A38" s="223" t="n">
        <v>1011</v>
      </c>
      <c r="B38" s="35" t="s">
        <v>870</v>
      </c>
      <c r="C38" s="34" t="s">
        <v>871</v>
      </c>
      <c r="D38" s="36" t="s">
        <v>8</v>
      </c>
      <c r="E38" s="37" t="n">
        <v>43438</v>
      </c>
      <c r="F38" s="16" t="s">
        <v>12</v>
      </c>
      <c r="G38" s="16" t="n">
        <v>500</v>
      </c>
      <c r="H38" s="333"/>
      <c r="I38" s="334"/>
      <c r="J38" s="333"/>
      <c r="K38" s="335"/>
      <c r="L38" s="333"/>
      <c r="M38" s="334"/>
      <c r="N38" s="333"/>
      <c r="O38" s="334"/>
      <c r="P38" s="336" t="n">
        <f aca="false">SUM(I38:O38)</f>
        <v>0</v>
      </c>
    </row>
    <row r="39" customFormat="false" ht="15" hidden="false" customHeight="true" outlineLevel="0" collapsed="false">
      <c r="A39" s="223" t="n">
        <v>1021</v>
      </c>
      <c r="B39" s="35" t="s">
        <v>982</v>
      </c>
      <c r="C39" s="34" t="s">
        <v>746</v>
      </c>
      <c r="D39" s="36" t="s">
        <v>8</v>
      </c>
      <c r="E39" s="130" t="n">
        <v>43236</v>
      </c>
      <c r="F39" s="16" t="s">
        <v>12</v>
      </c>
      <c r="G39" s="16" t="n">
        <v>500</v>
      </c>
      <c r="H39" s="333"/>
      <c r="I39" s="334"/>
      <c r="J39" s="333"/>
      <c r="K39" s="334"/>
      <c r="L39" s="333"/>
      <c r="M39" s="334"/>
      <c r="N39" s="333"/>
      <c r="O39" s="334"/>
      <c r="P39" s="336" t="n">
        <f aca="false">SUM(I39:O39)</f>
        <v>0</v>
      </c>
    </row>
    <row r="40" customFormat="false" ht="15" hidden="false" customHeight="true" outlineLevel="0" collapsed="false">
      <c r="A40" s="223" t="n">
        <v>1024</v>
      </c>
      <c r="B40" s="229" t="s">
        <v>1314</v>
      </c>
      <c r="C40" s="230" t="s">
        <v>342</v>
      </c>
      <c r="D40" s="36" t="s">
        <v>8</v>
      </c>
      <c r="E40" s="37" t="n">
        <v>43231</v>
      </c>
      <c r="F40" s="16" t="s">
        <v>12</v>
      </c>
      <c r="G40" s="16" t="n">
        <v>500</v>
      </c>
      <c r="H40" s="333"/>
      <c r="I40" s="334"/>
      <c r="J40" s="333"/>
      <c r="K40" s="335"/>
      <c r="L40" s="333"/>
      <c r="M40" s="334"/>
      <c r="N40" s="333"/>
      <c r="O40" s="334"/>
      <c r="P40" s="336" t="n">
        <f aca="false">SUM(I40:O40)</f>
        <v>0</v>
      </c>
    </row>
    <row r="41" customFormat="false" ht="15" hidden="false" customHeight="true" outlineLevel="0" collapsed="false">
      <c r="A41" s="223" t="n">
        <v>1028</v>
      </c>
      <c r="B41" s="79" t="s">
        <v>86</v>
      </c>
      <c r="C41" s="79" t="s">
        <v>88</v>
      </c>
      <c r="D41" s="36" t="s">
        <v>8</v>
      </c>
      <c r="E41" s="37" t="n">
        <v>43182</v>
      </c>
      <c r="F41" s="16" t="s">
        <v>52</v>
      </c>
      <c r="G41" s="224" t="s">
        <v>70</v>
      </c>
      <c r="H41" s="333" t="s">
        <v>1346</v>
      </c>
      <c r="I41" s="338" t="n">
        <v>2</v>
      </c>
      <c r="J41" s="333" t="s">
        <v>1346</v>
      </c>
      <c r="K41" s="335"/>
      <c r="L41" s="333"/>
      <c r="M41" s="334"/>
      <c r="N41" s="333"/>
      <c r="O41" s="334"/>
      <c r="P41" s="336" t="n">
        <f aca="false">SUM(I41:O41)</f>
        <v>2</v>
      </c>
    </row>
    <row r="42" customFormat="false" ht="15" hidden="false" customHeight="true" outlineLevel="0" collapsed="false">
      <c r="A42" s="223" t="n">
        <v>1023</v>
      </c>
      <c r="B42" s="79" t="s">
        <v>106</v>
      </c>
      <c r="C42" s="79" t="s">
        <v>107</v>
      </c>
      <c r="D42" s="36" t="s">
        <v>8</v>
      </c>
      <c r="E42" s="37" t="n">
        <v>43232</v>
      </c>
      <c r="F42" s="16" t="s">
        <v>52</v>
      </c>
      <c r="G42" s="224" t="s">
        <v>70</v>
      </c>
      <c r="H42" s="333"/>
      <c r="I42" s="342"/>
      <c r="J42" s="333"/>
      <c r="K42" s="334"/>
      <c r="L42" s="333"/>
      <c r="M42" s="334"/>
      <c r="N42" s="333"/>
      <c r="O42" s="334"/>
      <c r="P42" s="336" t="n">
        <f aca="false">SUM(I42:O42)</f>
        <v>0</v>
      </c>
    </row>
    <row r="43" customFormat="false" ht="15" hidden="false" customHeight="true" outlineLevel="0" collapsed="false">
      <c r="A43" s="223" t="n">
        <v>1004</v>
      </c>
      <c r="B43" s="79" t="s">
        <v>124</v>
      </c>
      <c r="C43" s="79" t="s">
        <v>125</v>
      </c>
      <c r="D43" s="36" t="s">
        <v>8</v>
      </c>
      <c r="E43" s="37" t="n">
        <v>43818</v>
      </c>
      <c r="F43" s="16" t="s">
        <v>52</v>
      </c>
      <c r="G43" s="224" t="s">
        <v>70</v>
      </c>
      <c r="H43" s="333" t="s">
        <v>1346</v>
      </c>
      <c r="I43" s="334" t="n">
        <v>1</v>
      </c>
      <c r="J43" s="333" t="s">
        <v>1346</v>
      </c>
      <c r="K43" s="342"/>
      <c r="L43" s="333"/>
      <c r="M43" s="334"/>
      <c r="N43" s="333"/>
      <c r="O43" s="334"/>
      <c r="P43" s="336" t="n">
        <f aca="false">SUM(I43:O43)</f>
        <v>1</v>
      </c>
    </row>
    <row r="44" customFormat="false" ht="15" hidden="false" customHeight="true" outlineLevel="0" collapsed="false">
      <c r="A44" s="223" t="n">
        <v>1009</v>
      </c>
      <c r="B44" s="79" t="s">
        <v>175</v>
      </c>
      <c r="C44" s="79" t="s">
        <v>176</v>
      </c>
      <c r="D44" s="36" t="s">
        <v>8</v>
      </c>
      <c r="E44" s="37" t="n">
        <v>43527</v>
      </c>
      <c r="F44" s="16" t="s">
        <v>52</v>
      </c>
      <c r="G44" s="224" t="s">
        <v>70</v>
      </c>
      <c r="H44" s="352"/>
      <c r="I44" s="338"/>
      <c r="J44" s="352"/>
      <c r="K44" s="335"/>
      <c r="L44" s="352"/>
      <c r="M44" s="353"/>
      <c r="N44" s="352"/>
      <c r="O44" s="353"/>
      <c r="P44" s="354" t="n">
        <f aca="false">SUM(I44:O44)</f>
        <v>0</v>
      </c>
    </row>
    <row r="45" customFormat="false" ht="15" hidden="false" customHeight="true" outlineLevel="0" collapsed="false">
      <c r="A45" s="223" t="n">
        <v>1000</v>
      </c>
      <c r="B45" s="79" t="s">
        <v>175</v>
      </c>
      <c r="C45" s="79" t="s">
        <v>177</v>
      </c>
      <c r="D45" s="36" t="s">
        <v>26</v>
      </c>
      <c r="E45" s="37" t="n">
        <v>44506</v>
      </c>
      <c r="F45" s="16" t="s">
        <v>52</v>
      </c>
      <c r="G45" s="224" t="s">
        <v>70</v>
      </c>
      <c r="H45" s="333"/>
      <c r="I45" s="334"/>
      <c r="J45" s="333"/>
      <c r="K45" s="335"/>
      <c r="L45" s="333"/>
      <c r="M45" s="334"/>
      <c r="N45" s="333"/>
      <c r="O45" s="334"/>
      <c r="P45" s="336" t="n">
        <f aca="false">SUM(I45:O45)</f>
        <v>0</v>
      </c>
    </row>
    <row r="46" customFormat="false" ht="15" hidden="false" customHeight="true" outlineLevel="0" collapsed="false">
      <c r="A46" s="223" t="n">
        <v>1046</v>
      </c>
      <c r="B46" s="79" t="s">
        <v>253</v>
      </c>
      <c r="C46" s="79" t="s">
        <v>254</v>
      </c>
      <c r="D46" s="36" t="s">
        <v>8</v>
      </c>
      <c r="E46" s="37" t="n">
        <v>42983</v>
      </c>
      <c r="F46" s="16" t="s">
        <v>52</v>
      </c>
      <c r="G46" s="224" t="s">
        <v>70</v>
      </c>
      <c r="H46" s="333"/>
      <c r="I46" s="334"/>
      <c r="J46" s="333"/>
      <c r="K46" s="335"/>
      <c r="L46" s="333"/>
      <c r="M46" s="334"/>
      <c r="N46" s="333"/>
      <c r="O46" s="334"/>
      <c r="P46" s="336" t="n">
        <f aca="false">SUM(I46:O46)</f>
        <v>0</v>
      </c>
    </row>
    <row r="47" customFormat="false" ht="15" hidden="false" customHeight="true" outlineLevel="0" collapsed="false">
      <c r="A47" s="223" t="n">
        <v>1040</v>
      </c>
      <c r="B47" s="79" t="s">
        <v>281</v>
      </c>
      <c r="C47" s="79" t="s">
        <v>127</v>
      </c>
      <c r="D47" s="36" t="s">
        <v>8</v>
      </c>
      <c r="E47" s="37" t="n">
        <v>43055</v>
      </c>
      <c r="F47" s="16" t="s">
        <v>52</v>
      </c>
      <c r="G47" s="224" t="s">
        <v>70</v>
      </c>
      <c r="H47" s="349"/>
      <c r="I47" s="340"/>
      <c r="J47" s="349"/>
      <c r="K47" s="338"/>
      <c r="L47" s="349"/>
      <c r="M47" s="338"/>
      <c r="N47" s="349"/>
      <c r="O47" s="338"/>
      <c r="P47" s="351" t="n">
        <f aca="false">SUM(I47:O47)</f>
        <v>0</v>
      </c>
    </row>
    <row r="48" customFormat="false" ht="15" hidden="false" customHeight="true" outlineLevel="0" collapsed="false">
      <c r="A48" s="223" t="n">
        <v>1064</v>
      </c>
      <c r="B48" s="79" t="s">
        <v>315</v>
      </c>
      <c r="C48" s="79" t="s">
        <v>316</v>
      </c>
      <c r="D48" s="36" t="s">
        <v>8</v>
      </c>
      <c r="E48" s="37" t="n">
        <v>42760</v>
      </c>
      <c r="F48" s="16" t="s">
        <v>52</v>
      </c>
      <c r="G48" s="224" t="s">
        <v>70</v>
      </c>
      <c r="H48" s="343"/>
      <c r="I48" s="340"/>
      <c r="J48" s="343"/>
      <c r="K48" s="342"/>
      <c r="L48" s="343"/>
      <c r="M48" s="342"/>
      <c r="N48" s="343"/>
      <c r="O48" s="342"/>
      <c r="P48" s="345" t="n">
        <f aca="false">SUM(I48:O48)</f>
        <v>0</v>
      </c>
    </row>
    <row r="49" customFormat="false" ht="15" hidden="false" customHeight="true" outlineLevel="0" collapsed="false">
      <c r="A49" s="223" t="n">
        <v>1016</v>
      </c>
      <c r="B49" s="79" t="s">
        <v>385</v>
      </c>
      <c r="C49" s="79" t="s">
        <v>386</v>
      </c>
      <c r="D49" s="36" t="s">
        <v>8</v>
      </c>
      <c r="E49" s="37" t="n">
        <v>43386</v>
      </c>
      <c r="F49" s="16" t="s">
        <v>52</v>
      </c>
      <c r="G49" s="224" t="s">
        <v>70</v>
      </c>
      <c r="H49" s="333"/>
      <c r="I49" s="340"/>
      <c r="J49" s="333"/>
      <c r="K49" s="334"/>
      <c r="L49" s="333"/>
      <c r="M49" s="334"/>
      <c r="N49" s="333"/>
      <c r="O49" s="334"/>
      <c r="P49" s="336" t="n">
        <f aca="false">SUM(I49:O49)</f>
        <v>0</v>
      </c>
      <c r="Z49" s="311"/>
      <c r="AA49" s="311"/>
    </row>
    <row r="50" customFormat="false" ht="15" hidden="false" customHeight="true" outlineLevel="0" collapsed="false">
      <c r="A50" s="223" t="n">
        <v>1034</v>
      </c>
      <c r="B50" s="79" t="s">
        <v>416</v>
      </c>
      <c r="C50" s="79" t="s">
        <v>417</v>
      </c>
      <c r="D50" s="36" t="s">
        <v>8</v>
      </c>
      <c r="E50" s="37" t="n">
        <v>43113</v>
      </c>
      <c r="F50" s="16" t="s">
        <v>52</v>
      </c>
      <c r="G50" s="224" t="s">
        <v>70</v>
      </c>
      <c r="H50" s="333"/>
      <c r="I50" s="338"/>
      <c r="J50" s="333"/>
      <c r="K50" s="334"/>
      <c r="L50" s="333"/>
      <c r="M50" s="334"/>
      <c r="N50" s="333"/>
      <c r="O50" s="334"/>
      <c r="P50" s="336" t="n">
        <f aca="false">SUM(I50:O50)</f>
        <v>0</v>
      </c>
    </row>
    <row r="51" customFormat="false" ht="15" hidden="false" customHeight="true" outlineLevel="0" collapsed="false">
      <c r="A51" s="223" t="n">
        <v>1065</v>
      </c>
      <c r="B51" s="79" t="s">
        <v>438</v>
      </c>
      <c r="C51" s="79" t="s">
        <v>201</v>
      </c>
      <c r="D51" s="36" t="s">
        <v>8</v>
      </c>
      <c r="E51" s="37" t="n">
        <v>42752</v>
      </c>
      <c r="F51" s="16" t="s">
        <v>52</v>
      </c>
      <c r="G51" s="224" t="s">
        <v>70</v>
      </c>
      <c r="H51" s="333"/>
      <c r="I51" s="334"/>
      <c r="J51" s="333"/>
      <c r="K51" s="335"/>
      <c r="L51" s="333"/>
      <c r="M51" s="334"/>
      <c r="N51" s="333"/>
      <c r="O51" s="334"/>
      <c r="P51" s="336" t="n">
        <f aca="false">SUM(I51:O51)</f>
        <v>0</v>
      </c>
    </row>
    <row r="52" customFormat="false" ht="15" hidden="false" customHeight="true" outlineLevel="0" collapsed="false">
      <c r="A52" s="223" t="n">
        <v>1061</v>
      </c>
      <c r="B52" s="79" t="s">
        <v>481</v>
      </c>
      <c r="C52" s="79" t="s">
        <v>482</v>
      </c>
      <c r="D52" s="36" t="s">
        <v>8</v>
      </c>
      <c r="E52" s="37" t="n">
        <v>42788</v>
      </c>
      <c r="F52" s="16" t="s">
        <v>52</v>
      </c>
      <c r="G52" s="224" t="s">
        <v>70</v>
      </c>
      <c r="H52" s="355"/>
      <c r="I52" s="342"/>
      <c r="J52" s="355"/>
      <c r="K52" s="335"/>
      <c r="L52" s="355"/>
      <c r="M52" s="335"/>
      <c r="N52" s="355"/>
      <c r="O52" s="335"/>
      <c r="P52" s="356" t="n">
        <f aca="false">SUM(I52:O52)</f>
        <v>0</v>
      </c>
    </row>
    <row r="53" customFormat="false" ht="15" hidden="false" customHeight="true" outlineLevel="0" collapsed="false">
      <c r="A53" s="223" t="n">
        <v>1006</v>
      </c>
      <c r="B53" s="79" t="s">
        <v>652</v>
      </c>
      <c r="C53" s="79" t="s">
        <v>653</v>
      </c>
      <c r="D53" s="36" t="s">
        <v>26</v>
      </c>
      <c r="E53" s="37" t="n">
        <v>43694</v>
      </c>
      <c r="F53" s="16" t="s">
        <v>52</v>
      </c>
      <c r="G53" s="224" t="s">
        <v>70</v>
      </c>
      <c r="H53" s="333"/>
      <c r="I53" s="342"/>
      <c r="J53" s="333"/>
      <c r="K53" s="334"/>
      <c r="L53" s="333"/>
      <c r="M53" s="334"/>
      <c r="N53" s="333"/>
      <c r="O53" s="334"/>
      <c r="P53" s="336" t="n">
        <f aca="false">SUM(I53:O53)</f>
        <v>0</v>
      </c>
    </row>
    <row r="54" customFormat="false" ht="15" hidden="false" customHeight="true" outlineLevel="0" collapsed="false">
      <c r="A54" s="223" t="n">
        <v>1007</v>
      </c>
      <c r="B54" s="79" t="s">
        <v>671</v>
      </c>
      <c r="C54" s="79" t="s">
        <v>16</v>
      </c>
      <c r="D54" s="36" t="s">
        <v>8</v>
      </c>
      <c r="E54" s="37" t="n">
        <v>43686</v>
      </c>
      <c r="F54" s="16" t="s">
        <v>52</v>
      </c>
      <c r="G54" s="224" t="s">
        <v>70</v>
      </c>
      <c r="H54" s="349"/>
      <c r="I54" s="334"/>
      <c r="J54" s="349"/>
      <c r="K54" s="338"/>
      <c r="L54" s="349"/>
      <c r="M54" s="338"/>
      <c r="N54" s="349"/>
      <c r="O54" s="338"/>
      <c r="P54" s="351" t="n">
        <f aca="false">SUM(I54:O54)</f>
        <v>0</v>
      </c>
    </row>
    <row r="55" customFormat="false" ht="15" hidden="false" customHeight="true" outlineLevel="0" collapsed="false">
      <c r="A55" s="223" t="n">
        <v>1010</v>
      </c>
      <c r="B55" s="79" t="s">
        <v>683</v>
      </c>
      <c r="C55" s="79" t="s">
        <v>165</v>
      </c>
      <c r="D55" s="36" t="s">
        <v>8</v>
      </c>
      <c r="E55" s="37" t="n">
        <v>43506</v>
      </c>
      <c r="F55" s="16" t="s">
        <v>52</v>
      </c>
      <c r="G55" s="224" t="s">
        <v>70</v>
      </c>
      <c r="H55" s="333"/>
      <c r="I55" s="335"/>
      <c r="J55" s="333"/>
      <c r="K55" s="335"/>
      <c r="L55" s="333"/>
      <c r="M55" s="334"/>
      <c r="N55" s="333"/>
      <c r="O55" s="334"/>
      <c r="P55" s="336" t="n">
        <f aca="false">SUM(I55:O55)</f>
        <v>0</v>
      </c>
    </row>
    <row r="56" customFormat="false" ht="15" hidden="false" customHeight="true" outlineLevel="0" collapsed="false">
      <c r="A56" s="223" t="n">
        <v>1055</v>
      </c>
      <c r="B56" s="79" t="s">
        <v>710</v>
      </c>
      <c r="C56" s="79" t="s">
        <v>711</v>
      </c>
      <c r="D56" s="36" t="s">
        <v>8</v>
      </c>
      <c r="E56" s="37" t="n">
        <v>42826</v>
      </c>
      <c r="F56" s="16" t="s">
        <v>52</v>
      </c>
      <c r="G56" s="224" t="s">
        <v>70</v>
      </c>
      <c r="H56" s="349"/>
      <c r="I56" s="342"/>
      <c r="J56" s="349"/>
      <c r="K56" s="334"/>
      <c r="L56" s="349"/>
      <c r="M56" s="338"/>
      <c r="N56" s="349"/>
      <c r="O56" s="338"/>
      <c r="P56" s="351" t="n">
        <f aca="false">SUM(I56:O56)</f>
        <v>0</v>
      </c>
    </row>
    <row r="57" customFormat="false" ht="15" hidden="false" customHeight="true" outlineLevel="0" collapsed="false">
      <c r="A57" s="223" t="n">
        <v>1003</v>
      </c>
      <c r="B57" s="79" t="s">
        <v>775</v>
      </c>
      <c r="C57" s="79" t="s">
        <v>777</v>
      </c>
      <c r="D57" s="36" t="s">
        <v>26</v>
      </c>
      <c r="E57" s="37" t="n">
        <v>43962</v>
      </c>
      <c r="F57" s="16" t="s">
        <v>52</v>
      </c>
      <c r="G57" s="224" t="s">
        <v>70</v>
      </c>
      <c r="H57" s="357"/>
      <c r="I57" s="334"/>
      <c r="J57" s="357"/>
      <c r="K57" s="334"/>
      <c r="L57" s="333"/>
      <c r="M57" s="334"/>
      <c r="N57" s="333"/>
      <c r="O57" s="334"/>
      <c r="P57" s="336" t="n">
        <f aca="false">SUM(I57:O57)</f>
        <v>0</v>
      </c>
    </row>
    <row r="58" customFormat="false" ht="15" hidden="false" customHeight="true" outlineLevel="0" collapsed="false">
      <c r="A58" s="223" t="n">
        <v>1056</v>
      </c>
      <c r="B58" s="79" t="s">
        <v>877</v>
      </c>
      <c r="C58" s="79" t="s">
        <v>422</v>
      </c>
      <c r="D58" s="36" t="s">
        <v>8</v>
      </c>
      <c r="E58" s="37" t="n">
        <v>42826</v>
      </c>
      <c r="F58" s="16" t="s">
        <v>52</v>
      </c>
      <c r="G58" s="224" t="s">
        <v>70</v>
      </c>
      <c r="H58" s="357"/>
      <c r="I58" s="338"/>
      <c r="J58" s="357"/>
      <c r="K58" s="334"/>
      <c r="L58" s="333"/>
      <c r="M58" s="334"/>
      <c r="N58" s="333"/>
      <c r="O58" s="334"/>
      <c r="P58" s="336" t="n">
        <f aca="false">SUM(I58:O58)</f>
        <v>0</v>
      </c>
    </row>
    <row r="59" customFormat="false" ht="15" hidden="false" customHeight="true" outlineLevel="0" collapsed="false">
      <c r="A59" s="223" t="n">
        <v>1041</v>
      </c>
      <c r="B59" s="79" t="s">
        <v>978</v>
      </c>
      <c r="C59" s="79" t="s">
        <v>217</v>
      </c>
      <c r="D59" s="36" t="s">
        <v>8</v>
      </c>
      <c r="E59" s="37" t="n">
        <v>43046</v>
      </c>
      <c r="F59" s="16" t="s">
        <v>52</v>
      </c>
      <c r="G59" s="224" t="s">
        <v>70</v>
      </c>
      <c r="H59" s="333"/>
      <c r="I59" s="342"/>
      <c r="J59" s="333"/>
      <c r="K59" s="342"/>
      <c r="L59" s="333"/>
      <c r="M59" s="334"/>
      <c r="N59" s="333"/>
      <c r="O59" s="334"/>
      <c r="P59" s="336" t="n">
        <f aca="false">SUM(I59:O59)</f>
        <v>0</v>
      </c>
    </row>
    <row r="60" customFormat="false" ht="15" hidden="false" customHeight="true" outlineLevel="0" collapsed="false">
      <c r="A60" s="223" t="n">
        <v>1008</v>
      </c>
      <c r="B60" s="79" t="s">
        <v>1104</v>
      </c>
      <c r="C60" s="79" t="s">
        <v>69</v>
      </c>
      <c r="D60" s="36" t="s">
        <v>26</v>
      </c>
      <c r="E60" s="37" t="n">
        <v>43645</v>
      </c>
      <c r="F60" s="16" t="s">
        <v>52</v>
      </c>
      <c r="G60" s="224" t="s">
        <v>70</v>
      </c>
      <c r="H60" s="333"/>
      <c r="I60" s="334"/>
      <c r="J60" s="333"/>
      <c r="K60" s="334"/>
      <c r="L60" s="333"/>
      <c r="M60" s="334"/>
      <c r="N60" s="333"/>
      <c r="O60" s="334"/>
      <c r="P60" s="336" t="n">
        <f aca="false">SUM(I60:O60)</f>
        <v>0</v>
      </c>
    </row>
    <row r="61" customFormat="false" ht="15" hidden="false" customHeight="true" outlineLevel="0" collapsed="false">
      <c r="A61" s="223" t="n">
        <v>1001</v>
      </c>
      <c r="B61" s="79" t="s">
        <v>1174</v>
      </c>
      <c r="C61" s="79" t="s">
        <v>222</v>
      </c>
      <c r="D61" s="36" t="s">
        <v>8</v>
      </c>
      <c r="E61" s="37" t="n">
        <v>44497</v>
      </c>
      <c r="F61" s="16" t="s">
        <v>52</v>
      </c>
      <c r="G61" s="224" t="s">
        <v>70</v>
      </c>
      <c r="H61" s="343"/>
      <c r="I61" s="342"/>
      <c r="J61" s="343"/>
      <c r="K61" s="342"/>
      <c r="L61" s="343"/>
      <c r="M61" s="342"/>
      <c r="N61" s="343"/>
      <c r="O61" s="342"/>
      <c r="P61" s="345" t="n">
        <f aca="false">SUM(I61:O61)</f>
        <v>0</v>
      </c>
    </row>
    <row r="62" customFormat="false" ht="15" hidden="false" customHeight="true" outlineLevel="0" collapsed="false">
      <c r="A62" s="223" t="n">
        <v>1026</v>
      </c>
      <c r="B62" s="79" t="s">
        <v>1197</v>
      </c>
      <c r="C62" s="79" t="s">
        <v>1199</v>
      </c>
      <c r="D62" s="36" t="s">
        <v>8</v>
      </c>
      <c r="E62" s="37" t="n">
        <v>43218</v>
      </c>
      <c r="F62" s="16" t="s">
        <v>52</v>
      </c>
      <c r="G62" s="224" t="s">
        <v>70</v>
      </c>
      <c r="H62" s="333"/>
      <c r="I62" s="334"/>
      <c r="J62" s="333"/>
      <c r="K62" s="334"/>
      <c r="L62" s="333"/>
      <c r="M62" s="334"/>
      <c r="N62" s="333"/>
      <c r="O62" s="334"/>
      <c r="P62" s="336" t="n">
        <f aca="false">SUM(I62:O62)</f>
        <v>0</v>
      </c>
    </row>
    <row r="63" customFormat="false" ht="12.75" hidden="false" customHeight="true" outlineLevel="0" collapsed="false">
      <c r="A63" s="223" t="n">
        <v>1002</v>
      </c>
      <c r="B63" s="79" t="s">
        <v>1323</v>
      </c>
      <c r="C63" s="79" t="s">
        <v>1325</v>
      </c>
      <c r="D63" s="36" t="s">
        <v>26</v>
      </c>
      <c r="E63" s="37" t="n">
        <v>43983</v>
      </c>
      <c r="F63" s="16" t="s">
        <v>52</v>
      </c>
      <c r="G63" s="224" t="s">
        <v>70</v>
      </c>
      <c r="H63" s="333"/>
      <c r="I63" s="334"/>
      <c r="J63" s="333"/>
      <c r="K63" s="334"/>
      <c r="L63" s="333"/>
      <c r="M63" s="334"/>
      <c r="N63" s="333"/>
      <c r="O63" s="334"/>
      <c r="P63" s="336" t="n">
        <f aca="false">SUM(I63:O63)</f>
        <v>0</v>
      </c>
    </row>
    <row r="64" customFormat="false" ht="15" hidden="false" customHeight="true" outlineLevel="0" collapsed="false">
      <c r="A64" s="223" t="n">
        <v>1025</v>
      </c>
      <c r="B64" s="79" t="s">
        <v>1323</v>
      </c>
      <c r="C64" s="79" t="s">
        <v>1326</v>
      </c>
      <c r="D64" s="36" t="s">
        <v>26</v>
      </c>
      <c r="E64" s="37" t="n">
        <v>43226</v>
      </c>
      <c r="F64" s="16" t="s">
        <v>52</v>
      </c>
      <c r="G64" s="224" t="s">
        <v>70</v>
      </c>
      <c r="H64" s="357"/>
      <c r="I64" s="334"/>
      <c r="J64" s="357"/>
      <c r="K64" s="334"/>
      <c r="L64" s="333"/>
      <c r="M64" s="334"/>
      <c r="N64" s="333"/>
      <c r="O64" s="334"/>
      <c r="P64" s="336" t="n">
        <f aca="false">SUM(I64:O64)</f>
        <v>0</v>
      </c>
    </row>
    <row r="65" customFormat="false" ht="12.75" hidden="false" customHeight="true" outlineLevel="0" collapsed="false">
      <c r="A65" s="223" t="n">
        <v>1054</v>
      </c>
      <c r="B65" s="51" t="s">
        <v>369</v>
      </c>
      <c r="C65" s="51" t="s">
        <v>370</v>
      </c>
      <c r="D65" s="36" t="s">
        <v>8</v>
      </c>
      <c r="E65" s="37" t="n">
        <v>42829</v>
      </c>
      <c r="F65" s="16" t="s">
        <v>197</v>
      </c>
      <c r="G65" s="24" t="n">
        <v>500</v>
      </c>
      <c r="H65" s="357"/>
      <c r="I65" s="334"/>
      <c r="J65" s="357"/>
      <c r="K65" s="334"/>
      <c r="L65" s="333"/>
      <c r="M65" s="334"/>
      <c r="N65" s="333"/>
      <c r="O65" s="334"/>
      <c r="P65" s="336" t="n">
        <f aca="false">SUM(I65:O65)</f>
        <v>0</v>
      </c>
    </row>
    <row r="66" customFormat="false" ht="12.75" hidden="false" customHeight="true" outlineLevel="0" collapsed="false">
      <c r="A66" s="223" t="n">
        <v>1045</v>
      </c>
      <c r="B66" s="51" t="s">
        <v>1100</v>
      </c>
      <c r="C66" s="51" t="s">
        <v>1101</v>
      </c>
      <c r="D66" s="36" t="s">
        <v>8</v>
      </c>
      <c r="E66" s="37" t="n">
        <v>43031</v>
      </c>
      <c r="F66" s="16" t="s">
        <v>197</v>
      </c>
      <c r="G66" s="24" t="n">
        <v>500</v>
      </c>
      <c r="H66" s="333" t="s">
        <v>1346</v>
      </c>
      <c r="I66" s="334" t="n">
        <v>1</v>
      </c>
      <c r="J66" s="333" t="s">
        <v>1346</v>
      </c>
      <c r="K66" s="334"/>
      <c r="L66" s="333"/>
      <c r="M66" s="334"/>
      <c r="N66" s="333"/>
      <c r="O66" s="334"/>
      <c r="P66" s="336" t="n">
        <f aca="false">SUM(I66:O66)</f>
        <v>1</v>
      </c>
    </row>
    <row r="67" customFormat="false" ht="13.5" hidden="false" customHeight="true" outlineLevel="0" collapsed="false">
      <c r="A67" s="223" t="n">
        <v>1063</v>
      </c>
      <c r="B67" s="51" t="s">
        <v>40</v>
      </c>
      <c r="C67" s="51" t="s">
        <v>41</v>
      </c>
      <c r="D67" s="36" t="s">
        <v>8</v>
      </c>
      <c r="E67" s="52" t="n">
        <v>42765</v>
      </c>
      <c r="F67" s="16" t="s">
        <v>20</v>
      </c>
      <c r="G67" s="24" t="n">
        <v>500</v>
      </c>
      <c r="H67" s="333" t="s">
        <v>1346</v>
      </c>
      <c r="I67" s="334" t="n">
        <v>2</v>
      </c>
      <c r="J67" s="333" t="s">
        <v>1346</v>
      </c>
      <c r="K67" s="334"/>
      <c r="L67" s="333"/>
      <c r="M67" s="334"/>
      <c r="N67" s="333"/>
      <c r="O67" s="334"/>
      <c r="P67" s="336" t="n">
        <f aca="false">SUM(I67:O67)</f>
        <v>2</v>
      </c>
    </row>
    <row r="68" customFormat="false" ht="12.75" hidden="false" customHeight="true" outlineLevel="0" collapsed="false">
      <c r="A68" s="223" t="n">
        <v>1035</v>
      </c>
      <c r="B68" s="51" t="s">
        <v>102</v>
      </c>
      <c r="C68" s="51" t="s">
        <v>103</v>
      </c>
      <c r="D68" s="36" t="s">
        <v>8</v>
      </c>
      <c r="E68" s="52" t="n">
        <v>43110</v>
      </c>
      <c r="F68" s="16" t="s">
        <v>20</v>
      </c>
      <c r="G68" s="24" t="n">
        <v>500</v>
      </c>
      <c r="H68" s="343" t="s">
        <v>1346</v>
      </c>
      <c r="I68" s="342" t="n">
        <v>1</v>
      </c>
      <c r="J68" s="343" t="s">
        <v>1346</v>
      </c>
      <c r="K68" s="342"/>
      <c r="L68" s="343"/>
      <c r="M68" s="342"/>
      <c r="N68" s="343"/>
      <c r="O68" s="342"/>
      <c r="P68" s="345" t="n">
        <f aca="false">SUM(I68:O68)</f>
        <v>1</v>
      </c>
    </row>
    <row r="69" customFormat="false" ht="12.75" hidden="false" customHeight="true" outlineLevel="0" collapsed="false">
      <c r="A69" s="223" t="n">
        <v>1062</v>
      </c>
      <c r="B69" s="51" t="s">
        <v>396</v>
      </c>
      <c r="C69" s="51" t="s">
        <v>246</v>
      </c>
      <c r="D69" s="36" t="s">
        <v>8</v>
      </c>
      <c r="E69" s="52" t="n">
        <v>42785</v>
      </c>
      <c r="F69" s="16" t="s">
        <v>20</v>
      </c>
      <c r="G69" s="24" t="n">
        <v>500</v>
      </c>
      <c r="H69" s="333" t="s">
        <v>1346</v>
      </c>
      <c r="I69" s="334" t="n">
        <v>6</v>
      </c>
      <c r="J69" s="333" t="s">
        <v>1346</v>
      </c>
      <c r="K69" s="340"/>
      <c r="L69" s="333"/>
      <c r="M69" s="334"/>
      <c r="N69" s="333"/>
      <c r="O69" s="334"/>
      <c r="P69" s="336" t="n">
        <f aca="false">SUM(I69:O69)</f>
        <v>6</v>
      </c>
    </row>
    <row r="70" customFormat="false" ht="12.75" hidden="false" customHeight="true" outlineLevel="0" collapsed="false">
      <c r="A70" s="223" t="n">
        <v>1014</v>
      </c>
      <c r="B70" s="51" t="s">
        <v>1004</v>
      </c>
      <c r="C70" s="51" t="s">
        <v>1005</v>
      </c>
      <c r="D70" s="36" t="s">
        <v>26</v>
      </c>
      <c r="E70" s="52" t="n">
        <v>43409</v>
      </c>
      <c r="F70" s="16" t="s">
        <v>20</v>
      </c>
      <c r="G70" s="24" t="n">
        <v>500</v>
      </c>
      <c r="H70" s="357"/>
      <c r="I70" s="334"/>
      <c r="J70" s="357"/>
      <c r="K70" s="334"/>
      <c r="L70" s="333"/>
      <c r="M70" s="334"/>
      <c r="N70" s="333"/>
      <c r="O70" s="334"/>
      <c r="P70" s="336" t="n">
        <f aca="false">SUM(I70:O70)</f>
        <v>0</v>
      </c>
    </row>
    <row r="71" customFormat="false" ht="12.75" hidden="false" customHeight="true" outlineLevel="0" collapsed="false">
      <c r="A71" s="223" t="n">
        <v>1037</v>
      </c>
      <c r="B71" s="51" t="s">
        <v>1054</v>
      </c>
      <c r="C71" s="51" t="s">
        <v>215</v>
      </c>
      <c r="D71" s="36" t="s">
        <v>8</v>
      </c>
      <c r="E71" s="52" t="n">
        <v>43090</v>
      </c>
      <c r="F71" s="16" t="s">
        <v>20</v>
      </c>
      <c r="G71" s="24" t="n">
        <v>500</v>
      </c>
      <c r="H71" s="358"/>
      <c r="I71" s="340"/>
      <c r="J71" s="358"/>
      <c r="K71" s="340"/>
      <c r="L71" s="337"/>
      <c r="M71" s="340"/>
      <c r="N71" s="337"/>
      <c r="O71" s="340"/>
      <c r="P71" s="341" t="n">
        <f aca="false">SUM(I71:O71)</f>
        <v>0</v>
      </c>
    </row>
    <row r="72" customFormat="false" ht="13.5" hidden="false" customHeight="true" outlineLevel="0" collapsed="false">
      <c r="A72" s="223" t="n">
        <v>1039</v>
      </c>
      <c r="B72" s="51" t="s">
        <v>1211</v>
      </c>
      <c r="C72" s="51" t="s">
        <v>759</v>
      </c>
      <c r="D72" s="36" t="s">
        <v>8</v>
      </c>
      <c r="E72" s="52" t="n">
        <v>43081</v>
      </c>
      <c r="F72" s="16" t="s">
        <v>20</v>
      </c>
      <c r="G72" s="24" t="n">
        <v>500</v>
      </c>
      <c r="H72" s="359" t="s">
        <v>1346</v>
      </c>
      <c r="I72" s="342" t="n">
        <v>1</v>
      </c>
      <c r="J72" s="359" t="s">
        <v>1346</v>
      </c>
      <c r="K72" s="342"/>
      <c r="L72" s="343"/>
      <c r="M72" s="342"/>
      <c r="N72" s="343"/>
      <c r="O72" s="342"/>
      <c r="P72" s="345" t="n">
        <f aca="false">SUM(I72:O72)</f>
        <v>1</v>
      </c>
    </row>
    <row r="73" customFormat="false" ht="12.75" hidden="false" customHeight="true" outlineLevel="0" collapsed="false">
      <c r="A73" s="223" t="n">
        <v>1059</v>
      </c>
      <c r="B73" s="51" t="s">
        <v>1243</v>
      </c>
      <c r="C73" s="51" t="s">
        <v>578</v>
      </c>
      <c r="D73" s="36" t="s">
        <v>8</v>
      </c>
      <c r="E73" s="52" t="n">
        <v>42816</v>
      </c>
      <c r="F73" s="16" t="s">
        <v>20</v>
      </c>
      <c r="G73" s="24" t="n">
        <v>500</v>
      </c>
      <c r="H73" s="333" t="s">
        <v>1346</v>
      </c>
      <c r="I73" s="334" t="n">
        <v>7</v>
      </c>
      <c r="J73" s="333" t="s">
        <v>1346</v>
      </c>
      <c r="K73" s="334"/>
      <c r="L73" s="333"/>
      <c r="M73" s="334"/>
      <c r="N73" s="333"/>
      <c r="O73" s="334"/>
      <c r="P73" s="336" t="n">
        <f aca="false">SUM(I73:O73)</f>
        <v>7</v>
      </c>
    </row>
    <row r="74" customFormat="false" ht="13.5" hidden="false" customHeight="true" outlineLevel="0" collapsed="false">
      <c r="A74" s="223" t="n">
        <v>1033</v>
      </c>
      <c r="B74" s="51" t="s">
        <v>1288</v>
      </c>
      <c r="C74" s="51" t="s">
        <v>1289</v>
      </c>
      <c r="D74" s="36" t="s">
        <v>26</v>
      </c>
      <c r="E74" s="52" t="n">
        <v>43120</v>
      </c>
      <c r="F74" s="16" t="s">
        <v>20</v>
      </c>
      <c r="G74" s="360" t="n">
        <v>500</v>
      </c>
      <c r="H74" s="337"/>
      <c r="I74" s="340"/>
      <c r="J74" s="337"/>
      <c r="K74" s="340"/>
      <c r="L74" s="337"/>
      <c r="M74" s="340"/>
      <c r="N74" s="337"/>
      <c r="O74" s="340"/>
      <c r="P74" s="341" t="n">
        <f aca="false">SUM(I74:O74)</f>
        <v>0</v>
      </c>
    </row>
    <row r="75" customFormat="false" ht="13.5" hidden="false" customHeight="true" outlineLevel="0" collapsed="false">
      <c r="A75" s="223" t="n">
        <v>1027</v>
      </c>
      <c r="B75" s="108" t="s">
        <v>292</v>
      </c>
      <c r="C75" s="115" t="s">
        <v>228</v>
      </c>
      <c r="D75" s="36" t="s">
        <v>8</v>
      </c>
      <c r="E75" s="37" t="n">
        <v>43192</v>
      </c>
      <c r="F75" s="16" t="s">
        <v>29</v>
      </c>
      <c r="G75" s="361" t="s">
        <v>70</v>
      </c>
      <c r="H75" s="333"/>
      <c r="I75" s="334"/>
      <c r="J75" s="333"/>
      <c r="K75" s="334"/>
      <c r="L75" s="333"/>
      <c r="M75" s="334"/>
      <c r="N75" s="333"/>
      <c r="O75" s="334"/>
      <c r="P75" s="336" t="n">
        <f aca="false">SUM(I75:O75)</f>
        <v>0</v>
      </c>
    </row>
    <row r="76" customFormat="false" ht="12.75" hidden="false" customHeight="true" outlineLevel="0" collapsed="false">
      <c r="A76" s="223" t="n">
        <v>1053</v>
      </c>
      <c r="B76" s="108" t="s">
        <v>324</v>
      </c>
      <c r="C76" s="115" t="s">
        <v>323</v>
      </c>
      <c r="D76" s="36" t="s">
        <v>8</v>
      </c>
      <c r="E76" s="37" t="n">
        <v>42876</v>
      </c>
      <c r="F76" s="16" t="s">
        <v>29</v>
      </c>
      <c r="G76" s="24" t="s">
        <v>70</v>
      </c>
      <c r="H76" s="333"/>
      <c r="I76" s="334"/>
      <c r="J76" s="333"/>
      <c r="K76" s="334"/>
      <c r="L76" s="333"/>
      <c r="M76" s="334"/>
      <c r="N76" s="333"/>
      <c r="O76" s="334"/>
      <c r="P76" s="336" t="n">
        <f aca="false">SUM(I76:O76)</f>
        <v>0</v>
      </c>
    </row>
    <row r="77" customFormat="false" ht="12.75" hidden="false" customHeight="true" outlineLevel="0" collapsed="false">
      <c r="A77" s="223" t="n">
        <v>1048</v>
      </c>
      <c r="B77" s="108" t="s">
        <v>373</v>
      </c>
      <c r="C77" s="115" t="s">
        <v>171</v>
      </c>
      <c r="D77" s="36" t="s">
        <v>8</v>
      </c>
      <c r="E77" s="37" t="n">
        <v>42928</v>
      </c>
      <c r="F77" s="16" t="s">
        <v>29</v>
      </c>
      <c r="G77" s="24" t="s">
        <v>70</v>
      </c>
      <c r="H77" s="333"/>
      <c r="I77" s="334"/>
      <c r="J77" s="333"/>
      <c r="K77" s="334"/>
      <c r="L77" s="333"/>
      <c r="M77" s="334"/>
      <c r="N77" s="333"/>
      <c r="O77" s="334"/>
      <c r="P77" s="336" t="n">
        <f aca="false">SUM(I77:O77)</f>
        <v>0</v>
      </c>
    </row>
    <row r="78" customFormat="false" ht="12.75" hidden="false" customHeight="true" outlineLevel="0" collapsed="false">
      <c r="A78" s="223" t="n">
        <v>1015</v>
      </c>
      <c r="B78" s="108" t="s">
        <v>466</v>
      </c>
      <c r="C78" s="115" t="s">
        <v>469</v>
      </c>
      <c r="D78" s="36" t="s">
        <v>8</v>
      </c>
      <c r="E78" s="37" t="n">
        <v>43390</v>
      </c>
      <c r="F78" s="16" t="s">
        <v>29</v>
      </c>
      <c r="G78" s="24" t="s">
        <v>70</v>
      </c>
      <c r="H78" s="333"/>
      <c r="I78" s="334"/>
      <c r="J78" s="333"/>
      <c r="K78" s="334"/>
      <c r="L78" s="333"/>
      <c r="M78" s="334"/>
      <c r="N78" s="333"/>
      <c r="O78" s="334"/>
      <c r="P78" s="336" t="n">
        <f aca="false">SUM(I78:O78)</f>
        <v>0</v>
      </c>
    </row>
    <row r="79" customFormat="false" ht="12.75" hidden="false" customHeight="true" outlineLevel="0" collapsed="false">
      <c r="A79" s="223" t="n">
        <v>1022</v>
      </c>
      <c r="B79" s="108" t="s">
        <v>572</v>
      </c>
      <c r="C79" s="115" t="s">
        <v>417</v>
      </c>
      <c r="D79" s="36" t="s">
        <v>8</v>
      </c>
      <c r="E79" s="37" t="n">
        <v>43233</v>
      </c>
      <c r="F79" s="16" t="s">
        <v>29</v>
      </c>
      <c r="G79" s="24" t="s">
        <v>70</v>
      </c>
      <c r="H79" s="333"/>
      <c r="I79" s="338"/>
      <c r="J79" s="333"/>
      <c r="K79" s="338"/>
      <c r="L79" s="349"/>
      <c r="M79" s="338"/>
      <c r="N79" s="349"/>
      <c r="O79" s="338"/>
      <c r="P79" s="351" t="n">
        <f aca="false">SUM(I79:O79)</f>
        <v>0</v>
      </c>
    </row>
    <row r="80" customFormat="false" ht="12.75" hidden="false" customHeight="true" outlineLevel="0" collapsed="false">
      <c r="A80" s="223" t="n">
        <v>1032</v>
      </c>
      <c r="B80" s="123" t="s">
        <v>741</v>
      </c>
      <c r="C80" s="123" t="s">
        <v>742</v>
      </c>
      <c r="D80" s="36" t="s">
        <v>26</v>
      </c>
      <c r="E80" s="37" t="n">
        <v>43121</v>
      </c>
      <c r="F80" s="16" t="s">
        <v>29</v>
      </c>
      <c r="G80" s="24" t="s">
        <v>70</v>
      </c>
      <c r="H80" s="333"/>
      <c r="I80" s="342"/>
      <c r="J80" s="333"/>
      <c r="K80" s="342"/>
      <c r="L80" s="343"/>
      <c r="M80" s="342"/>
      <c r="N80" s="343"/>
      <c r="O80" s="342"/>
      <c r="P80" s="345" t="n">
        <f aca="false">SUM(I80:O80)</f>
        <v>0</v>
      </c>
    </row>
    <row r="81" customFormat="false" ht="12.75" hidden="false" customHeight="true" outlineLevel="0" collapsed="false">
      <c r="A81" s="223" t="n">
        <v>1044</v>
      </c>
      <c r="B81" s="108" t="s">
        <v>758</v>
      </c>
      <c r="C81" s="115" t="s">
        <v>759</v>
      </c>
      <c r="D81" s="36" t="s">
        <v>8</v>
      </c>
      <c r="E81" s="37" t="n">
        <v>43033</v>
      </c>
      <c r="F81" s="16" t="s">
        <v>29</v>
      </c>
      <c r="G81" s="24" t="s">
        <v>70</v>
      </c>
      <c r="H81" s="333"/>
      <c r="I81" s="334"/>
      <c r="J81" s="333"/>
      <c r="K81" s="334"/>
      <c r="L81" s="333"/>
      <c r="M81" s="334"/>
      <c r="N81" s="333"/>
      <c r="O81" s="334"/>
      <c r="P81" s="336" t="n">
        <f aca="false">SUM(I81:O81)</f>
        <v>0</v>
      </c>
    </row>
    <row r="82" customFormat="false" ht="12.75" hidden="false" customHeight="true" outlineLevel="0" collapsed="false">
      <c r="A82" s="223" t="n">
        <v>1049</v>
      </c>
      <c r="B82" s="108" t="s">
        <v>792</v>
      </c>
      <c r="C82" s="115" t="s">
        <v>267</v>
      </c>
      <c r="D82" s="36" t="s">
        <v>8</v>
      </c>
      <c r="E82" s="37" t="n">
        <v>42892</v>
      </c>
      <c r="F82" s="16" t="s">
        <v>29</v>
      </c>
      <c r="G82" s="24" t="s">
        <v>70</v>
      </c>
      <c r="H82" s="333"/>
      <c r="I82" s="338"/>
      <c r="J82" s="333"/>
      <c r="K82" s="338"/>
      <c r="L82" s="349"/>
      <c r="M82" s="338"/>
      <c r="N82" s="349"/>
      <c r="O82" s="338"/>
      <c r="P82" s="351" t="n">
        <f aca="false">SUM(I82:O82)</f>
        <v>0</v>
      </c>
    </row>
    <row r="83" customFormat="false" ht="12.75" hidden="false" customHeight="true" outlineLevel="0" collapsed="false">
      <c r="A83" s="223" t="n">
        <v>1029</v>
      </c>
      <c r="B83" s="123" t="s">
        <v>829</v>
      </c>
      <c r="C83" s="123" t="s">
        <v>830</v>
      </c>
      <c r="D83" s="36" t="s">
        <v>26</v>
      </c>
      <c r="E83" s="37" t="n">
        <v>43181</v>
      </c>
      <c r="F83" s="16" t="s">
        <v>29</v>
      </c>
      <c r="G83" s="24" t="s">
        <v>70</v>
      </c>
      <c r="H83" s="333" t="s">
        <v>1346</v>
      </c>
      <c r="I83" s="334" t="n">
        <v>7</v>
      </c>
      <c r="J83" s="333" t="s">
        <v>1346</v>
      </c>
      <c r="K83" s="334"/>
      <c r="L83" s="333"/>
      <c r="M83" s="334"/>
      <c r="N83" s="333"/>
      <c r="O83" s="334"/>
      <c r="P83" s="336" t="n">
        <f aca="false">SUM(I83:O83)</f>
        <v>7</v>
      </c>
    </row>
    <row r="84" customFormat="false" ht="13.5" hidden="false" customHeight="true" outlineLevel="0" collapsed="false">
      <c r="A84" s="223" t="n">
        <v>1017</v>
      </c>
      <c r="B84" s="108" t="s">
        <v>848</v>
      </c>
      <c r="C84" s="115" t="s">
        <v>554</v>
      </c>
      <c r="D84" s="36" t="s">
        <v>8</v>
      </c>
      <c r="E84" s="37" t="n">
        <v>43297</v>
      </c>
      <c r="F84" s="16" t="s">
        <v>29</v>
      </c>
      <c r="G84" s="24" t="s">
        <v>70</v>
      </c>
      <c r="H84" s="333"/>
      <c r="I84" s="334"/>
      <c r="J84" s="333"/>
      <c r="K84" s="334"/>
      <c r="L84" s="333"/>
      <c r="M84" s="334"/>
      <c r="N84" s="333"/>
      <c r="O84" s="334"/>
      <c r="P84" s="336" t="n">
        <f aca="false">SUM(I84:O84)</f>
        <v>0</v>
      </c>
    </row>
    <row r="85" customFormat="false" ht="12.75" hidden="false" customHeight="true" outlineLevel="0" collapsed="false">
      <c r="A85" s="223" t="n">
        <v>1047</v>
      </c>
      <c r="B85" s="108" t="s">
        <v>910</v>
      </c>
      <c r="C85" s="115" t="s">
        <v>214</v>
      </c>
      <c r="D85" s="36" t="s">
        <v>8</v>
      </c>
      <c r="E85" s="37" t="n">
        <v>42974</v>
      </c>
      <c r="F85" s="16" t="s">
        <v>29</v>
      </c>
      <c r="G85" s="24" t="s">
        <v>70</v>
      </c>
      <c r="H85" s="337"/>
      <c r="I85" s="340"/>
      <c r="J85" s="337"/>
      <c r="K85" s="340"/>
      <c r="L85" s="337"/>
      <c r="M85" s="340"/>
      <c r="N85" s="337"/>
      <c r="O85" s="340"/>
      <c r="P85" s="341" t="n">
        <f aca="false">SUM(I85:O85)</f>
        <v>0</v>
      </c>
    </row>
    <row r="86" customFormat="false" ht="15" hidden="false" customHeight="true" outlineLevel="0" collapsed="false">
      <c r="A86" s="223" t="n">
        <v>1051</v>
      </c>
      <c r="B86" s="108" t="s">
        <v>967</v>
      </c>
      <c r="C86" s="115" t="s">
        <v>966</v>
      </c>
      <c r="D86" s="36" t="s">
        <v>8</v>
      </c>
      <c r="E86" s="37" t="n">
        <v>42878</v>
      </c>
      <c r="F86" s="16" t="s">
        <v>29</v>
      </c>
      <c r="G86" s="24" t="s">
        <v>70</v>
      </c>
      <c r="H86" s="337"/>
      <c r="I86" s="340"/>
      <c r="J86" s="337"/>
      <c r="K86" s="340"/>
      <c r="L86" s="337"/>
      <c r="M86" s="340"/>
      <c r="N86" s="337"/>
      <c r="O86" s="340"/>
      <c r="P86" s="351" t="n">
        <f aca="false">SUM(I86:O86)</f>
        <v>0</v>
      </c>
    </row>
    <row r="87" customFormat="false" ht="15" hidden="false" customHeight="true" outlineLevel="0" collapsed="false">
      <c r="A87" s="223" t="n">
        <v>1005</v>
      </c>
      <c r="B87" s="123" t="s">
        <v>1009</v>
      </c>
      <c r="C87" s="123" t="s">
        <v>1008</v>
      </c>
      <c r="D87" s="36" t="s">
        <v>26</v>
      </c>
      <c r="E87" s="37" t="n">
        <v>43818</v>
      </c>
      <c r="F87" s="16" t="s">
        <v>29</v>
      </c>
      <c r="G87" s="24" t="s">
        <v>70</v>
      </c>
      <c r="H87" s="337"/>
      <c r="I87" s="340"/>
      <c r="J87" s="337"/>
      <c r="K87" s="342"/>
      <c r="L87" s="337"/>
      <c r="M87" s="340"/>
      <c r="N87" s="337"/>
      <c r="O87" s="340"/>
      <c r="P87" s="336" t="n">
        <f aca="false">SUM(I87:O87)</f>
        <v>0</v>
      </c>
    </row>
    <row r="88" customFormat="false" ht="15" hidden="false" customHeight="true" outlineLevel="0" collapsed="false">
      <c r="A88" s="223" t="n">
        <v>1031</v>
      </c>
      <c r="B88" s="108" t="s">
        <v>1030</v>
      </c>
      <c r="C88" s="115" t="s">
        <v>527</v>
      </c>
      <c r="D88" s="36" t="s">
        <v>8</v>
      </c>
      <c r="E88" s="37" t="n">
        <v>43151</v>
      </c>
      <c r="F88" s="16" t="s">
        <v>29</v>
      </c>
      <c r="G88" s="24" t="s">
        <v>70</v>
      </c>
      <c r="H88" s="349" t="s">
        <v>1346</v>
      </c>
      <c r="I88" s="338" t="n">
        <v>7</v>
      </c>
      <c r="J88" s="349" t="s">
        <v>1346</v>
      </c>
      <c r="K88" s="342"/>
      <c r="L88" s="349"/>
      <c r="M88" s="338"/>
      <c r="N88" s="349"/>
      <c r="O88" s="338"/>
      <c r="P88" s="351" t="n">
        <f aca="false">SUM(I88:O88)</f>
        <v>7</v>
      </c>
    </row>
    <row r="89" customFormat="false" ht="15" hidden="false" customHeight="true" outlineLevel="0" collapsed="false">
      <c r="A89" s="223" t="n">
        <v>1052</v>
      </c>
      <c r="B89" s="123" t="s">
        <v>1114</v>
      </c>
      <c r="C89" s="123" t="s">
        <v>531</v>
      </c>
      <c r="D89" s="36" t="s">
        <v>26</v>
      </c>
      <c r="E89" s="37" t="n">
        <v>42878</v>
      </c>
      <c r="F89" s="16" t="s">
        <v>29</v>
      </c>
      <c r="G89" s="24" t="s">
        <v>70</v>
      </c>
      <c r="H89" s="333"/>
      <c r="I89" s="334"/>
      <c r="J89" s="333"/>
      <c r="K89" s="334"/>
      <c r="L89" s="333"/>
      <c r="M89" s="334"/>
      <c r="N89" s="333"/>
      <c r="O89" s="334"/>
      <c r="P89" s="336" t="n">
        <f aca="false">SUM(I89:O89)</f>
        <v>0</v>
      </c>
    </row>
    <row r="90" customFormat="false" ht="12.75" hidden="false" customHeight="true" outlineLevel="0" collapsed="false">
      <c r="A90" s="223" t="n">
        <v>1042</v>
      </c>
      <c r="B90" s="108" t="s">
        <v>1208</v>
      </c>
      <c r="C90" s="115" t="s">
        <v>776</v>
      </c>
      <c r="D90" s="36" t="s">
        <v>8</v>
      </c>
      <c r="E90" s="37" t="n">
        <v>43037</v>
      </c>
      <c r="F90" s="16" t="s">
        <v>29</v>
      </c>
      <c r="G90" s="24" t="s">
        <v>70</v>
      </c>
      <c r="H90" s="343" t="s">
        <v>1346</v>
      </c>
      <c r="I90" s="342" t="n">
        <v>11</v>
      </c>
      <c r="J90" s="343" t="s">
        <v>1346</v>
      </c>
      <c r="K90" s="334"/>
      <c r="L90" s="343"/>
      <c r="M90" s="342"/>
      <c r="N90" s="343"/>
      <c r="O90" s="342"/>
      <c r="P90" s="345" t="n">
        <f aca="false">SUM(I90:O90)</f>
        <v>11</v>
      </c>
    </row>
    <row r="91" customFormat="false" ht="12.75" hidden="false" customHeight="true" outlineLevel="0" collapsed="false">
      <c r="A91" s="223" t="n">
        <v>1036</v>
      </c>
      <c r="B91" s="108" t="s">
        <v>460</v>
      </c>
      <c r="C91" s="108" t="s">
        <v>187</v>
      </c>
      <c r="D91" s="36" t="s">
        <v>8</v>
      </c>
      <c r="E91" s="37" t="n">
        <v>43092</v>
      </c>
      <c r="F91" s="16" t="s">
        <v>129</v>
      </c>
      <c r="G91" s="109" t="n">
        <v>500</v>
      </c>
      <c r="H91" s="343" t="s">
        <v>1346</v>
      </c>
      <c r="I91" s="342" t="n">
        <v>3</v>
      </c>
      <c r="J91" s="343" t="s">
        <v>1346</v>
      </c>
      <c r="K91" s="342"/>
      <c r="L91" s="343"/>
      <c r="M91" s="342"/>
      <c r="N91" s="343"/>
      <c r="O91" s="342"/>
      <c r="P91" s="345" t="n">
        <f aca="false">SUM(I91:O91)</f>
        <v>3</v>
      </c>
    </row>
    <row r="92" customFormat="false" ht="12.75" hidden="false" customHeight="true" outlineLevel="0" collapsed="false">
      <c r="A92" s="223" t="n">
        <v>1038</v>
      </c>
      <c r="B92" s="108" t="s">
        <v>784</v>
      </c>
      <c r="C92" s="108" t="s">
        <v>785</v>
      </c>
      <c r="D92" s="36" t="s">
        <v>26</v>
      </c>
      <c r="E92" s="37" t="n">
        <v>43086</v>
      </c>
      <c r="F92" s="16" t="s">
        <v>129</v>
      </c>
      <c r="G92" s="109" t="n">
        <v>500</v>
      </c>
      <c r="H92" s="357" t="s">
        <v>1346</v>
      </c>
      <c r="I92" s="334" t="n">
        <v>2</v>
      </c>
      <c r="J92" s="357" t="s">
        <v>1346</v>
      </c>
      <c r="K92" s="334"/>
      <c r="L92" s="333"/>
      <c r="M92" s="334"/>
      <c r="N92" s="333"/>
      <c r="O92" s="334"/>
      <c r="P92" s="336" t="n">
        <f aca="false">SUM(I92:O92)</f>
        <v>2</v>
      </c>
    </row>
    <row r="93" customFormat="false" ht="12.75" hidden="false" customHeight="true" outlineLevel="0" collapsed="false">
      <c r="A93" s="223" t="n">
        <v>1069</v>
      </c>
      <c r="B93" s="23" t="s">
        <v>6</v>
      </c>
      <c r="C93" s="23" t="s">
        <v>7</v>
      </c>
      <c r="D93" s="36" t="s">
        <v>8</v>
      </c>
      <c r="E93" s="43" t="n">
        <v>42911</v>
      </c>
      <c r="F93" s="332" t="s">
        <v>9</v>
      </c>
      <c r="G93" s="222" t="n">
        <v>500</v>
      </c>
      <c r="H93" s="355" t="s">
        <v>1346</v>
      </c>
      <c r="I93" s="335" t="n">
        <v>6</v>
      </c>
      <c r="J93" s="355" t="s">
        <v>1346</v>
      </c>
      <c r="K93" s="335"/>
      <c r="L93" s="355"/>
      <c r="M93" s="335"/>
      <c r="N93" s="355"/>
      <c r="O93" s="335"/>
      <c r="P93" s="356" t="n">
        <f aca="false">SUM(I93:O93)</f>
        <v>6</v>
      </c>
    </row>
    <row r="94" customFormat="false" ht="12.75" hidden="false" customHeight="true" outlineLevel="0" collapsed="false">
      <c r="A94" s="223" t="n">
        <v>1068</v>
      </c>
      <c r="B94" s="23" t="s">
        <v>44</v>
      </c>
      <c r="C94" s="23" t="s">
        <v>47</v>
      </c>
      <c r="D94" s="36" t="s">
        <v>8</v>
      </c>
      <c r="E94" s="43" t="n">
        <v>43264</v>
      </c>
      <c r="F94" s="332" t="s">
        <v>9</v>
      </c>
      <c r="G94" s="222" t="n">
        <v>508</v>
      </c>
      <c r="H94" s="359" t="s">
        <v>1346</v>
      </c>
      <c r="I94" s="342" t="n">
        <v>8</v>
      </c>
      <c r="J94" s="359" t="s">
        <v>1346</v>
      </c>
      <c r="K94" s="342"/>
      <c r="L94" s="343"/>
      <c r="M94" s="342"/>
      <c r="N94" s="343"/>
      <c r="O94" s="342"/>
      <c r="P94" s="345" t="n">
        <f aca="false">SUM(I94:O94)</f>
        <v>8</v>
      </c>
    </row>
    <row r="95" customFormat="false" ht="12.75" hidden="false" customHeight="true" outlineLevel="0" collapsed="false">
      <c r="A95" s="223" t="n">
        <v>1066</v>
      </c>
      <c r="B95" s="44" t="s">
        <v>873</v>
      </c>
      <c r="C95" s="44" t="s">
        <v>616</v>
      </c>
      <c r="D95" s="24" t="s">
        <v>8</v>
      </c>
      <c r="E95" s="362" t="n">
        <v>43218</v>
      </c>
      <c r="F95" s="16" t="s">
        <v>17</v>
      </c>
      <c r="G95" s="225" t="n">
        <v>500</v>
      </c>
      <c r="H95" s="333"/>
      <c r="I95" s="334"/>
      <c r="J95" s="333"/>
      <c r="K95" s="334"/>
      <c r="L95" s="333"/>
      <c r="M95" s="334"/>
      <c r="N95" s="333"/>
      <c r="O95" s="334"/>
      <c r="P95" s="336" t="n">
        <f aca="false">SUM(I95:O95)</f>
        <v>0</v>
      </c>
    </row>
    <row r="96" customFormat="false" ht="12.75" hidden="false" customHeight="true" outlineLevel="0" collapsed="false">
      <c r="A96" s="223" t="n">
        <v>1067</v>
      </c>
      <c r="B96" s="23" t="s">
        <v>1112</v>
      </c>
      <c r="C96" s="23" t="s">
        <v>1113</v>
      </c>
      <c r="D96" s="363" t="s">
        <v>26</v>
      </c>
      <c r="E96" s="364" t="n">
        <v>43332</v>
      </c>
      <c r="F96" s="332" t="s">
        <v>17</v>
      </c>
      <c r="G96" s="222" t="n">
        <v>500</v>
      </c>
      <c r="H96" s="349"/>
      <c r="I96" s="338"/>
      <c r="J96" s="349"/>
      <c r="K96" s="338"/>
      <c r="L96" s="349"/>
      <c r="M96" s="338"/>
      <c r="N96" s="349"/>
      <c r="O96" s="338"/>
      <c r="P96" s="341" t="n">
        <f aca="false">SUM(I96:O96)</f>
        <v>0</v>
      </c>
    </row>
    <row r="97" customFormat="false" ht="13.5" hidden="false" customHeight="true" outlineLevel="0" collapsed="false">
      <c r="A97" s="365" t="n">
        <v>1089</v>
      </c>
      <c r="B97" s="82" t="s">
        <v>1347</v>
      </c>
      <c r="C97" s="40" t="s">
        <v>78</v>
      </c>
      <c r="D97" s="14" t="s">
        <v>8</v>
      </c>
      <c r="E97" s="15" t="n">
        <v>42968</v>
      </c>
      <c r="F97" s="332" t="s">
        <v>9</v>
      </c>
      <c r="G97" s="366" t="n">
        <v>500</v>
      </c>
      <c r="H97" s="343" t="s">
        <v>1346</v>
      </c>
      <c r="I97" s="342" t="n">
        <v>6</v>
      </c>
      <c r="J97" s="343" t="s">
        <v>1346</v>
      </c>
      <c r="K97" s="342"/>
      <c r="L97" s="343"/>
      <c r="M97" s="342"/>
      <c r="N97" s="343"/>
      <c r="O97" s="342"/>
      <c r="P97" s="345" t="n">
        <f aca="false">SUM(I97:O97)</f>
        <v>6</v>
      </c>
    </row>
    <row r="98" customFormat="false" ht="13.5" hidden="false" customHeight="true" outlineLevel="0" collapsed="false">
      <c r="A98" s="365"/>
      <c r="B98" s="82"/>
      <c r="C98" s="40"/>
      <c r="D98" s="14"/>
      <c r="E98" s="15"/>
      <c r="F98" s="16"/>
      <c r="G98" s="366"/>
      <c r="H98" s="333"/>
      <c r="I98" s="334"/>
      <c r="J98" s="333"/>
      <c r="K98" s="334"/>
      <c r="L98" s="333"/>
      <c r="M98" s="334"/>
      <c r="N98" s="333"/>
      <c r="O98" s="334"/>
      <c r="P98" s="336" t="n">
        <f aca="false">SUM(I98:O98)</f>
        <v>0</v>
      </c>
    </row>
    <row r="99" customFormat="false" ht="13.5" hidden="false" customHeight="true" outlineLevel="0" collapsed="false">
      <c r="A99" s="365"/>
      <c r="B99" s="82"/>
      <c r="C99" s="40"/>
      <c r="D99" s="14"/>
      <c r="E99" s="15"/>
      <c r="F99" s="16"/>
      <c r="G99" s="367"/>
      <c r="H99" s="333"/>
      <c r="I99" s="334"/>
      <c r="J99" s="333"/>
      <c r="K99" s="334"/>
      <c r="L99" s="333"/>
      <c r="M99" s="334"/>
      <c r="N99" s="333"/>
      <c r="O99" s="334"/>
      <c r="P99" s="336" t="n">
        <f aca="false">SUM(I99:O99)</f>
        <v>0</v>
      </c>
    </row>
    <row r="100" customFormat="false" ht="13.5" hidden="false" customHeight="true" outlineLevel="0" collapsed="false">
      <c r="A100" s="365"/>
      <c r="B100" s="99"/>
      <c r="C100" s="100"/>
      <c r="D100" s="88"/>
      <c r="E100" s="159"/>
      <c r="F100" s="90"/>
      <c r="G100" s="367"/>
      <c r="H100" s="333"/>
      <c r="I100" s="334"/>
      <c r="J100" s="333"/>
      <c r="K100" s="334"/>
      <c r="L100" s="333"/>
      <c r="M100" s="334"/>
      <c r="N100" s="333"/>
      <c r="O100" s="334"/>
      <c r="P100" s="336" t="n">
        <f aca="false">SUM(I100:O100)</f>
        <v>0</v>
      </c>
    </row>
    <row r="101" customFormat="false" ht="12.75" hidden="false" customHeight="true" outlineLevel="0" collapsed="false">
      <c r="A101" s="365"/>
      <c r="B101" s="82"/>
      <c r="C101" s="40"/>
      <c r="D101" s="14"/>
      <c r="E101" s="15"/>
      <c r="F101" s="16"/>
      <c r="G101" s="367"/>
      <c r="H101" s="357"/>
      <c r="I101" s="334"/>
      <c r="J101" s="333"/>
      <c r="K101" s="334"/>
      <c r="L101" s="333"/>
      <c r="M101" s="334"/>
      <c r="N101" s="333"/>
      <c r="O101" s="334"/>
      <c r="P101" s="336" t="n">
        <f aca="false">SUM(I101:O101)</f>
        <v>0</v>
      </c>
    </row>
    <row r="102" customFormat="false" ht="13.5" hidden="false" customHeight="true" outlineLevel="0" collapsed="false">
      <c r="A102" s="365"/>
      <c r="B102" s="368"/>
      <c r="C102" s="34"/>
      <c r="D102" s="14"/>
      <c r="E102" s="15"/>
      <c r="F102" s="16"/>
      <c r="G102" s="369"/>
      <c r="H102" s="333"/>
      <c r="I102" s="334"/>
      <c r="J102" s="343"/>
      <c r="K102" s="342"/>
      <c r="L102" s="333"/>
      <c r="M102" s="334"/>
      <c r="N102" s="333"/>
      <c r="O102" s="334"/>
      <c r="P102" s="336" t="n">
        <f aca="false">SUM(I102:O102)</f>
        <v>0</v>
      </c>
    </row>
    <row r="103" customFormat="false" ht="13.5" hidden="false" customHeight="true" outlineLevel="0" collapsed="false">
      <c r="A103" s="365"/>
      <c r="B103" s="163"/>
      <c r="C103" s="164"/>
      <c r="D103" s="14"/>
      <c r="E103" s="155"/>
      <c r="F103" s="72"/>
      <c r="G103" s="370"/>
      <c r="H103" s="343"/>
      <c r="I103" s="342"/>
      <c r="J103" s="343"/>
      <c r="K103" s="342"/>
      <c r="L103" s="343"/>
      <c r="M103" s="342"/>
      <c r="N103" s="343"/>
      <c r="O103" s="342"/>
      <c r="P103" s="345" t="n">
        <f aca="false">SUM(I103:O103)</f>
        <v>0</v>
      </c>
    </row>
    <row r="104" customFormat="false" ht="13.5" hidden="false" customHeight="true" outlineLevel="0" collapsed="false">
      <c r="A104" s="365"/>
      <c r="B104" s="83"/>
      <c r="C104" s="83"/>
      <c r="D104" s="85"/>
      <c r="E104" s="118"/>
      <c r="F104" s="72"/>
      <c r="G104" s="371"/>
      <c r="H104" s="343"/>
      <c r="I104" s="342"/>
      <c r="J104" s="343"/>
      <c r="K104" s="342"/>
      <c r="L104" s="343"/>
      <c r="M104" s="342"/>
      <c r="N104" s="343"/>
      <c r="O104" s="342"/>
      <c r="P104" s="345" t="n">
        <f aca="false">SUM(I104:O104)</f>
        <v>0</v>
      </c>
    </row>
    <row r="105" customFormat="false" ht="13.5" hidden="false" customHeight="true" outlineLevel="0" collapsed="false">
      <c r="A105" s="365"/>
      <c r="B105" s="82"/>
      <c r="C105" s="40"/>
      <c r="D105" s="14"/>
      <c r="E105" s="15"/>
      <c r="F105" s="16"/>
      <c r="G105" s="372"/>
      <c r="H105" s="333"/>
      <c r="I105" s="334"/>
      <c r="J105" s="333"/>
      <c r="K105" s="334"/>
      <c r="L105" s="333"/>
      <c r="M105" s="334"/>
      <c r="N105" s="333"/>
      <c r="O105" s="334"/>
      <c r="P105" s="336" t="n">
        <f aca="false">SUM(I105:O105)</f>
        <v>0</v>
      </c>
    </row>
    <row r="106" customFormat="false" ht="13.5" hidden="false" customHeight="true" outlineLevel="0" collapsed="false">
      <c r="A106" s="365"/>
      <c r="B106" s="12"/>
      <c r="C106" s="13"/>
      <c r="D106" s="14"/>
      <c r="E106" s="15"/>
      <c r="F106" s="16"/>
      <c r="G106" s="367"/>
      <c r="H106" s="333"/>
      <c r="I106" s="334"/>
      <c r="J106" s="333"/>
      <c r="K106" s="334"/>
      <c r="L106" s="333"/>
      <c r="M106" s="334"/>
      <c r="N106" s="333"/>
      <c r="O106" s="334"/>
      <c r="P106" s="336" t="n">
        <f aca="false">SUM(I106:O106)</f>
        <v>0</v>
      </c>
    </row>
    <row r="107" customFormat="false" ht="12.75" hidden="false" customHeight="true" outlineLevel="0" collapsed="false">
      <c r="A107" s="365"/>
      <c r="B107" s="82"/>
      <c r="C107" s="40"/>
      <c r="D107" s="14"/>
      <c r="E107" s="15"/>
      <c r="F107" s="16"/>
      <c r="G107" s="372"/>
      <c r="H107" s="357"/>
      <c r="I107" s="334"/>
      <c r="J107" s="333"/>
      <c r="K107" s="334"/>
      <c r="L107" s="333"/>
      <c r="M107" s="334"/>
      <c r="N107" s="333"/>
      <c r="O107" s="334"/>
      <c r="P107" s="336" t="n">
        <f aca="false">SUM(I107:O107)</f>
        <v>0</v>
      </c>
    </row>
    <row r="108" customFormat="false" ht="13.5" hidden="false" customHeight="true" outlineLevel="0" collapsed="false">
      <c r="A108" s="365"/>
      <c r="B108" s="82"/>
      <c r="C108" s="40"/>
      <c r="D108" s="14"/>
      <c r="E108" s="15"/>
      <c r="F108" s="16"/>
      <c r="G108" s="367"/>
      <c r="H108" s="333"/>
      <c r="I108" s="334"/>
      <c r="J108" s="333"/>
      <c r="K108" s="334"/>
      <c r="L108" s="333"/>
      <c r="M108" s="334"/>
      <c r="N108" s="333"/>
      <c r="O108" s="334"/>
      <c r="P108" s="336" t="n">
        <f aca="false">SUM(I108:O108)</f>
        <v>0</v>
      </c>
    </row>
    <row r="109" customFormat="false" ht="13.5" hidden="false" customHeight="true" outlineLevel="0" collapsed="false">
      <c r="A109" s="365"/>
      <c r="B109" s="373"/>
      <c r="C109" s="67"/>
      <c r="D109" s="29"/>
      <c r="E109" s="175"/>
      <c r="F109" s="31"/>
      <c r="G109" s="374"/>
      <c r="H109" s="349"/>
      <c r="I109" s="338"/>
      <c r="J109" s="349"/>
      <c r="K109" s="338"/>
      <c r="L109" s="349"/>
      <c r="M109" s="338"/>
      <c r="N109" s="349"/>
      <c r="O109" s="338"/>
      <c r="P109" s="351" t="n">
        <f aca="false">SUM(I109:O109)</f>
        <v>0</v>
      </c>
    </row>
    <row r="110" customFormat="false" ht="12.75" hidden="false" customHeight="true" outlineLevel="0" collapsed="false">
      <c r="A110" s="365"/>
      <c r="B110" s="82"/>
      <c r="C110" s="40"/>
      <c r="D110" s="14"/>
      <c r="E110" s="15"/>
      <c r="F110" s="16"/>
      <c r="G110" s="367"/>
      <c r="H110" s="333"/>
      <c r="I110" s="334"/>
      <c r="J110" s="333"/>
      <c r="K110" s="334"/>
      <c r="L110" s="333"/>
      <c r="M110" s="334"/>
      <c r="N110" s="333"/>
      <c r="O110" s="334"/>
      <c r="P110" s="336" t="n">
        <f aca="false">SUM(I110:O110)</f>
        <v>0</v>
      </c>
    </row>
    <row r="111" customFormat="false" ht="12.75" hidden="false" customHeight="true" outlineLevel="0" collapsed="false">
      <c r="A111" s="365"/>
      <c r="B111" s="12"/>
      <c r="C111" s="13"/>
      <c r="D111" s="14"/>
      <c r="E111" s="15"/>
      <c r="F111" s="16"/>
      <c r="G111" s="367"/>
      <c r="H111" s="333"/>
      <c r="I111" s="334"/>
      <c r="J111" s="333"/>
      <c r="K111" s="334"/>
      <c r="L111" s="333"/>
      <c r="M111" s="334"/>
      <c r="N111" s="333"/>
      <c r="O111" s="334"/>
      <c r="P111" s="336" t="n">
        <f aca="false">SUM(I111:O111)</f>
        <v>0</v>
      </c>
    </row>
    <row r="112" customFormat="false" ht="13.5" hidden="false" customHeight="true" outlineLevel="0" collapsed="false">
      <c r="A112" s="365"/>
      <c r="B112" s="368"/>
      <c r="C112" s="34"/>
      <c r="D112" s="14"/>
      <c r="E112" s="15"/>
      <c r="F112" s="16"/>
      <c r="G112" s="369"/>
      <c r="H112" s="333"/>
      <c r="I112" s="334"/>
      <c r="J112" s="333"/>
      <c r="K112" s="334"/>
      <c r="L112" s="333"/>
      <c r="M112" s="334"/>
      <c r="N112" s="333"/>
      <c r="O112" s="334"/>
      <c r="P112" s="336" t="n">
        <f aca="false">SUM(I112:O112)</f>
        <v>0</v>
      </c>
    </row>
    <row r="113" customFormat="false" ht="12.75" hidden="false" customHeight="true" outlineLevel="0" collapsed="false">
      <c r="A113" s="365"/>
      <c r="B113" s="82"/>
      <c r="C113" s="40"/>
      <c r="D113" s="14"/>
      <c r="E113" s="15"/>
      <c r="F113" s="16"/>
      <c r="G113" s="372"/>
      <c r="H113" s="357"/>
      <c r="I113" s="334"/>
      <c r="J113" s="333"/>
      <c r="K113" s="334"/>
      <c r="L113" s="333"/>
      <c r="M113" s="334"/>
      <c r="N113" s="333"/>
      <c r="O113" s="334"/>
      <c r="P113" s="336" t="n">
        <f aca="false">SUM(I113:O113)</f>
        <v>0</v>
      </c>
    </row>
    <row r="114" customFormat="false" ht="12.75" hidden="false" customHeight="true" outlineLevel="0" collapsed="false">
      <c r="A114" s="365"/>
      <c r="B114" s="82"/>
      <c r="C114" s="40"/>
      <c r="D114" s="14"/>
      <c r="E114" s="15"/>
      <c r="F114" s="16"/>
      <c r="G114" s="367"/>
      <c r="H114" s="333"/>
      <c r="I114" s="334"/>
      <c r="J114" s="333"/>
      <c r="K114" s="334"/>
      <c r="L114" s="333"/>
      <c r="M114" s="334"/>
      <c r="N114" s="333"/>
      <c r="O114" s="334"/>
      <c r="P114" s="336" t="n">
        <f aca="false">SUM(I114:O114)</f>
        <v>0</v>
      </c>
    </row>
    <row r="115" customFormat="false" ht="15" hidden="false" customHeight="true" outlineLevel="0" collapsed="false">
      <c r="A115" s="365"/>
      <c r="B115" s="12"/>
      <c r="C115" s="13"/>
      <c r="D115" s="14"/>
      <c r="E115" s="32"/>
      <c r="F115" s="16"/>
      <c r="G115" s="367"/>
      <c r="H115" s="333"/>
      <c r="I115" s="334"/>
      <c r="J115" s="333"/>
      <c r="K115" s="334"/>
      <c r="L115" s="333"/>
      <c r="M115" s="334"/>
      <c r="N115" s="333"/>
      <c r="O115" s="334"/>
      <c r="P115" s="336" t="n">
        <f aca="false">SUM(I115:O115)</f>
        <v>0</v>
      </c>
    </row>
    <row r="116" customFormat="false" ht="15" hidden="false" customHeight="true" outlineLevel="0" collapsed="false">
      <c r="A116" s="365"/>
      <c r="B116" s="12"/>
      <c r="C116" s="13"/>
      <c r="D116" s="14"/>
      <c r="E116" s="32"/>
      <c r="F116" s="16"/>
      <c r="G116" s="367"/>
      <c r="H116" s="357"/>
      <c r="I116" s="334"/>
      <c r="J116" s="333"/>
      <c r="K116" s="334"/>
      <c r="L116" s="333"/>
      <c r="M116" s="334"/>
      <c r="N116" s="333"/>
      <c r="O116" s="334"/>
      <c r="P116" s="336" t="n">
        <f aca="false">SUM(I116:O116)</f>
        <v>0</v>
      </c>
    </row>
    <row r="117" customFormat="false" ht="15" hidden="false" customHeight="true" outlineLevel="0" collapsed="false">
      <c r="A117" s="365"/>
      <c r="B117" s="12"/>
      <c r="C117" s="13"/>
      <c r="D117" s="14"/>
      <c r="E117" s="32"/>
      <c r="F117" s="16"/>
      <c r="G117" s="367"/>
      <c r="H117" s="333"/>
      <c r="I117" s="334"/>
      <c r="J117" s="333"/>
      <c r="K117" s="334"/>
      <c r="L117" s="333"/>
      <c r="M117" s="334"/>
      <c r="N117" s="333"/>
      <c r="O117" s="334"/>
      <c r="P117" s="336" t="n">
        <f aca="false">SUM(I117:O117)</f>
        <v>0</v>
      </c>
    </row>
    <row r="118" customFormat="false" ht="15" hidden="false" customHeight="true" outlineLevel="0" collapsed="false">
      <c r="A118" s="365"/>
      <c r="B118" s="368"/>
      <c r="C118" s="34"/>
      <c r="D118" s="14"/>
      <c r="E118" s="15"/>
      <c r="F118" s="16"/>
      <c r="G118" s="369"/>
      <c r="H118" s="333"/>
      <c r="I118" s="334"/>
      <c r="J118" s="333"/>
      <c r="K118" s="334"/>
      <c r="L118" s="333"/>
      <c r="M118" s="334"/>
      <c r="N118" s="333"/>
      <c r="O118" s="334"/>
      <c r="P118" s="336" t="n">
        <f aca="false">SUM(I118:O118)</f>
        <v>0</v>
      </c>
    </row>
    <row r="119" customFormat="false" ht="15" hidden="false" customHeight="true" outlineLevel="0" collapsed="false">
      <c r="A119" s="365"/>
      <c r="B119" s="375"/>
      <c r="C119" s="131"/>
      <c r="D119" s="29"/>
      <c r="E119" s="175"/>
      <c r="F119" s="31"/>
      <c r="G119" s="376"/>
      <c r="H119" s="377"/>
      <c r="I119" s="338"/>
      <c r="J119" s="349"/>
      <c r="K119" s="338"/>
      <c r="L119" s="349"/>
      <c r="M119" s="338"/>
      <c r="N119" s="349"/>
      <c r="O119" s="338"/>
      <c r="P119" s="351" t="n">
        <f aca="false">SUM(I119:O119)</f>
        <v>0</v>
      </c>
    </row>
    <row r="120" customFormat="false" ht="15" hidden="false" customHeight="true" outlineLevel="0" collapsed="false">
      <c r="A120" s="365"/>
      <c r="B120" s="82"/>
      <c r="C120" s="40"/>
      <c r="D120" s="14"/>
      <c r="E120" s="15"/>
      <c r="F120" s="16"/>
      <c r="G120" s="367"/>
      <c r="H120" s="333"/>
      <c r="I120" s="334"/>
      <c r="J120" s="333"/>
      <c r="K120" s="334"/>
      <c r="L120" s="333"/>
      <c r="M120" s="334"/>
      <c r="N120" s="333"/>
      <c r="O120" s="334"/>
      <c r="P120" s="336" t="n">
        <f aca="false">SUM(I120:O120)</f>
        <v>0</v>
      </c>
    </row>
    <row r="121" customFormat="false" ht="15" hidden="false" customHeight="true" outlineLevel="0" collapsed="false">
      <c r="A121" s="365"/>
      <c r="B121" s="82"/>
      <c r="C121" s="40"/>
      <c r="D121" s="14"/>
      <c r="E121" s="15"/>
      <c r="F121" s="16"/>
      <c r="G121" s="367"/>
      <c r="H121" s="333"/>
      <c r="I121" s="334"/>
      <c r="J121" s="333"/>
      <c r="K121" s="334"/>
      <c r="L121" s="333"/>
      <c r="M121" s="334"/>
      <c r="N121" s="333"/>
      <c r="O121" s="334"/>
      <c r="P121" s="336" t="n">
        <f aca="false">SUM(I121:O121)</f>
        <v>0</v>
      </c>
    </row>
    <row r="122" customFormat="false" ht="15" hidden="false" customHeight="true" outlineLevel="0" collapsed="false">
      <c r="A122" s="365"/>
      <c r="B122" s="101"/>
      <c r="C122" s="98"/>
      <c r="D122" s="29"/>
      <c r="E122" s="175"/>
      <c r="F122" s="31"/>
      <c r="G122" s="378"/>
      <c r="H122" s="377"/>
      <c r="I122" s="338"/>
      <c r="J122" s="349"/>
      <c r="K122" s="338"/>
      <c r="L122" s="349"/>
      <c r="M122" s="338"/>
      <c r="N122" s="349"/>
      <c r="O122" s="338"/>
      <c r="P122" s="351" t="n">
        <f aca="false">SUM(I122:O122)</f>
        <v>0</v>
      </c>
    </row>
    <row r="123" customFormat="false" ht="15" hidden="false" customHeight="true" outlineLevel="0" collapsed="false">
      <c r="A123" s="365"/>
      <c r="B123" s="57"/>
      <c r="C123" s="58"/>
      <c r="D123" s="14"/>
      <c r="E123" s="15"/>
      <c r="F123" s="16"/>
      <c r="G123" s="367"/>
      <c r="H123" s="333"/>
      <c r="I123" s="334"/>
      <c r="J123" s="333"/>
      <c r="K123" s="334"/>
      <c r="L123" s="333"/>
      <c r="M123" s="334"/>
      <c r="N123" s="333"/>
      <c r="O123" s="334"/>
      <c r="P123" s="336" t="n">
        <f aca="false">SUM(I123:O123)</f>
        <v>0</v>
      </c>
    </row>
    <row r="124" customFormat="false" ht="15" hidden="false" customHeight="true" outlineLevel="0" collapsed="false">
      <c r="A124" s="365"/>
      <c r="B124" s="12"/>
      <c r="C124" s="13"/>
      <c r="D124" s="14"/>
      <c r="E124" s="15"/>
      <c r="F124" s="16"/>
      <c r="G124" s="367"/>
      <c r="H124" s="349"/>
      <c r="I124" s="338"/>
      <c r="J124" s="349"/>
      <c r="K124" s="338"/>
      <c r="L124" s="349"/>
      <c r="M124" s="338"/>
      <c r="N124" s="349"/>
      <c r="O124" s="338"/>
      <c r="P124" s="351" t="n">
        <f aca="false">SUM(I124:O124)</f>
        <v>0</v>
      </c>
    </row>
    <row r="125" customFormat="false" ht="15" hidden="false" customHeight="true" outlineLevel="0" collapsed="false">
      <c r="A125" s="365"/>
      <c r="B125" s="82"/>
      <c r="C125" s="40"/>
      <c r="D125" s="14"/>
      <c r="E125" s="15"/>
      <c r="F125" s="16"/>
      <c r="G125" s="367"/>
      <c r="H125" s="357"/>
      <c r="I125" s="334"/>
      <c r="J125" s="333"/>
      <c r="K125" s="334"/>
      <c r="L125" s="333"/>
      <c r="M125" s="334"/>
      <c r="N125" s="333"/>
      <c r="O125" s="334"/>
      <c r="P125" s="336" t="n">
        <f aca="false">SUM(I125:O125)</f>
        <v>0</v>
      </c>
    </row>
    <row r="126" customFormat="false" ht="15" hidden="false" customHeight="true" outlineLevel="0" collapsed="false">
      <c r="A126" s="365"/>
      <c r="B126" s="82"/>
      <c r="C126" s="40"/>
      <c r="D126" s="14"/>
      <c r="E126" s="15"/>
      <c r="F126" s="16"/>
      <c r="G126" s="367"/>
      <c r="H126" s="349"/>
      <c r="I126" s="338"/>
      <c r="J126" s="333"/>
      <c r="K126" s="334"/>
      <c r="L126" s="349"/>
      <c r="M126" s="338"/>
      <c r="N126" s="349"/>
      <c r="O126" s="338"/>
      <c r="P126" s="351" t="n">
        <f aca="false">SUM(I126:O126)</f>
        <v>0</v>
      </c>
    </row>
    <row r="127" customFormat="false" ht="15" hidden="false" customHeight="true" outlineLevel="0" collapsed="false">
      <c r="A127" s="379"/>
      <c r="B127" s="380"/>
      <c r="C127" s="151"/>
      <c r="D127" s="85"/>
      <c r="E127" s="155"/>
      <c r="F127" s="72"/>
      <c r="G127" s="371"/>
      <c r="H127" s="343"/>
      <c r="I127" s="342"/>
      <c r="J127" s="333"/>
      <c r="K127" s="334"/>
      <c r="L127" s="343"/>
      <c r="M127" s="342"/>
      <c r="N127" s="343"/>
      <c r="O127" s="342"/>
      <c r="P127" s="345" t="n">
        <f aca="false">SUM(I127:O127)</f>
        <v>0</v>
      </c>
    </row>
    <row r="128" customFormat="false" ht="15" hidden="false" customHeight="true" outlineLevel="0" collapsed="false">
      <c r="A128" s="379"/>
      <c r="B128" s="82"/>
      <c r="C128" s="40"/>
      <c r="D128" s="14"/>
      <c r="E128" s="15"/>
      <c r="F128" s="16"/>
      <c r="G128" s="367"/>
      <c r="H128" s="333"/>
      <c r="I128" s="334"/>
      <c r="J128" s="333"/>
      <c r="K128" s="334"/>
      <c r="L128" s="333"/>
      <c r="M128" s="334"/>
      <c r="N128" s="333"/>
      <c r="O128" s="334"/>
      <c r="P128" s="336" t="n">
        <f aca="false">SUM(I128:O128)</f>
        <v>0</v>
      </c>
    </row>
    <row r="129" customFormat="false" ht="15" hidden="false" customHeight="true" outlineLevel="0" collapsed="false">
      <c r="A129" s="379"/>
      <c r="B129" s="368"/>
      <c r="C129" s="34"/>
      <c r="D129" s="14"/>
      <c r="E129" s="15"/>
      <c r="F129" s="16"/>
      <c r="G129" s="369"/>
      <c r="H129" s="337"/>
      <c r="I129" s="340"/>
      <c r="J129" s="337"/>
      <c r="K129" s="340"/>
      <c r="L129" s="337"/>
      <c r="M129" s="340"/>
      <c r="N129" s="337"/>
      <c r="O129" s="340"/>
      <c r="P129" s="341" t="n">
        <f aca="false">SUM(I129:O129)</f>
        <v>0</v>
      </c>
    </row>
    <row r="130" customFormat="false" ht="15" hidden="false" customHeight="true" outlineLevel="0" collapsed="false">
      <c r="A130" s="379"/>
      <c r="B130" s="368"/>
      <c r="C130" s="34"/>
      <c r="D130" s="14"/>
      <c r="E130" s="15"/>
      <c r="F130" s="16"/>
      <c r="G130" s="369"/>
      <c r="H130" s="357"/>
      <c r="I130" s="334"/>
      <c r="J130" s="333"/>
      <c r="K130" s="334"/>
      <c r="L130" s="333"/>
      <c r="M130" s="334"/>
      <c r="N130" s="333"/>
      <c r="O130" s="334"/>
      <c r="P130" s="336" t="n">
        <f aca="false">SUM(I130:O130)</f>
        <v>0</v>
      </c>
    </row>
    <row r="131" customFormat="false" ht="15" hidden="false" customHeight="true" outlineLevel="0" collapsed="false">
      <c r="A131" s="379"/>
      <c r="B131" s="154"/>
      <c r="C131" s="119"/>
      <c r="D131" s="85"/>
      <c r="E131" s="155"/>
      <c r="F131" s="72"/>
      <c r="G131" s="370"/>
      <c r="H131" s="343"/>
      <c r="I131" s="342"/>
      <c r="J131" s="333"/>
      <c r="K131" s="334"/>
      <c r="L131" s="343"/>
      <c r="M131" s="342"/>
      <c r="N131" s="343"/>
      <c r="O131" s="342"/>
      <c r="P131" s="345" t="n">
        <f aca="false">SUM(I131:O131)</f>
        <v>0</v>
      </c>
    </row>
    <row r="132" customFormat="false" ht="15" hidden="false" customHeight="true" outlineLevel="0" collapsed="false">
      <c r="A132" s="379"/>
      <c r="B132" s="82"/>
      <c r="C132" s="40"/>
      <c r="D132" s="14"/>
      <c r="E132" s="155"/>
      <c r="F132" s="16"/>
      <c r="G132" s="367"/>
      <c r="H132" s="333"/>
      <c r="I132" s="334"/>
      <c r="J132" s="333"/>
      <c r="K132" s="334"/>
      <c r="L132" s="333"/>
      <c r="M132" s="334"/>
      <c r="N132" s="333"/>
      <c r="O132" s="334"/>
      <c r="P132" s="336" t="n">
        <f aca="false">SUM(I132:O132)</f>
        <v>0</v>
      </c>
    </row>
    <row r="133" customFormat="false" ht="15" hidden="false" customHeight="true" outlineLevel="0" collapsed="false">
      <c r="A133" s="379"/>
      <c r="B133" s="12"/>
      <c r="C133" s="13"/>
      <c r="D133" s="14"/>
      <c r="E133" s="155"/>
      <c r="F133" s="16"/>
      <c r="G133" s="369"/>
      <c r="H133" s="357"/>
      <c r="I133" s="334"/>
      <c r="J133" s="343"/>
      <c r="K133" s="342"/>
      <c r="L133" s="333"/>
      <c r="M133" s="334"/>
      <c r="N133" s="333"/>
      <c r="O133" s="334"/>
      <c r="P133" s="336" t="n">
        <f aca="false">SUM(I133:O133)</f>
        <v>0</v>
      </c>
    </row>
    <row r="134" customFormat="false" ht="15" hidden="false" customHeight="true" outlineLevel="0" collapsed="false">
      <c r="A134" s="379"/>
      <c r="B134" s="82"/>
      <c r="C134" s="40"/>
      <c r="D134" s="14"/>
      <c r="E134" s="155"/>
      <c r="F134" s="16"/>
      <c r="G134" s="372"/>
      <c r="H134" s="333"/>
      <c r="I134" s="334"/>
      <c r="J134" s="333"/>
      <c r="K134" s="334"/>
      <c r="L134" s="333"/>
      <c r="M134" s="334"/>
      <c r="N134" s="333"/>
      <c r="O134" s="334"/>
      <c r="P134" s="336" t="n">
        <f aca="false">SUM(I134:O134)</f>
        <v>0</v>
      </c>
    </row>
    <row r="135" customFormat="false" ht="15" hidden="false" customHeight="true" outlineLevel="0" collapsed="false">
      <c r="A135" s="379"/>
      <c r="B135" s="154"/>
      <c r="C135" s="119"/>
      <c r="D135" s="85"/>
      <c r="E135" s="155"/>
      <c r="F135" s="72"/>
      <c r="G135" s="370"/>
      <c r="H135" s="343"/>
      <c r="I135" s="342"/>
      <c r="J135" s="343"/>
      <c r="K135" s="342"/>
      <c r="L135" s="343"/>
      <c r="M135" s="342"/>
      <c r="N135" s="343"/>
      <c r="O135" s="342"/>
      <c r="P135" s="345" t="n">
        <f aca="false">SUM(I135:O135)</f>
        <v>0</v>
      </c>
    </row>
    <row r="136" customFormat="false" ht="15" hidden="false" customHeight="true" outlineLevel="0" collapsed="false">
      <c r="A136" s="379"/>
      <c r="B136" s="82"/>
      <c r="C136" s="40"/>
      <c r="D136" s="14"/>
      <c r="E136" s="155"/>
      <c r="F136" s="16"/>
      <c r="G136" s="372"/>
      <c r="H136" s="333"/>
      <c r="I136" s="334"/>
      <c r="J136" s="333"/>
      <c r="K136" s="334"/>
      <c r="L136" s="333"/>
      <c r="M136" s="334"/>
      <c r="N136" s="333"/>
      <c r="O136" s="334"/>
      <c r="P136" s="336" t="n">
        <f aca="false">SUM(I136:O136)</f>
        <v>0</v>
      </c>
    </row>
    <row r="137" customFormat="false" ht="15" hidden="false" customHeight="true" outlineLevel="0" collapsed="false">
      <c r="A137" s="379"/>
      <c r="B137" s="82"/>
      <c r="C137" s="40"/>
      <c r="D137" s="14"/>
      <c r="E137" s="15"/>
      <c r="F137" s="16"/>
      <c r="G137" s="372"/>
      <c r="H137" s="333"/>
      <c r="I137" s="334"/>
      <c r="J137" s="333"/>
      <c r="K137" s="334"/>
      <c r="L137" s="333"/>
      <c r="M137" s="334"/>
      <c r="N137" s="333"/>
      <c r="O137" s="334"/>
      <c r="P137" s="336" t="n">
        <f aca="false">SUM(I137:O137)</f>
        <v>0</v>
      </c>
    </row>
    <row r="138" customFormat="false" ht="15" hidden="false" customHeight="true" outlineLevel="0" collapsed="false">
      <c r="A138" s="379"/>
      <c r="B138" s="157"/>
      <c r="C138" s="87"/>
      <c r="D138" s="88"/>
      <c r="E138" s="15"/>
      <c r="F138" s="90"/>
      <c r="G138" s="381"/>
      <c r="H138" s="337"/>
      <c r="I138" s="340"/>
      <c r="J138" s="337"/>
      <c r="K138" s="340"/>
      <c r="L138" s="337"/>
      <c r="M138" s="340"/>
      <c r="N138" s="337"/>
      <c r="O138" s="340"/>
      <c r="P138" s="341" t="n">
        <f aca="false">SUM(I138:O138)</f>
        <v>0</v>
      </c>
    </row>
    <row r="139" customFormat="false" ht="15" hidden="false" customHeight="true" outlineLevel="0" collapsed="false">
      <c r="A139" s="379"/>
      <c r="B139" s="12"/>
      <c r="C139" s="13"/>
      <c r="D139" s="14"/>
      <c r="E139" s="15"/>
      <c r="F139" s="16"/>
      <c r="G139" s="367"/>
      <c r="H139" s="357"/>
      <c r="I139" s="334"/>
      <c r="J139" s="333"/>
      <c r="K139" s="334"/>
      <c r="L139" s="333"/>
      <c r="M139" s="334"/>
      <c r="N139" s="333"/>
      <c r="O139" s="334"/>
      <c r="P139" s="336" t="n">
        <f aca="false">SUM(I139:O139)</f>
        <v>0</v>
      </c>
    </row>
    <row r="140" customFormat="false" ht="15" hidden="false" customHeight="true" outlineLevel="0" collapsed="false">
      <c r="A140" s="379"/>
      <c r="B140" s="12"/>
      <c r="C140" s="13"/>
      <c r="D140" s="14"/>
      <c r="E140" s="32"/>
      <c r="F140" s="16"/>
      <c r="G140" s="367"/>
      <c r="H140" s="333"/>
      <c r="I140" s="334"/>
      <c r="J140" s="333"/>
      <c r="K140" s="334"/>
      <c r="L140" s="333"/>
      <c r="M140" s="334"/>
      <c r="N140" s="333"/>
      <c r="O140" s="334"/>
      <c r="P140" s="336" t="n">
        <f aca="false">SUM(I140:O140)</f>
        <v>0</v>
      </c>
    </row>
    <row r="141" customFormat="false" ht="15" hidden="false" customHeight="true" outlineLevel="0" collapsed="false">
      <c r="A141" s="379"/>
      <c r="B141" s="12"/>
      <c r="C141" s="13"/>
      <c r="D141" s="14"/>
      <c r="E141" s="32"/>
      <c r="F141" s="16"/>
      <c r="G141" s="367"/>
      <c r="H141" s="333"/>
      <c r="I141" s="334"/>
      <c r="J141" s="333"/>
      <c r="K141" s="334"/>
      <c r="L141" s="333"/>
      <c r="M141" s="334"/>
      <c r="N141" s="333"/>
      <c r="O141" s="334"/>
      <c r="P141" s="336" t="n">
        <f aca="false">SUM(I141:O141)</f>
        <v>0</v>
      </c>
    </row>
    <row r="142" customFormat="false" ht="15" hidden="false" customHeight="true" outlineLevel="0" collapsed="false">
      <c r="A142" s="379"/>
      <c r="B142" s="82"/>
      <c r="C142" s="40"/>
      <c r="D142" s="14"/>
      <c r="E142" s="15"/>
      <c r="F142" s="16"/>
      <c r="G142" s="367"/>
      <c r="H142" s="333"/>
      <c r="I142" s="334"/>
      <c r="J142" s="333"/>
      <c r="K142" s="334"/>
      <c r="L142" s="333"/>
      <c r="M142" s="334"/>
      <c r="N142" s="333"/>
      <c r="O142" s="334"/>
      <c r="P142" s="336" t="n">
        <f aca="false">SUM(I142:O142)</f>
        <v>0</v>
      </c>
    </row>
    <row r="143" customFormat="false" ht="15" hidden="false" customHeight="true" outlineLevel="0" collapsed="false">
      <c r="B143" s="382"/>
      <c r="C143" s="34"/>
      <c r="D143" s="14"/>
      <c r="E143" s="15"/>
      <c r="F143" s="16"/>
      <c r="G143" s="367"/>
      <c r="H143" s="333"/>
      <c r="I143" s="334"/>
      <c r="J143" s="333"/>
      <c r="K143" s="334"/>
      <c r="L143" s="333"/>
      <c r="M143" s="334"/>
      <c r="N143" s="333"/>
      <c r="O143" s="334"/>
      <c r="P143" s="336" t="n">
        <f aca="false">SUM(I143:O143)</f>
        <v>0</v>
      </c>
    </row>
    <row r="144" customFormat="false" ht="15" hidden="false" customHeight="true" outlineLevel="0" collapsed="false">
      <c r="B144" s="383"/>
      <c r="C144" s="383"/>
      <c r="D144" s="14"/>
      <c r="E144" s="384"/>
      <c r="F144" s="16"/>
      <c r="G144" s="385"/>
      <c r="H144" s="337"/>
      <c r="I144" s="340"/>
      <c r="J144" s="337"/>
      <c r="K144" s="340"/>
      <c r="L144" s="337"/>
      <c r="M144" s="340"/>
      <c r="N144" s="337"/>
      <c r="O144" s="340"/>
      <c r="P144" s="341" t="n">
        <f aca="false">SUM(I144:O144)</f>
        <v>0</v>
      </c>
    </row>
    <row r="145" customFormat="false" ht="15" hidden="false" customHeight="true" outlineLevel="0" collapsed="false">
      <c r="B145" s="129"/>
      <c r="C145" s="129"/>
      <c r="D145" s="14"/>
      <c r="E145" s="384"/>
      <c r="F145" s="16"/>
      <c r="G145" s="386"/>
      <c r="H145" s="333"/>
      <c r="I145" s="334"/>
      <c r="J145" s="333"/>
      <c r="K145" s="334"/>
      <c r="L145" s="333"/>
      <c r="M145" s="334"/>
      <c r="N145" s="333"/>
      <c r="O145" s="334"/>
      <c r="P145" s="336" t="n">
        <f aca="false">SUM(I145:O145)</f>
        <v>0</v>
      </c>
    </row>
    <row r="146" customFormat="false" ht="15" hidden="false" customHeight="true" outlineLevel="0" collapsed="false">
      <c r="B146" s="387"/>
      <c r="C146" s="129"/>
      <c r="D146" s="14"/>
      <c r="E146" s="388"/>
      <c r="F146" s="16"/>
      <c r="G146" s="386"/>
      <c r="H146" s="333"/>
      <c r="I146" s="334"/>
      <c r="J146" s="333"/>
      <c r="K146" s="334"/>
      <c r="L146" s="333"/>
      <c r="M146" s="334"/>
      <c r="N146" s="333"/>
      <c r="O146" s="334"/>
      <c r="P146" s="336" t="n">
        <f aca="false">SUM(I146:O146)</f>
        <v>0</v>
      </c>
    </row>
    <row r="147" customFormat="false" ht="15" hidden="false" customHeight="true" outlineLevel="0" collapsed="false">
      <c r="B147" s="387"/>
      <c r="C147" s="129"/>
      <c r="D147" s="14"/>
      <c r="E147" s="130"/>
      <c r="F147" s="16"/>
      <c r="G147" s="386"/>
      <c r="H147" s="333"/>
      <c r="I147" s="334"/>
      <c r="J147" s="333"/>
      <c r="K147" s="334"/>
      <c r="L147" s="333"/>
      <c r="M147" s="334"/>
      <c r="N147" s="333"/>
      <c r="O147" s="334"/>
      <c r="P147" s="336" t="n">
        <f aca="false">SUM(I147:O147)</f>
        <v>0</v>
      </c>
    </row>
    <row r="148" customFormat="false" ht="15" hidden="false" customHeight="true" outlineLevel="0" collapsed="false">
      <c r="B148" s="387"/>
      <c r="C148" s="129"/>
      <c r="D148" s="14"/>
      <c r="E148" s="389"/>
      <c r="F148" s="16"/>
      <c r="G148" s="386"/>
      <c r="H148" s="333"/>
      <c r="I148" s="334"/>
      <c r="J148" s="333"/>
      <c r="K148" s="334"/>
      <c r="L148" s="333"/>
      <c r="M148" s="334"/>
      <c r="N148" s="333"/>
      <c r="O148" s="334"/>
      <c r="P148" s="336" t="n">
        <f aca="false">SUM(I148:O148)</f>
        <v>0</v>
      </c>
    </row>
    <row r="149" customFormat="false" ht="15" hidden="false" customHeight="true" outlineLevel="0" collapsed="false">
      <c r="B149" s="129"/>
      <c r="C149" s="129"/>
      <c r="D149" s="14"/>
      <c r="E149" s="130"/>
      <c r="F149" s="16"/>
      <c r="G149" s="386"/>
      <c r="H149" s="333"/>
      <c r="I149" s="334"/>
      <c r="J149" s="333"/>
      <c r="K149" s="334"/>
      <c r="L149" s="333"/>
      <c r="M149" s="334"/>
      <c r="N149" s="333"/>
      <c r="O149" s="334"/>
      <c r="P149" s="336" t="n">
        <f aca="false">SUM(I149:O149)</f>
        <v>0</v>
      </c>
    </row>
    <row r="150" customFormat="false" ht="15" hidden="false" customHeight="true" outlineLevel="0" collapsed="false">
      <c r="B150" s="129"/>
      <c r="C150" s="129"/>
      <c r="D150" s="14"/>
      <c r="E150" s="130"/>
      <c r="F150" s="16"/>
      <c r="G150" s="386"/>
      <c r="H150" s="333"/>
      <c r="I150" s="334"/>
      <c r="J150" s="333"/>
      <c r="K150" s="334"/>
      <c r="L150" s="333"/>
      <c r="M150" s="334"/>
      <c r="N150" s="333"/>
      <c r="O150" s="334"/>
      <c r="P150" s="336" t="n">
        <f aca="false">SUM(I150:O150)</f>
        <v>0</v>
      </c>
    </row>
    <row r="151" customFormat="false" ht="15" hidden="false" customHeight="true" outlineLevel="0" collapsed="false">
      <c r="B151" s="129"/>
      <c r="C151" s="129"/>
      <c r="D151" s="14"/>
      <c r="E151" s="130"/>
      <c r="F151" s="16"/>
      <c r="G151" s="386"/>
      <c r="H151" s="333"/>
      <c r="I151" s="334"/>
      <c r="J151" s="333"/>
      <c r="K151" s="334"/>
      <c r="L151" s="333"/>
      <c r="M151" s="334"/>
      <c r="N151" s="333"/>
      <c r="O151" s="334"/>
      <c r="P151" s="336" t="n">
        <f aca="false">SUM(I151:O151)</f>
        <v>0</v>
      </c>
    </row>
    <row r="152" customFormat="false" ht="15" hidden="false" customHeight="true" outlineLevel="0" collapsed="false">
      <c r="B152" s="129"/>
      <c r="C152" s="129"/>
      <c r="D152" s="14"/>
      <c r="E152" s="130"/>
      <c r="F152" s="16"/>
      <c r="G152" s="386"/>
      <c r="H152" s="333"/>
      <c r="I152" s="334"/>
      <c r="J152" s="333"/>
      <c r="K152" s="334"/>
      <c r="L152" s="333"/>
      <c r="M152" s="334"/>
      <c r="N152" s="333"/>
      <c r="O152" s="334"/>
      <c r="P152" s="336" t="n">
        <f aca="false">SUM(I152:O152)</f>
        <v>0</v>
      </c>
    </row>
    <row r="153" customFormat="false" ht="15" hidden="false" customHeight="true" outlineLevel="0" collapsed="false">
      <c r="B153" s="129"/>
      <c r="C153" s="129"/>
      <c r="D153" s="14"/>
      <c r="E153" s="130"/>
      <c r="F153" s="16"/>
      <c r="G153" s="386"/>
      <c r="H153" s="343"/>
      <c r="I153" s="342"/>
      <c r="J153" s="343"/>
      <c r="K153" s="342"/>
      <c r="L153" s="343"/>
      <c r="M153" s="342"/>
      <c r="N153" s="343"/>
      <c r="O153" s="342"/>
      <c r="P153" s="345" t="n">
        <f aca="false">SUM(I153:O153)</f>
        <v>0</v>
      </c>
    </row>
    <row r="154" customFormat="false" ht="15" hidden="false" customHeight="true" outlineLevel="0" collapsed="false">
      <c r="B154" s="129"/>
      <c r="C154" s="129"/>
      <c r="D154" s="16"/>
      <c r="E154" s="390"/>
      <c r="F154" s="225"/>
      <c r="G154" s="391" t="s">
        <v>1348</v>
      </c>
      <c r="H154" s="392" t="n">
        <f aca="false">COUNTA(H8:H153)</f>
        <v>30</v>
      </c>
      <c r="I154" s="393"/>
      <c r="J154" s="394" t="n">
        <f aca="false">COUNTA(J8:J153)</f>
        <v>30</v>
      </c>
      <c r="K154" s="393" t="s">
        <v>1349</v>
      </c>
      <c r="L154" s="392" t="n">
        <f aca="false">COUNTA(L8:L153)</f>
        <v>0</v>
      </c>
      <c r="M154" s="393"/>
      <c r="N154" s="392" t="n">
        <f aca="false">COUNTA(N8:N153)</f>
        <v>0</v>
      </c>
      <c r="O154" s="393"/>
      <c r="P154" s="395" t="n">
        <f aca="false">COUNTIF(P8:P153,"&gt;0")</f>
        <v>30</v>
      </c>
    </row>
    <row r="155" customFormat="false" ht="12.75" hidden="false" customHeight="true" outlineLevel="0" collapsed="false">
      <c r="B155" s="295"/>
      <c r="C155" s="295"/>
      <c r="D155" s="38"/>
      <c r="E155" s="38"/>
      <c r="F155" s="38"/>
    </row>
    <row r="156" customFormat="false" ht="12.75" hidden="false" customHeight="true" outlineLevel="0" collapsed="false">
      <c r="B156" s="295"/>
      <c r="C156" s="295"/>
      <c r="D156" s="38"/>
      <c r="E156" s="38"/>
      <c r="F156" s="38"/>
    </row>
    <row r="157" customFormat="false" ht="12.75" hidden="false" customHeight="true" outlineLevel="0" collapsed="false">
      <c r="B157" s="295"/>
      <c r="C157" s="295"/>
      <c r="D157" s="38"/>
      <c r="E157" s="38"/>
      <c r="F157" s="38"/>
    </row>
    <row r="158" customFormat="false" ht="12.75" hidden="false" customHeight="true" outlineLevel="0" collapsed="false">
      <c r="B158" s="295"/>
      <c r="C158" s="295"/>
      <c r="D158" s="38"/>
      <c r="E158" s="38"/>
      <c r="F158" s="38"/>
    </row>
    <row r="159" customFormat="false" ht="12.75" hidden="false" customHeight="true" outlineLevel="0" collapsed="false">
      <c r="B159" s="295"/>
      <c r="C159" s="295"/>
      <c r="D159" s="38"/>
      <c r="E159" s="38"/>
      <c r="F159" s="38"/>
    </row>
    <row r="160" customFormat="false" ht="12.75" hidden="false" customHeight="true" outlineLevel="0" collapsed="false">
      <c r="B160" s="295"/>
      <c r="C160" s="295"/>
      <c r="D160" s="38"/>
      <c r="E160" s="38"/>
      <c r="F160" s="38"/>
    </row>
    <row r="161" customFormat="false" ht="12.75" hidden="false" customHeight="true" outlineLevel="0" collapsed="false">
      <c r="B161" s="295"/>
      <c r="C161" s="295"/>
      <c r="D161" s="38"/>
      <c r="E161" s="38"/>
      <c r="F161" s="38"/>
    </row>
    <row r="162" customFormat="false" ht="12.75" hidden="false" customHeight="true" outlineLevel="0" collapsed="false">
      <c r="B162" s="295"/>
      <c r="C162" s="295"/>
      <c r="D162" s="38"/>
      <c r="E162" s="38"/>
      <c r="F162" s="38"/>
    </row>
    <row r="163" customFormat="false" ht="12.75" hidden="false" customHeight="true" outlineLevel="0" collapsed="false">
      <c r="B163" s="295"/>
      <c r="C163" s="295"/>
      <c r="D163" s="38"/>
      <c r="E163" s="38"/>
      <c r="F163" s="38"/>
    </row>
    <row r="164" customFormat="false" ht="12.75" hidden="false" customHeight="true" outlineLevel="0" collapsed="false">
      <c r="B164" s="295"/>
      <c r="C164" s="295"/>
      <c r="D164" s="38"/>
      <c r="E164" s="38"/>
      <c r="F164" s="38"/>
    </row>
    <row r="165" customFormat="false" ht="12.75" hidden="false" customHeight="true" outlineLevel="0" collapsed="false">
      <c r="B165" s="295"/>
      <c r="C165" s="295"/>
      <c r="D165" s="38"/>
      <c r="E165" s="38"/>
      <c r="F165" s="38"/>
    </row>
    <row r="166" customFormat="false" ht="12.75" hidden="false" customHeight="true" outlineLevel="0" collapsed="false">
      <c r="B166" s="295"/>
      <c r="C166" s="295"/>
      <c r="D166" s="38"/>
      <c r="E166" s="38"/>
      <c r="F166" s="38"/>
    </row>
    <row r="167" customFormat="false" ht="12.75" hidden="false" customHeight="true" outlineLevel="0" collapsed="false">
      <c r="B167" s="295"/>
      <c r="C167" s="295"/>
      <c r="D167" s="38"/>
      <c r="E167" s="38"/>
      <c r="F167" s="38"/>
    </row>
    <row r="168" customFormat="false" ht="12.75" hidden="false" customHeight="true" outlineLevel="0" collapsed="false">
      <c r="B168" s="295"/>
      <c r="C168" s="295"/>
      <c r="D168" s="38"/>
      <c r="E168" s="38"/>
      <c r="F168" s="38"/>
    </row>
    <row r="169" customFormat="false" ht="12.75" hidden="false" customHeight="true" outlineLevel="0" collapsed="false">
      <c r="B169" s="295"/>
      <c r="C169" s="295"/>
      <c r="D169" s="38"/>
      <c r="E169" s="38"/>
      <c r="F169" s="38"/>
    </row>
    <row r="170" customFormat="false" ht="12.75" hidden="false" customHeight="true" outlineLevel="0" collapsed="false">
      <c r="B170" s="295"/>
      <c r="C170" s="295"/>
      <c r="D170" s="38"/>
      <c r="E170" s="38"/>
      <c r="F170" s="38"/>
    </row>
    <row r="171" customFormat="false" ht="12.75" hidden="false" customHeight="true" outlineLevel="0" collapsed="false">
      <c r="B171" s="295"/>
      <c r="C171" s="295"/>
      <c r="D171" s="38"/>
      <c r="E171" s="38"/>
      <c r="F171" s="38"/>
    </row>
    <row r="172" customFormat="false" ht="12.75" hidden="false" customHeight="true" outlineLevel="0" collapsed="false">
      <c r="B172" s="295"/>
      <c r="C172" s="295"/>
      <c r="D172" s="38"/>
      <c r="E172" s="38"/>
      <c r="F172" s="38"/>
    </row>
    <row r="173" customFormat="false" ht="12.75" hidden="false" customHeight="true" outlineLevel="0" collapsed="false">
      <c r="B173" s="295"/>
      <c r="C173" s="295"/>
      <c r="D173" s="38"/>
      <c r="E173" s="38"/>
      <c r="F173" s="38"/>
    </row>
    <row r="174" customFormat="false" ht="12.75" hidden="false" customHeight="true" outlineLevel="0" collapsed="false">
      <c r="B174" s="295"/>
      <c r="C174" s="295"/>
      <c r="D174" s="38"/>
      <c r="E174" s="38"/>
      <c r="F174" s="38"/>
    </row>
    <row r="175" customFormat="false" ht="12.75" hidden="false" customHeight="true" outlineLevel="0" collapsed="false">
      <c r="B175" s="295"/>
      <c r="C175" s="295"/>
      <c r="D175" s="38"/>
      <c r="E175" s="38"/>
      <c r="F175" s="38"/>
    </row>
    <row r="176" customFormat="false" ht="12.75" hidden="false" customHeight="true" outlineLevel="0" collapsed="false">
      <c r="B176" s="295"/>
      <c r="C176" s="295"/>
      <c r="D176" s="38"/>
      <c r="E176" s="38"/>
      <c r="F176" s="38"/>
    </row>
    <row r="177" customFormat="false" ht="12.75" hidden="false" customHeight="true" outlineLevel="0" collapsed="false">
      <c r="B177" s="295"/>
      <c r="C177" s="295"/>
      <c r="D177" s="38"/>
      <c r="E177" s="38"/>
      <c r="F177" s="38"/>
    </row>
    <row r="178" customFormat="false" ht="12.75" hidden="false" customHeight="true" outlineLevel="0" collapsed="false">
      <c r="B178" s="295"/>
      <c r="C178" s="295"/>
      <c r="D178" s="38"/>
      <c r="E178" s="38"/>
      <c r="F178" s="38"/>
    </row>
    <row r="179" customFormat="false" ht="12.75" hidden="false" customHeight="true" outlineLevel="0" collapsed="false">
      <c r="B179" s="295"/>
      <c r="C179" s="295"/>
      <c r="D179" s="38"/>
      <c r="E179" s="38"/>
      <c r="F179" s="38"/>
    </row>
    <row r="180" customFormat="false" ht="12.75" hidden="false" customHeight="true" outlineLevel="0" collapsed="false">
      <c r="B180" s="295"/>
      <c r="C180" s="295"/>
      <c r="D180" s="38"/>
      <c r="E180" s="38"/>
      <c r="F180" s="38"/>
    </row>
    <row r="181" customFormat="false" ht="12.75" hidden="false" customHeight="true" outlineLevel="0" collapsed="false">
      <c r="B181" s="295"/>
      <c r="C181" s="295"/>
      <c r="D181" s="38"/>
      <c r="E181" s="38"/>
      <c r="F181" s="38"/>
    </row>
    <row r="182" customFormat="false" ht="12.75" hidden="false" customHeight="true" outlineLevel="0" collapsed="false">
      <c r="B182" s="295"/>
      <c r="C182" s="295"/>
      <c r="D182" s="38"/>
      <c r="E182" s="38"/>
      <c r="F182" s="38"/>
    </row>
    <row r="183" customFormat="false" ht="12.75" hidden="false" customHeight="true" outlineLevel="0" collapsed="false">
      <c r="B183" s="295"/>
      <c r="C183" s="295"/>
      <c r="D183" s="38"/>
      <c r="E183" s="38"/>
      <c r="F183" s="38"/>
    </row>
    <row r="184" customFormat="false" ht="12.75" hidden="false" customHeight="true" outlineLevel="0" collapsed="false">
      <c r="B184" s="295"/>
      <c r="C184" s="295"/>
      <c r="D184" s="38"/>
      <c r="E184" s="38"/>
      <c r="F184" s="38"/>
    </row>
    <row r="185" customFormat="false" ht="12.75" hidden="false" customHeight="true" outlineLevel="0" collapsed="false">
      <c r="B185" s="295"/>
      <c r="C185" s="295"/>
      <c r="D185" s="38"/>
      <c r="E185" s="38"/>
      <c r="F185" s="38"/>
    </row>
    <row r="186" customFormat="false" ht="12.75" hidden="false" customHeight="true" outlineLevel="0" collapsed="false">
      <c r="B186" s="295"/>
      <c r="C186" s="295"/>
      <c r="D186" s="38"/>
      <c r="E186" s="38"/>
      <c r="F186" s="38"/>
    </row>
    <row r="187" customFormat="false" ht="12.75" hidden="false" customHeight="true" outlineLevel="0" collapsed="false">
      <c r="B187" s="295"/>
      <c r="C187" s="295"/>
      <c r="D187" s="38"/>
      <c r="E187" s="38"/>
      <c r="F187" s="38"/>
    </row>
    <row r="188" customFormat="false" ht="12.75" hidden="false" customHeight="true" outlineLevel="0" collapsed="false">
      <c r="B188" s="295"/>
      <c r="C188" s="295"/>
      <c r="D188" s="38"/>
      <c r="E188" s="38"/>
      <c r="F188" s="38"/>
    </row>
    <row r="189" customFormat="false" ht="12.75" hidden="false" customHeight="true" outlineLevel="0" collapsed="false">
      <c r="B189" s="295"/>
      <c r="C189" s="295"/>
      <c r="D189" s="38"/>
      <c r="E189" s="38"/>
      <c r="F189" s="38"/>
    </row>
    <row r="190" customFormat="false" ht="12.75" hidden="false" customHeight="true" outlineLevel="0" collapsed="false">
      <c r="B190" s="295"/>
      <c r="C190" s="295"/>
      <c r="D190" s="38"/>
      <c r="E190" s="38"/>
      <c r="F190" s="38"/>
    </row>
    <row r="191" customFormat="false" ht="12.75" hidden="false" customHeight="true" outlineLevel="0" collapsed="false">
      <c r="B191" s="295"/>
      <c r="C191" s="295"/>
      <c r="D191" s="38"/>
      <c r="E191" s="38"/>
      <c r="F191" s="38"/>
    </row>
    <row r="192" customFormat="false" ht="12.75" hidden="false" customHeight="true" outlineLevel="0" collapsed="false">
      <c r="B192" s="295"/>
      <c r="C192" s="295"/>
      <c r="D192" s="38"/>
      <c r="E192" s="38"/>
      <c r="F192" s="38"/>
    </row>
    <row r="193" customFormat="false" ht="12.75" hidden="false" customHeight="true" outlineLevel="0" collapsed="false">
      <c r="B193" s="295"/>
      <c r="C193" s="295"/>
      <c r="D193" s="38"/>
      <c r="E193" s="38"/>
      <c r="F193" s="38"/>
    </row>
    <row r="194" customFormat="false" ht="12.75" hidden="false" customHeight="true" outlineLevel="0" collapsed="false">
      <c r="B194" s="295"/>
      <c r="C194" s="295"/>
      <c r="D194" s="38"/>
      <c r="E194" s="38"/>
      <c r="F194" s="38"/>
    </row>
    <row r="195" customFormat="false" ht="12.75" hidden="false" customHeight="true" outlineLevel="0" collapsed="false">
      <c r="B195" s="295"/>
      <c r="C195" s="295"/>
      <c r="D195" s="38"/>
      <c r="E195" s="38"/>
      <c r="F195" s="38"/>
    </row>
    <row r="196" customFormat="false" ht="12.75" hidden="false" customHeight="true" outlineLevel="0" collapsed="false">
      <c r="B196" s="295"/>
      <c r="C196" s="295"/>
      <c r="D196" s="38"/>
      <c r="E196" s="38"/>
      <c r="F196" s="38"/>
    </row>
    <row r="197" customFormat="false" ht="12.75" hidden="false" customHeight="true" outlineLevel="0" collapsed="false">
      <c r="B197" s="295"/>
      <c r="C197" s="295"/>
      <c r="D197" s="38"/>
      <c r="E197" s="38"/>
      <c r="F197" s="38"/>
    </row>
    <row r="198" customFormat="false" ht="12.75" hidden="false" customHeight="true" outlineLevel="0" collapsed="false">
      <c r="B198" s="295"/>
      <c r="C198" s="295"/>
      <c r="D198" s="38"/>
      <c r="E198" s="38"/>
      <c r="F198" s="38"/>
    </row>
    <row r="199" customFormat="false" ht="12.75" hidden="false" customHeight="true" outlineLevel="0" collapsed="false">
      <c r="B199" s="295"/>
      <c r="C199" s="295"/>
      <c r="D199" s="38"/>
      <c r="E199" s="38"/>
      <c r="F199" s="38"/>
    </row>
    <row r="200" customFormat="false" ht="12.75" hidden="false" customHeight="true" outlineLevel="0" collapsed="false">
      <c r="B200" s="295"/>
      <c r="C200" s="295"/>
      <c r="D200" s="38"/>
      <c r="E200" s="38"/>
      <c r="F200" s="38"/>
    </row>
    <row r="201" customFormat="false" ht="12.75" hidden="false" customHeight="true" outlineLevel="0" collapsed="false">
      <c r="B201" s="295"/>
      <c r="C201" s="295"/>
      <c r="D201" s="38"/>
      <c r="E201" s="38"/>
      <c r="F201" s="38"/>
    </row>
    <row r="202" customFormat="false" ht="12.75" hidden="false" customHeight="true" outlineLevel="0" collapsed="false">
      <c r="B202" s="295"/>
      <c r="C202" s="295"/>
      <c r="D202" s="38"/>
      <c r="E202" s="38"/>
      <c r="F202" s="38"/>
    </row>
    <row r="203" customFormat="false" ht="12.75" hidden="false" customHeight="true" outlineLevel="0" collapsed="false">
      <c r="B203" s="295"/>
      <c r="C203" s="295"/>
      <c r="D203" s="38"/>
      <c r="E203" s="38"/>
      <c r="F203" s="38"/>
    </row>
    <row r="204" customFormat="false" ht="12.75" hidden="false" customHeight="true" outlineLevel="0" collapsed="false">
      <c r="B204" s="295"/>
      <c r="C204" s="295"/>
      <c r="D204" s="38"/>
      <c r="E204" s="38"/>
      <c r="F204" s="38"/>
    </row>
    <row r="205" customFormat="false" ht="12.75" hidden="false" customHeight="true" outlineLevel="0" collapsed="false">
      <c r="B205" s="295"/>
      <c r="C205" s="295"/>
      <c r="D205" s="38"/>
      <c r="E205" s="38"/>
      <c r="F205" s="38"/>
    </row>
    <row r="206" customFormat="false" ht="12.75" hidden="false" customHeight="true" outlineLevel="0" collapsed="false">
      <c r="B206" s="295"/>
      <c r="C206" s="295"/>
      <c r="D206" s="38"/>
      <c r="E206" s="38"/>
      <c r="F206" s="38"/>
    </row>
    <row r="207" customFormat="false" ht="12.75" hidden="false" customHeight="true" outlineLevel="0" collapsed="false">
      <c r="B207" s="295"/>
      <c r="C207" s="295"/>
      <c r="D207" s="38"/>
      <c r="E207" s="38"/>
      <c r="F207" s="38"/>
    </row>
    <row r="208" customFormat="false" ht="12.75" hidden="false" customHeight="true" outlineLevel="0" collapsed="false">
      <c r="B208" s="295"/>
      <c r="C208" s="295"/>
      <c r="D208" s="38"/>
      <c r="E208" s="38"/>
      <c r="F208" s="38"/>
    </row>
    <row r="209" customFormat="false" ht="12.75" hidden="false" customHeight="true" outlineLevel="0" collapsed="false">
      <c r="B209" s="295"/>
      <c r="C209" s="295"/>
      <c r="D209" s="38"/>
      <c r="E209" s="38"/>
      <c r="F209" s="38"/>
    </row>
    <row r="210" customFormat="false" ht="12.75" hidden="false" customHeight="true" outlineLevel="0" collapsed="false">
      <c r="B210" s="295"/>
      <c r="C210" s="295"/>
      <c r="D210" s="38"/>
      <c r="E210" s="38"/>
      <c r="F210" s="38"/>
    </row>
    <row r="211" customFormat="false" ht="12.75" hidden="false" customHeight="true" outlineLevel="0" collapsed="false">
      <c r="B211" s="295"/>
      <c r="C211" s="295"/>
      <c r="D211" s="38"/>
      <c r="E211" s="38"/>
      <c r="F211" s="38"/>
    </row>
    <row r="212" customFormat="false" ht="12.75" hidden="false" customHeight="true" outlineLevel="0" collapsed="false">
      <c r="B212" s="295"/>
      <c r="C212" s="295"/>
      <c r="D212" s="38"/>
      <c r="E212" s="38"/>
      <c r="F212" s="38"/>
    </row>
    <row r="213" customFormat="false" ht="12.75" hidden="false" customHeight="true" outlineLevel="0" collapsed="false">
      <c r="B213" s="295"/>
      <c r="C213" s="295"/>
      <c r="D213" s="38"/>
      <c r="E213" s="38"/>
      <c r="F213" s="38"/>
    </row>
    <row r="214" customFormat="false" ht="12.75" hidden="false" customHeight="true" outlineLevel="0" collapsed="false">
      <c r="B214" s="295"/>
      <c r="C214" s="295"/>
      <c r="D214" s="38"/>
      <c r="E214" s="38"/>
      <c r="F214" s="38"/>
    </row>
    <row r="215" customFormat="false" ht="12.75" hidden="false" customHeight="true" outlineLevel="0" collapsed="false">
      <c r="B215" s="295"/>
      <c r="C215" s="295"/>
      <c r="D215" s="38"/>
      <c r="E215" s="38"/>
      <c r="F215" s="38"/>
    </row>
    <row r="216" customFormat="false" ht="12.75" hidden="false" customHeight="true" outlineLevel="0" collapsed="false">
      <c r="B216" s="295"/>
      <c r="C216" s="295"/>
      <c r="D216" s="38"/>
      <c r="E216" s="38"/>
      <c r="F216" s="38"/>
    </row>
    <row r="217" customFormat="false" ht="12.75" hidden="false" customHeight="true" outlineLevel="0" collapsed="false">
      <c r="B217" s="295"/>
      <c r="C217" s="295"/>
      <c r="D217" s="38"/>
      <c r="E217" s="38"/>
      <c r="F217" s="38"/>
    </row>
    <row r="218" customFormat="false" ht="12.75" hidden="false" customHeight="true" outlineLevel="0" collapsed="false">
      <c r="B218" s="295"/>
      <c r="C218" s="295"/>
      <c r="D218" s="38"/>
      <c r="E218" s="38"/>
      <c r="F218" s="38"/>
    </row>
    <row r="219" customFormat="false" ht="12.75" hidden="false" customHeight="true" outlineLevel="0" collapsed="false">
      <c r="B219" s="295"/>
      <c r="C219" s="295"/>
      <c r="D219" s="38"/>
      <c r="E219" s="38"/>
      <c r="F219" s="38"/>
    </row>
    <row r="220" customFormat="false" ht="12.75" hidden="false" customHeight="true" outlineLevel="0" collapsed="false">
      <c r="B220" s="295"/>
      <c r="C220" s="295"/>
      <c r="D220" s="38"/>
      <c r="E220" s="38"/>
      <c r="F220" s="38"/>
    </row>
    <row r="221" customFormat="false" ht="12.75" hidden="false" customHeight="true" outlineLevel="0" collapsed="false">
      <c r="B221" s="295"/>
      <c r="C221" s="295"/>
      <c r="D221" s="38"/>
      <c r="E221" s="38"/>
      <c r="F221" s="38"/>
    </row>
    <row r="222" customFormat="false" ht="12.75" hidden="false" customHeight="true" outlineLevel="0" collapsed="false">
      <c r="B222" s="295"/>
      <c r="C222" s="295"/>
      <c r="D222" s="38"/>
      <c r="E222" s="38"/>
      <c r="F222" s="38"/>
    </row>
    <row r="223" customFormat="false" ht="12.75" hidden="false" customHeight="true" outlineLevel="0" collapsed="false">
      <c r="B223" s="295"/>
      <c r="C223" s="295"/>
      <c r="D223" s="38"/>
      <c r="E223" s="38"/>
      <c r="F223" s="38"/>
    </row>
    <row r="224" customFormat="false" ht="12.75" hidden="false" customHeight="true" outlineLevel="0" collapsed="false">
      <c r="B224" s="295"/>
      <c r="C224" s="295"/>
      <c r="D224" s="38"/>
      <c r="E224" s="38"/>
      <c r="F224" s="38"/>
    </row>
    <row r="225" customFormat="false" ht="12.75" hidden="false" customHeight="true" outlineLevel="0" collapsed="false">
      <c r="B225" s="295"/>
      <c r="C225" s="295"/>
      <c r="D225" s="38"/>
      <c r="E225" s="38"/>
      <c r="F225" s="38"/>
    </row>
    <row r="226" customFormat="false" ht="12.75" hidden="false" customHeight="true" outlineLevel="0" collapsed="false">
      <c r="B226" s="295"/>
      <c r="C226" s="295"/>
      <c r="D226" s="38"/>
      <c r="E226" s="38"/>
      <c r="F226" s="38"/>
    </row>
    <row r="227" customFormat="false" ht="12.75" hidden="false" customHeight="true" outlineLevel="0" collapsed="false">
      <c r="B227" s="295"/>
      <c r="C227" s="295"/>
      <c r="D227" s="38"/>
      <c r="E227" s="38"/>
      <c r="F227" s="38"/>
    </row>
    <row r="228" customFormat="false" ht="12.75" hidden="false" customHeight="true" outlineLevel="0" collapsed="false">
      <c r="B228" s="295"/>
      <c r="C228" s="295"/>
      <c r="D228" s="38"/>
      <c r="E228" s="38"/>
      <c r="F228" s="38"/>
    </row>
    <row r="229" customFormat="false" ht="12.75" hidden="false" customHeight="true" outlineLevel="0" collapsed="false">
      <c r="B229" s="295"/>
      <c r="C229" s="295"/>
      <c r="D229" s="38"/>
      <c r="E229" s="38"/>
      <c r="F229" s="38"/>
    </row>
    <row r="230" customFormat="false" ht="12.75" hidden="false" customHeight="true" outlineLevel="0" collapsed="false">
      <c r="B230" s="295"/>
      <c r="C230" s="295"/>
      <c r="D230" s="38"/>
      <c r="E230" s="38"/>
      <c r="F230" s="38"/>
    </row>
    <row r="231" customFormat="false" ht="12.75" hidden="false" customHeight="true" outlineLevel="0" collapsed="false">
      <c r="B231" s="295"/>
      <c r="C231" s="295"/>
      <c r="D231" s="38"/>
      <c r="E231" s="38"/>
      <c r="F231" s="38"/>
    </row>
    <row r="232" customFormat="false" ht="12.75" hidden="false" customHeight="true" outlineLevel="0" collapsed="false">
      <c r="B232" s="295"/>
      <c r="C232" s="295"/>
      <c r="D232" s="38"/>
      <c r="E232" s="38"/>
      <c r="F232" s="38"/>
    </row>
    <row r="233" customFormat="false" ht="12.75" hidden="false" customHeight="true" outlineLevel="0" collapsed="false">
      <c r="B233" s="295"/>
      <c r="C233" s="295"/>
      <c r="D233" s="38"/>
      <c r="E233" s="38"/>
      <c r="F233" s="38"/>
    </row>
    <row r="234" customFormat="false" ht="12.75" hidden="false" customHeight="true" outlineLevel="0" collapsed="false">
      <c r="B234" s="295"/>
      <c r="C234" s="295"/>
      <c r="D234" s="38"/>
      <c r="E234" s="38"/>
      <c r="F234" s="38"/>
    </row>
    <row r="235" customFormat="false" ht="12.75" hidden="false" customHeight="true" outlineLevel="0" collapsed="false">
      <c r="B235" s="295"/>
      <c r="C235" s="295"/>
      <c r="D235" s="38"/>
      <c r="E235" s="38"/>
      <c r="F235" s="38"/>
    </row>
    <row r="236" customFormat="false" ht="12.75" hidden="false" customHeight="true" outlineLevel="0" collapsed="false">
      <c r="B236" s="295"/>
      <c r="C236" s="295"/>
      <c r="D236" s="38"/>
      <c r="E236" s="38"/>
      <c r="F236" s="38"/>
    </row>
    <row r="237" customFormat="false" ht="12.75" hidden="false" customHeight="true" outlineLevel="0" collapsed="false">
      <c r="B237" s="295"/>
      <c r="C237" s="295"/>
      <c r="D237" s="38"/>
      <c r="E237" s="38"/>
      <c r="F237" s="38"/>
    </row>
    <row r="238" customFormat="false" ht="12.75" hidden="false" customHeight="true" outlineLevel="0" collapsed="false">
      <c r="B238" s="295"/>
      <c r="C238" s="295"/>
      <c r="D238" s="38"/>
      <c r="E238" s="38"/>
      <c r="F238" s="38"/>
    </row>
    <row r="239" customFormat="false" ht="12.75" hidden="false" customHeight="true" outlineLevel="0" collapsed="false">
      <c r="B239" s="295"/>
      <c r="C239" s="295"/>
      <c r="D239" s="38"/>
      <c r="E239" s="38"/>
      <c r="F239" s="38"/>
    </row>
    <row r="240" customFormat="false" ht="12.75" hidden="false" customHeight="true" outlineLevel="0" collapsed="false">
      <c r="B240" s="295"/>
      <c r="C240" s="295"/>
      <c r="D240" s="38"/>
      <c r="E240" s="38"/>
      <c r="F240" s="38"/>
    </row>
    <row r="241" customFormat="false" ht="12.75" hidden="false" customHeight="true" outlineLevel="0" collapsed="false">
      <c r="B241" s="295"/>
      <c r="C241" s="295"/>
      <c r="D241" s="38"/>
      <c r="E241" s="38"/>
      <c r="F241" s="38"/>
    </row>
    <row r="242" customFormat="false" ht="12.75" hidden="false" customHeight="true" outlineLevel="0" collapsed="false">
      <c r="B242" s="295"/>
      <c r="C242" s="295"/>
      <c r="D242" s="38"/>
      <c r="E242" s="38"/>
      <c r="F242" s="38"/>
    </row>
    <row r="243" customFormat="false" ht="12.75" hidden="false" customHeight="true" outlineLevel="0" collapsed="false">
      <c r="B243" s="295"/>
      <c r="C243" s="295"/>
      <c r="D243" s="38"/>
      <c r="E243" s="38"/>
      <c r="F243" s="38"/>
    </row>
    <row r="244" customFormat="false" ht="12.75" hidden="false" customHeight="true" outlineLevel="0" collapsed="false">
      <c r="B244" s="295"/>
      <c r="C244" s="295"/>
      <c r="D244" s="38"/>
      <c r="E244" s="38"/>
      <c r="F244" s="38"/>
    </row>
    <row r="245" customFormat="false" ht="12.75" hidden="false" customHeight="true" outlineLevel="0" collapsed="false">
      <c r="B245" s="295"/>
      <c r="C245" s="295"/>
      <c r="D245" s="38"/>
      <c r="E245" s="38"/>
      <c r="F245" s="38"/>
    </row>
    <row r="246" customFormat="false" ht="12.75" hidden="false" customHeight="true" outlineLevel="0" collapsed="false">
      <c r="B246" s="295"/>
      <c r="C246" s="295"/>
      <c r="D246" s="38"/>
      <c r="E246" s="38"/>
      <c r="F246" s="38"/>
    </row>
    <row r="247" customFormat="false" ht="12.75" hidden="false" customHeight="true" outlineLevel="0" collapsed="false">
      <c r="B247" s="295"/>
      <c r="C247" s="295"/>
      <c r="D247" s="38"/>
      <c r="E247" s="38"/>
      <c r="F247" s="38"/>
    </row>
    <row r="248" customFormat="false" ht="12.75" hidden="false" customHeight="true" outlineLevel="0" collapsed="false">
      <c r="B248" s="295"/>
      <c r="C248" s="295"/>
      <c r="D248" s="38"/>
      <c r="E248" s="38"/>
      <c r="F248" s="38"/>
    </row>
    <row r="249" customFormat="false" ht="12.75" hidden="false" customHeight="true" outlineLevel="0" collapsed="false">
      <c r="B249" s="295"/>
      <c r="C249" s="295"/>
      <c r="D249" s="38"/>
      <c r="E249" s="38"/>
      <c r="F249" s="38"/>
    </row>
    <row r="250" customFormat="false" ht="12.75" hidden="false" customHeight="true" outlineLevel="0" collapsed="false">
      <c r="B250" s="295"/>
      <c r="C250" s="295"/>
      <c r="D250" s="38"/>
      <c r="E250" s="38"/>
      <c r="F250" s="38"/>
    </row>
    <row r="251" customFormat="false" ht="12.75" hidden="false" customHeight="true" outlineLevel="0" collapsed="false">
      <c r="B251" s="295"/>
      <c r="C251" s="295"/>
      <c r="D251" s="38"/>
      <c r="E251" s="38"/>
      <c r="F251" s="38"/>
    </row>
    <row r="252" customFormat="false" ht="12.75" hidden="false" customHeight="true" outlineLevel="0" collapsed="false">
      <c r="B252" s="295"/>
      <c r="C252" s="295"/>
      <c r="D252" s="38"/>
      <c r="E252" s="38"/>
      <c r="F252" s="38"/>
    </row>
    <row r="253" customFormat="false" ht="12.75" hidden="false" customHeight="true" outlineLevel="0" collapsed="false">
      <c r="B253" s="295"/>
      <c r="C253" s="295"/>
      <c r="D253" s="38"/>
      <c r="E253" s="38"/>
      <c r="F253" s="38"/>
    </row>
    <row r="254" customFormat="false" ht="12.75" hidden="false" customHeight="true" outlineLevel="0" collapsed="false">
      <c r="B254" s="295"/>
      <c r="C254" s="295"/>
      <c r="D254" s="38"/>
      <c r="E254" s="38"/>
      <c r="F254" s="38"/>
    </row>
    <row r="255" customFormat="false" ht="12.75" hidden="false" customHeight="true" outlineLevel="0" collapsed="false">
      <c r="B255" s="295"/>
      <c r="C255" s="295"/>
      <c r="D255" s="38"/>
      <c r="E255" s="38"/>
      <c r="F255" s="38"/>
    </row>
    <row r="256" customFormat="false" ht="12.75" hidden="false" customHeight="true" outlineLevel="0" collapsed="false">
      <c r="B256" s="295"/>
      <c r="C256" s="295"/>
      <c r="D256" s="38"/>
      <c r="E256" s="38"/>
      <c r="F256" s="38"/>
    </row>
    <row r="257" customFormat="false" ht="12.75" hidden="false" customHeight="true" outlineLevel="0" collapsed="false">
      <c r="B257" s="295"/>
      <c r="C257" s="295"/>
      <c r="D257" s="38"/>
      <c r="E257" s="38"/>
      <c r="F257" s="38"/>
    </row>
    <row r="258" customFormat="false" ht="12.75" hidden="false" customHeight="true" outlineLevel="0" collapsed="false">
      <c r="B258" s="295"/>
      <c r="C258" s="295"/>
      <c r="D258" s="38"/>
      <c r="E258" s="38"/>
      <c r="F258" s="38"/>
    </row>
    <row r="259" customFormat="false" ht="12.75" hidden="false" customHeight="true" outlineLevel="0" collapsed="false">
      <c r="B259" s="295"/>
      <c r="C259" s="295"/>
      <c r="D259" s="38"/>
      <c r="E259" s="38"/>
      <c r="F259" s="38"/>
    </row>
    <row r="260" customFormat="false" ht="12.75" hidden="false" customHeight="true" outlineLevel="0" collapsed="false">
      <c r="B260" s="295"/>
      <c r="C260" s="295"/>
      <c r="D260" s="38"/>
      <c r="E260" s="38"/>
      <c r="F260" s="38"/>
    </row>
    <row r="261" customFormat="false" ht="12.75" hidden="false" customHeight="true" outlineLevel="0" collapsed="false">
      <c r="B261" s="295"/>
      <c r="C261" s="295"/>
      <c r="D261" s="38"/>
      <c r="E261" s="38"/>
      <c r="F261" s="38"/>
    </row>
    <row r="262" customFormat="false" ht="12.75" hidden="false" customHeight="true" outlineLevel="0" collapsed="false">
      <c r="B262" s="295"/>
      <c r="C262" s="295"/>
      <c r="D262" s="38"/>
      <c r="E262" s="38"/>
      <c r="F262" s="38"/>
    </row>
    <row r="263" customFormat="false" ht="12.75" hidden="false" customHeight="true" outlineLevel="0" collapsed="false">
      <c r="B263" s="295"/>
      <c r="C263" s="295"/>
      <c r="D263" s="38"/>
      <c r="E263" s="38"/>
      <c r="F263" s="38"/>
    </row>
    <row r="264" customFormat="false" ht="12.75" hidden="false" customHeight="true" outlineLevel="0" collapsed="false">
      <c r="B264" s="295"/>
      <c r="C264" s="295"/>
      <c r="D264" s="38"/>
      <c r="E264" s="38"/>
      <c r="F264" s="38"/>
    </row>
    <row r="265" customFormat="false" ht="12.75" hidden="false" customHeight="true" outlineLevel="0" collapsed="false">
      <c r="B265" s="295"/>
      <c r="C265" s="295"/>
      <c r="D265" s="38"/>
      <c r="E265" s="38"/>
      <c r="F265" s="38"/>
    </row>
    <row r="266" customFormat="false" ht="12.75" hidden="false" customHeight="true" outlineLevel="0" collapsed="false">
      <c r="B266" s="295"/>
      <c r="C266" s="295"/>
      <c r="D266" s="38"/>
      <c r="E266" s="38"/>
      <c r="F266" s="38"/>
    </row>
    <row r="267" customFormat="false" ht="12.75" hidden="false" customHeight="true" outlineLevel="0" collapsed="false">
      <c r="B267" s="295"/>
      <c r="C267" s="295"/>
      <c r="D267" s="38"/>
      <c r="E267" s="38"/>
      <c r="F267" s="38"/>
    </row>
    <row r="268" customFormat="false" ht="12.75" hidden="false" customHeight="true" outlineLevel="0" collapsed="false">
      <c r="B268" s="295"/>
      <c r="C268" s="295"/>
      <c r="D268" s="38"/>
      <c r="E268" s="38"/>
      <c r="F268" s="38"/>
    </row>
    <row r="269" customFormat="false" ht="12.75" hidden="false" customHeight="true" outlineLevel="0" collapsed="false">
      <c r="B269" s="295"/>
      <c r="C269" s="295"/>
      <c r="D269" s="38"/>
      <c r="E269" s="38"/>
      <c r="F269" s="38"/>
    </row>
    <row r="270" customFormat="false" ht="12.75" hidden="false" customHeight="true" outlineLevel="0" collapsed="false">
      <c r="B270" s="295"/>
      <c r="C270" s="295"/>
      <c r="D270" s="38"/>
      <c r="E270" s="38"/>
      <c r="F270" s="38"/>
    </row>
    <row r="271" customFormat="false" ht="12.75" hidden="false" customHeight="true" outlineLevel="0" collapsed="false">
      <c r="B271" s="295"/>
      <c r="C271" s="295"/>
      <c r="D271" s="38"/>
      <c r="E271" s="38"/>
      <c r="F271" s="38"/>
    </row>
    <row r="272" customFormat="false" ht="12.75" hidden="false" customHeight="true" outlineLevel="0" collapsed="false">
      <c r="B272" s="295"/>
      <c r="C272" s="295"/>
      <c r="D272" s="38"/>
      <c r="E272" s="38"/>
      <c r="F272" s="38"/>
    </row>
    <row r="273" customFormat="false" ht="12.75" hidden="false" customHeight="true" outlineLevel="0" collapsed="false">
      <c r="B273" s="295"/>
      <c r="C273" s="295"/>
      <c r="D273" s="38"/>
      <c r="E273" s="38"/>
      <c r="F273" s="38"/>
    </row>
    <row r="274" customFormat="false" ht="12.75" hidden="false" customHeight="true" outlineLevel="0" collapsed="false">
      <c r="B274" s="295"/>
      <c r="C274" s="295"/>
      <c r="D274" s="38"/>
      <c r="E274" s="38"/>
      <c r="F274" s="38"/>
    </row>
    <row r="275" customFormat="false" ht="12.75" hidden="false" customHeight="true" outlineLevel="0" collapsed="false">
      <c r="B275" s="295"/>
      <c r="C275" s="295"/>
      <c r="D275" s="38"/>
      <c r="E275" s="38"/>
      <c r="F275" s="38"/>
    </row>
    <row r="276" customFormat="false" ht="12.75" hidden="false" customHeight="true" outlineLevel="0" collapsed="false">
      <c r="B276" s="295"/>
      <c r="C276" s="295"/>
      <c r="D276" s="38"/>
      <c r="E276" s="38"/>
      <c r="F276" s="38"/>
    </row>
    <row r="277" customFormat="false" ht="12.75" hidden="false" customHeight="true" outlineLevel="0" collapsed="false">
      <c r="B277" s="295"/>
      <c r="C277" s="295"/>
      <c r="D277" s="38"/>
      <c r="E277" s="38"/>
      <c r="F277" s="38"/>
    </row>
    <row r="278" customFormat="false" ht="12.75" hidden="false" customHeight="true" outlineLevel="0" collapsed="false">
      <c r="B278" s="295"/>
      <c r="C278" s="295"/>
      <c r="D278" s="38"/>
      <c r="E278" s="38"/>
      <c r="F278" s="38"/>
    </row>
    <row r="279" customFormat="false" ht="12.75" hidden="false" customHeight="true" outlineLevel="0" collapsed="false">
      <c r="B279" s="295"/>
      <c r="C279" s="295"/>
      <c r="D279" s="38"/>
      <c r="E279" s="38"/>
      <c r="F279" s="38"/>
    </row>
    <row r="280" customFormat="false" ht="12.75" hidden="false" customHeight="true" outlineLevel="0" collapsed="false">
      <c r="B280" s="295"/>
      <c r="C280" s="295"/>
      <c r="D280" s="38"/>
      <c r="E280" s="38"/>
      <c r="F280" s="38"/>
    </row>
    <row r="281" customFormat="false" ht="12.75" hidden="false" customHeight="true" outlineLevel="0" collapsed="false">
      <c r="B281" s="295"/>
      <c r="C281" s="295"/>
      <c r="D281" s="38"/>
      <c r="E281" s="38"/>
      <c r="F281" s="38"/>
    </row>
    <row r="282" customFormat="false" ht="12.75" hidden="false" customHeight="true" outlineLevel="0" collapsed="false">
      <c r="B282" s="295"/>
      <c r="C282" s="295"/>
      <c r="D282" s="38"/>
      <c r="E282" s="38"/>
      <c r="F282" s="38"/>
    </row>
    <row r="283" customFormat="false" ht="12.75" hidden="false" customHeight="true" outlineLevel="0" collapsed="false">
      <c r="B283" s="295"/>
      <c r="C283" s="295"/>
      <c r="D283" s="38"/>
      <c r="E283" s="38"/>
      <c r="F283" s="38"/>
    </row>
    <row r="284" customFormat="false" ht="12.75" hidden="false" customHeight="true" outlineLevel="0" collapsed="false">
      <c r="B284" s="295"/>
      <c r="C284" s="295"/>
      <c r="D284" s="38"/>
      <c r="E284" s="38"/>
      <c r="F284" s="38"/>
    </row>
    <row r="285" customFormat="false" ht="12.75" hidden="false" customHeight="true" outlineLevel="0" collapsed="false">
      <c r="B285" s="295"/>
      <c r="C285" s="295"/>
      <c r="D285" s="38"/>
      <c r="E285" s="38"/>
      <c r="F285" s="38"/>
    </row>
    <row r="286" customFormat="false" ht="12.75" hidden="false" customHeight="true" outlineLevel="0" collapsed="false">
      <c r="B286" s="295"/>
      <c r="C286" s="295"/>
      <c r="D286" s="38"/>
      <c r="E286" s="38"/>
      <c r="F286" s="38"/>
    </row>
    <row r="287" customFormat="false" ht="12.75" hidden="false" customHeight="true" outlineLevel="0" collapsed="false">
      <c r="B287" s="295"/>
      <c r="C287" s="295"/>
      <c r="D287" s="38"/>
      <c r="E287" s="38"/>
      <c r="F287" s="38"/>
    </row>
    <row r="288" customFormat="false" ht="12.75" hidden="false" customHeight="true" outlineLevel="0" collapsed="false">
      <c r="B288" s="295"/>
      <c r="C288" s="295"/>
      <c r="D288" s="38"/>
      <c r="E288" s="38"/>
      <c r="F288" s="38"/>
    </row>
    <row r="289" customFormat="false" ht="12.75" hidden="false" customHeight="true" outlineLevel="0" collapsed="false">
      <c r="B289" s="295"/>
      <c r="C289" s="295"/>
      <c r="D289" s="38"/>
      <c r="E289" s="38"/>
      <c r="F289" s="38"/>
    </row>
    <row r="290" customFormat="false" ht="12.75" hidden="false" customHeight="true" outlineLevel="0" collapsed="false">
      <c r="B290" s="295"/>
      <c r="C290" s="295"/>
      <c r="D290" s="38"/>
      <c r="E290" s="38"/>
      <c r="F290" s="38"/>
    </row>
    <row r="291" customFormat="false" ht="12.75" hidden="false" customHeight="true" outlineLevel="0" collapsed="false">
      <c r="B291" s="295"/>
      <c r="C291" s="295"/>
      <c r="D291" s="38"/>
      <c r="E291" s="38"/>
      <c r="F291" s="38"/>
    </row>
    <row r="292" customFormat="false" ht="12.75" hidden="false" customHeight="true" outlineLevel="0" collapsed="false">
      <c r="B292" s="295"/>
      <c r="C292" s="295"/>
      <c r="D292" s="38"/>
      <c r="E292" s="38"/>
      <c r="F292" s="38"/>
    </row>
    <row r="293" customFormat="false" ht="12.75" hidden="false" customHeight="true" outlineLevel="0" collapsed="false">
      <c r="B293" s="295"/>
      <c r="C293" s="295"/>
      <c r="D293" s="38"/>
      <c r="E293" s="38"/>
      <c r="F293" s="38"/>
    </row>
    <row r="294" customFormat="false" ht="12.75" hidden="false" customHeight="true" outlineLevel="0" collapsed="false">
      <c r="B294" s="295"/>
      <c r="C294" s="295"/>
      <c r="D294" s="38"/>
      <c r="E294" s="38"/>
      <c r="F294" s="38"/>
    </row>
    <row r="295" customFormat="false" ht="12.75" hidden="false" customHeight="true" outlineLevel="0" collapsed="false">
      <c r="B295" s="295"/>
      <c r="C295" s="295"/>
      <c r="D295" s="38"/>
      <c r="E295" s="38"/>
      <c r="F295" s="38"/>
    </row>
    <row r="296" customFormat="false" ht="12.75" hidden="false" customHeight="true" outlineLevel="0" collapsed="false">
      <c r="B296" s="295"/>
      <c r="C296" s="295"/>
      <c r="D296" s="38"/>
      <c r="E296" s="38"/>
      <c r="F296" s="38"/>
    </row>
    <row r="297" customFormat="false" ht="12.75" hidden="false" customHeight="true" outlineLevel="0" collapsed="false">
      <c r="B297" s="295"/>
      <c r="C297" s="295"/>
      <c r="D297" s="38"/>
      <c r="E297" s="38"/>
      <c r="F297" s="38"/>
    </row>
    <row r="298" customFormat="false" ht="12.75" hidden="false" customHeight="true" outlineLevel="0" collapsed="false">
      <c r="B298" s="295"/>
      <c r="C298" s="295"/>
      <c r="D298" s="38"/>
      <c r="E298" s="38"/>
      <c r="F298" s="38"/>
    </row>
    <row r="299" customFormat="false" ht="12.75" hidden="false" customHeight="true" outlineLevel="0" collapsed="false">
      <c r="B299" s="295"/>
      <c r="C299" s="295"/>
      <c r="D299" s="38"/>
      <c r="E299" s="38"/>
      <c r="F299" s="38"/>
    </row>
    <row r="300" customFormat="false" ht="12.75" hidden="false" customHeight="true" outlineLevel="0" collapsed="false">
      <c r="B300" s="295"/>
      <c r="C300" s="295"/>
      <c r="D300" s="38"/>
      <c r="E300" s="38"/>
      <c r="F300" s="38"/>
    </row>
    <row r="301" customFormat="false" ht="12.75" hidden="false" customHeight="true" outlineLevel="0" collapsed="false">
      <c r="B301" s="295"/>
      <c r="C301" s="295"/>
      <c r="D301" s="38"/>
      <c r="E301" s="38"/>
      <c r="F301" s="38"/>
    </row>
    <row r="302" customFormat="false" ht="12.75" hidden="false" customHeight="true" outlineLevel="0" collapsed="false">
      <c r="B302" s="295"/>
      <c r="C302" s="295"/>
      <c r="D302" s="38"/>
      <c r="E302" s="38"/>
      <c r="F302" s="38"/>
    </row>
    <row r="303" customFormat="false" ht="12.75" hidden="false" customHeight="true" outlineLevel="0" collapsed="false">
      <c r="B303" s="295"/>
      <c r="C303" s="295"/>
      <c r="D303" s="38"/>
      <c r="E303" s="38"/>
      <c r="F303" s="38"/>
    </row>
    <row r="304" customFormat="false" ht="12.75" hidden="false" customHeight="true" outlineLevel="0" collapsed="false">
      <c r="B304" s="295"/>
      <c r="C304" s="295"/>
      <c r="D304" s="38"/>
      <c r="E304" s="38"/>
      <c r="F304" s="38"/>
    </row>
    <row r="305" customFormat="false" ht="12.75" hidden="false" customHeight="true" outlineLevel="0" collapsed="false">
      <c r="B305" s="295"/>
      <c r="C305" s="295"/>
      <c r="D305" s="38"/>
      <c r="E305" s="38"/>
      <c r="F305" s="38"/>
    </row>
    <row r="306" customFormat="false" ht="12.75" hidden="false" customHeight="true" outlineLevel="0" collapsed="false">
      <c r="B306" s="295"/>
      <c r="C306" s="295"/>
      <c r="D306" s="38"/>
      <c r="E306" s="38"/>
      <c r="F306" s="38"/>
    </row>
    <row r="307" customFormat="false" ht="12.75" hidden="false" customHeight="true" outlineLevel="0" collapsed="false">
      <c r="B307" s="295"/>
      <c r="C307" s="295"/>
      <c r="D307" s="38"/>
      <c r="E307" s="38"/>
      <c r="F307" s="38"/>
    </row>
    <row r="308" customFormat="false" ht="12.75" hidden="false" customHeight="true" outlineLevel="0" collapsed="false">
      <c r="B308" s="295"/>
      <c r="C308" s="295"/>
      <c r="D308" s="38"/>
      <c r="E308" s="38"/>
      <c r="F308" s="38"/>
    </row>
    <row r="309" customFormat="false" ht="12.75" hidden="false" customHeight="true" outlineLevel="0" collapsed="false">
      <c r="B309" s="295"/>
      <c r="C309" s="295"/>
      <c r="D309" s="38"/>
      <c r="E309" s="38"/>
      <c r="F309" s="38"/>
    </row>
    <row r="310" customFormat="false" ht="12.75" hidden="false" customHeight="true" outlineLevel="0" collapsed="false">
      <c r="B310" s="295"/>
      <c r="C310" s="295"/>
      <c r="D310" s="38"/>
      <c r="E310" s="38"/>
      <c r="F310" s="38"/>
    </row>
    <row r="311" customFormat="false" ht="12.75" hidden="false" customHeight="true" outlineLevel="0" collapsed="false">
      <c r="B311" s="295"/>
      <c r="C311" s="295"/>
      <c r="D311" s="38"/>
      <c r="E311" s="38"/>
      <c r="F311" s="38"/>
    </row>
    <row r="312" customFormat="false" ht="12.75" hidden="false" customHeight="true" outlineLevel="0" collapsed="false">
      <c r="B312" s="295"/>
      <c r="C312" s="295"/>
      <c r="D312" s="38"/>
      <c r="E312" s="38"/>
      <c r="F312" s="38"/>
    </row>
    <row r="313" customFormat="false" ht="12.75" hidden="false" customHeight="true" outlineLevel="0" collapsed="false">
      <c r="B313" s="295"/>
      <c r="C313" s="295"/>
      <c r="D313" s="38"/>
      <c r="E313" s="38"/>
      <c r="F313" s="38"/>
    </row>
    <row r="314" customFormat="false" ht="12.75" hidden="false" customHeight="true" outlineLevel="0" collapsed="false">
      <c r="B314" s="295"/>
      <c r="C314" s="295"/>
      <c r="D314" s="38"/>
      <c r="E314" s="38"/>
      <c r="F314" s="38"/>
    </row>
    <row r="315" customFormat="false" ht="12.75" hidden="false" customHeight="true" outlineLevel="0" collapsed="false">
      <c r="B315" s="295"/>
      <c r="C315" s="295"/>
      <c r="D315" s="38"/>
      <c r="E315" s="38"/>
      <c r="F315" s="38"/>
    </row>
    <row r="316" customFormat="false" ht="12.75" hidden="false" customHeight="true" outlineLevel="0" collapsed="false">
      <c r="B316" s="295"/>
      <c r="C316" s="295"/>
      <c r="D316" s="38"/>
      <c r="E316" s="38"/>
      <c r="F316" s="38"/>
    </row>
    <row r="317" customFormat="false" ht="12.75" hidden="false" customHeight="true" outlineLevel="0" collapsed="false">
      <c r="B317" s="295"/>
      <c r="C317" s="295"/>
      <c r="D317" s="38"/>
      <c r="E317" s="38"/>
      <c r="F317" s="38"/>
    </row>
    <row r="318" customFormat="false" ht="12.75" hidden="false" customHeight="true" outlineLevel="0" collapsed="false">
      <c r="B318" s="295"/>
      <c r="C318" s="295"/>
      <c r="D318" s="38"/>
      <c r="E318" s="38"/>
      <c r="F318" s="38"/>
    </row>
    <row r="319" customFormat="false" ht="12.75" hidden="false" customHeight="true" outlineLevel="0" collapsed="false">
      <c r="B319" s="295"/>
      <c r="C319" s="295"/>
      <c r="D319" s="38"/>
      <c r="E319" s="38"/>
      <c r="F319" s="38"/>
    </row>
    <row r="320" customFormat="false" ht="12.75" hidden="false" customHeight="true" outlineLevel="0" collapsed="false">
      <c r="B320" s="295"/>
      <c r="C320" s="295"/>
      <c r="D320" s="38"/>
      <c r="E320" s="38"/>
      <c r="F320" s="38"/>
    </row>
    <row r="321" customFormat="false" ht="12.75" hidden="false" customHeight="true" outlineLevel="0" collapsed="false">
      <c r="B321" s="295"/>
      <c r="C321" s="295"/>
      <c r="D321" s="38"/>
      <c r="E321" s="38"/>
      <c r="F321" s="38"/>
    </row>
    <row r="322" customFormat="false" ht="12.75" hidden="false" customHeight="true" outlineLevel="0" collapsed="false">
      <c r="B322" s="295"/>
      <c r="C322" s="295"/>
      <c r="D322" s="38"/>
      <c r="E322" s="38"/>
      <c r="F322" s="38"/>
    </row>
    <row r="323" customFormat="false" ht="12.75" hidden="false" customHeight="true" outlineLevel="0" collapsed="false">
      <c r="B323" s="295"/>
      <c r="C323" s="295"/>
      <c r="D323" s="38"/>
      <c r="E323" s="38"/>
      <c r="F323" s="38"/>
    </row>
    <row r="324" customFormat="false" ht="12.75" hidden="false" customHeight="true" outlineLevel="0" collapsed="false">
      <c r="B324" s="295"/>
      <c r="C324" s="295"/>
      <c r="D324" s="38"/>
      <c r="E324" s="38"/>
      <c r="F324" s="38"/>
    </row>
    <row r="325" customFormat="false" ht="12.75" hidden="false" customHeight="true" outlineLevel="0" collapsed="false">
      <c r="B325" s="295"/>
      <c r="C325" s="295"/>
      <c r="D325" s="38"/>
      <c r="E325" s="38"/>
      <c r="F325" s="38"/>
    </row>
    <row r="326" customFormat="false" ht="12.75" hidden="false" customHeight="true" outlineLevel="0" collapsed="false">
      <c r="B326" s="295"/>
      <c r="C326" s="295"/>
      <c r="D326" s="38"/>
      <c r="E326" s="38"/>
      <c r="F326" s="38"/>
    </row>
    <row r="327" customFormat="false" ht="12.75" hidden="false" customHeight="true" outlineLevel="0" collapsed="false">
      <c r="B327" s="295"/>
      <c r="C327" s="295"/>
      <c r="D327" s="38"/>
      <c r="E327" s="38"/>
      <c r="F327" s="38"/>
    </row>
    <row r="328" customFormat="false" ht="12.75" hidden="false" customHeight="true" outlineLevel="0" collapsed="false">
      <c r="B328" s="295"/>
      <c r="C328" s="295"/>
      <c r="D328" s="38"/>
      <c r="E328" s="38"/>
      <c r="F328" s="38"/>
    </row>
    <row r="329" customFormat="false" ht="12.75" hidden="false" customHeight="true" outlineLevel="0" collapsed="false">
      <c r="B329" s="295"/>
      <c r="C329" s="295"/>
      <c r="D329" s="38"/>
      <c r="E329" s="38"/>
      <c r="F329" s="38"/>
    </row>
    <row r="330" customFormat="false" ht="12.75" hidden="false" customHeight="true" outlineLevel="0" collapsed="false">
      <c r="B330" s="295"/>
      <c r="C330" s="295"/>
      <c r="D330" s="38"/>
      <c r="E330" s="38"/>
      <c r="F330" s="38"/>
    </row>
    <row r="331" customFormat="false" ht="12.75" hidden="false" customHeight="true" outlineLevel="0" collapsed="false">
      <c r="B331" s="295"/>
      <c r="C331" s="295"/>
      <c r="D331" s="38"/>
      <c r="E331" s="38"/>
      <c r="F331" s="38"/>
    </row>
    <row r="332" customFormat="false" ht="12.75" hidden="false" customHeight="true" outlineLevel="0" collapsed="false">
      <c r="B332" s="295"/>
      <c r="C332" s="295"/>
      <c r="D332" s="38"/>
      <c r="E332" s="38"/>
      <c r="F332" s="38"/>
    </row>
    <row r="333" customFormat="false" ht="12.75" hidden="false" customHeight="true" outlineLevel="0" collapsed="false">
      <c r="B333" s="295"/>
      <c r="C333" s="295"/>
      <c r="D333" s="38"/>
      <c r="E333" s="38"/>
      <c r="F333" s="38"/>
    </row>
    <row r="334" customFormat="false" ht="12.75" hidden="false" customHeight="true" outlineLevel="0" collapsed="false">
      <c r="B334" s="295"/>
      <c r="C334" s="295"/>
      <c r="D334" s="38"/>
      <c r="E334" s="38"/>
      <c r="F334" s="38"/>
    </row>
    <row r="335" customFormat="false" ht="12.75" hidden="false" customHeight="true" outlineLevel="0" collapsed="false">
      <c r="B335" s="295"/>
      <c r="C335" s="295"/>
      <c r="D335" s="38"/>
      <c r="E335" s="38"/>
      <c r="F335" s="38"/>
    </row>
    <row r="336" customFormat="false" ht="12.75" hidden="false" customHeight="true" outlineLevel="0" collapsed="false">
      <c r="B336" s="295"/>
      <c r="C336" s="295"/>
      <c r="D336" s="38"/>
      <c r="E336" s="38"/>
      <c r="F336" s="38"/>
    </row>
    <row r="337" customFormat="false" ht="12.75" hidden="false" customHeight="true" outlineLevel="0" collapsed="false">
      <c r="B337" s="295"/>
      <c r="C337" s="295"/>
      <c r="D337" s="38"/>
      <c r="E337" s="38"/>
      <c r="F337" s="38"/>
    </row>
    <row r="338" customFormat="false" ht="12.75" hidden="false" customHeight="true" outlineLevel="0" collapsed="false">
      <c r="B338" s="295"/>
      <c r="C338" s="295"/>
      <c r="D338" s="38"/>
      <c r="E338" s="38"/>
      <c r="F338" s="38"/>
    </row>
    <row r="339" customFormat="false" ht="12.75" hidden="false" customHeight="true" outlineLevel="0" collapsed="false">
      <c r="B339" s="295"/>
      <c r="C339" s="295"/>
      <c r="D339" s="38"/>
      <c r="E339" s="38"/>
      <c r="F339" s="38"/>
    </row>
    <row r="340" customFormat="false" ht="12.75" hidden="false" customHeight="true" outlineLevel="0" collapsed="false">
      <c r="B340" s="295"/>
      <c r="C340" s="295"/>
      <c r="D340" s="38"/>
      <c r="E340" s="38"/>
      <c r="F340" s="38"/>
    </row>
    <row r="341" customFormat="false" ht="12.75" hidden="false" customHeight="true" outlineLevel="0" collapsed="false">
      <c r="B341" s="295"/>
      <c r="C341" s="295"/>
      <c r="D341" s="38"/>
      <c r="E341" s="38"/>
      <c r="F341" s="38"/>
    </row>
    <row r="342" customFormat="false" ht="12.75" hidden="false" customHeight="true" outlineLevel="0" collapsed="false">
      <c r="B342" s="295"/>
      <c r="C342" s="295"/>
      <c r="D342" s="38"/>
      <c r="E342" s="38"/>
      <c r="F342" s="38"/>
    </row>
    <row r="343" customFormat="false" ht="12.75" hidden="false" customHeight="true" outlineLevel="0" collapsed="false">
      <c r="B343" s="295"/>
      <c r="C343" s="295"/>
      <c r="D343" s="38"/>
      <c r="E343" s="38"/>
      <c r="F343" s="38"/>
    </row>
    <row r="344" customFormat="false" ht="12.75" hidden="false" customHeight="true" outlineLevel="0" collapsed="false">
      <c r="B344" s="295"/>
      <c r="C344" s="295"/>
      <c r="D344" s="38"/>
      <c r="E344" s="38"/>
      <c r="F344" s="38"/>
    </row>
    <row r="345" customFormat="false" ht="12.75" hidden="false" customHeight="true" outlineLevel="0" collapsed="false">
      <c r="B345" s="295"/>
      <c r="C345" s="295"/>
      <c r="D345" s="38"/>
      <c r="E345" s="38"/>
      <c r="F345" s="38"/>
    </row>
    <row r="346" customFormat="false" ht="12.75" hidden="false" customHeight="true" outlineLevel="0" collapsed="false">
      <c r="B346" s="295"/>
      <c r="C346" s="295"/>
      <c r="D346" s="38"/>
      <c r="E346" s="38"/>
      <c r="F346" s="38"/>
    </row>
    <row r="347" customFormat="false" ht="12.75" hidden="false" customHeight="true" outlineLevel="0" collapsed="false">
      <c r="B347" s="295"/>
      <c r="C347" s="295"/>
      <c r="D347" s="38"/>
      <c r="E347" s="38"/>
      <c r="F347" s="38"/>
    </row>
    <row r="348" customFormat="false" ht="12.75" hidden="false" customHeight="true" outlineLevel="0" collapsed="false">
      <c r="B348" s="295"/>
      <c r="C348" s="295"/>
      <c r="D348" s="38"/>
      <c r="E348" s="38"/>
      <c r="F348" s="38"/>
    </row>
    <row r="349" customFormat="false" ht="12.75" hidden="false" customHeight="true" outlineLevel="0" collapsed="false">
      <c r="B349" s="295"/>
      <c r="C349" s="295"/>
      <c r="D349" s="38"/>
      <c r="E349" s="38"/>
      <c r="F349" s="38"/>
    </row>
    <row r="350" customFormat="false" ht="12.75" hidden="false" customHeight="true" outlineLevel="0" collapsed="false">
      <c r="B350" s="295"/>
      <c r="C350" s="295"/>
      <c r="D350" s="38"/>
      <c r="E350" s="38"/>
      <c r="F350" s="38"/>
    </row>
    <row r="351" customFormat="false" ht="12.75" hidden="false" customHeight="true" outlineLevel="0" collapsed="false">
      <c r="B351" s="295"/>
      <c r="C351" s="295"/>
      <c r="D351" s="38"/>
      <c r="E351" s="38"/>
      <c r="F351" s="38"/>
    </row>
    <row r="352" customFormat="false" ht="12.75" hidden="false" customHeight="true" outlineLevel="0" collapsed="false">
      <c r="B352" s="295"/>
      <c r="C352" s="295"/>
      <c r="D352" s="38"/>
      <c r="E352" s="38"/>
      <c r="F352" s="38"/>
    </row>
    <row r="353" customFormat="false" ht="12.75" hidden="false" customHeight="true" outlineLevel="0" collapsed="false">
      <c r="B353" s="295"/>
      <c r="C353" s="295"/>
      <c r="D353" s="38"/>
      <c r="E353" s="38"/>
      <c r="F353" s="38"/>
    </row>
    <row r="354" customFormat="false" ht="12.75" hidden="false" customHeight="true" outlineLevel="0" collapsed="false">
      <c r="B354" s="295"/>
      <c r="C354" s="295"/>
      <c r="D354" s="38"/>
      <c r="E354" s="38"/>
      <c r="F354" s="38"/>
    </row>
    <row r="355" customFormat="false" ht="12.75" hidden="false" customHeight="true" outlineLevel="0" collapsed="false">
      <c r="B355" s="295"/>
      <c r="C355" s="295"/>
      <c r="D355" s="38"/>
      <c r="E355" s="38"/>
      <c r="F355" s="38"/>
    </row>
    <row r="356" customFormat="false" ht="12.75" hidden="false" customHeight="true" outlineLevel="0" collapsed="false">
      <c r="B356" s="295"/>
      <c r="C356" s="295"/>
      <c r="D356" s="38"/>
      <c r="E356" s="38"/>
      <c r="F356" s="38"/>
    </row>
    <row r="357" customFormat="false" ht="12.75" hidden="false" customHeight="true" outlineLevel="0" collapsed="false">
      <c r="B357" s="295"/>
      <c r="C357" s="295"/>
      <c r="D357" s="38"/>
      <c r="E357" s="38"/>
      <c r="F357" s="38"/>
    </row>
    <row r="358" customFormat="false" ht="12.75" hidden="false" customHeight="true" outlineLevel="0" collapsed="false">
      <c r="B358" s="295"/>
      <c r="C358" s="295"/>
      <c r="D358" s="38"/>
      <c r="E358" s="38"/>
      <c r="F358" s="38"/>
    </row>
    <row r="359" customFormat="false" ht="12.75" hidden="false" customHeight="true" outlineLevel="0" collapsed="false">
      <c r="B359" s="295"/>
      <c r="C359" s="295"/>
      <c r="D359" s="38"/>
      <c r="E359" s="38"/>
      <c r="F359" s="38"/>
    </row>
    <row r="360" customFormat="false" ht="12.75" hidden="false" customHeight="true" outlineLevel="0" collapsed="false">
      <c r="B360" s="295"/>
      <c r="C360" s="295"/>
      <c r="D360" s="38"/>
      <c r="E360" s="38"/>
      <c r="F360" s="38"/>
    </row>
    <row r="361" customFormat="false" ht="12.75" hidden="false" customHeight="true" outlineLevel="0" collapsed="false">
      <c r="B361" s="295"/>
      <c r="C361" s="295"/>
      <c r="D361" s="38"/>
      <c r="E361" s="38"/>
      <c r="F361" s="38"/>
    </row>
    <row r="362" customFormat="false" ht="12.75" hidden="false" customHeight="true" outlineLevel="0" collapsed="false">
      <c r="B362" s="295"/>
      <c r="C362" s="295"/>
      <c r="D362" s="38"/>
      <c r="E362" s="38"/>
      <c r="F362" s="38"/>
    </row>
    <row r="363" customFormat="false" ht="12.75" hidden="false" customHeight="true" outlineLevel="0" collapsed="false">
      <c r="B363" s="295"/>
      <c r="C363" s="295"/>
      <c r="D363" s="38"/>
      <c r="E363" s="38"/>
      <c r="F363" s="38"/>
    </row>
    <row r="364" customFormat="false" ht="12.75" hidden="false" customHeight="true" outlineLevel="0" collapsed="false">
      <c r="B364" s="295"/>
      <c r="C364" s="295"/>
      <c r="D364" s="38"/>
      <c r="E364" s="38"/>
      <c r="F364" s="38"/>
    </row>
    <row r="365" customFormat="false" ht="12.75" hidden="false" customHeight="true" outlineLevel="0" collapsed="false">
      <c r="B365" s="295"/>
      <c r="C365" s="295"/>
      <c r="D365" s="38"/>
      <c r="E365" s="38"/>
      <c r="F365" s="38"/>
    </row>
    <row r="366" customFormat="false" ht="12.75" hidden="false" customHeight="true" outlineLevel="0" collapsed="false">
      <c r="B366" s="295"/>
      <c r="C366" s="295"/>
      <c r="D366" s="38"/>
      <c r="E366" s="38"/>
      <c r="F366" s="38"/>
    </row>
    <row r="367" customFormat="false" ht="12.75" hidden="false" customHeight="true" outlineLevel="0" collapsed="false">
      <c r="B367" s="295"/>
      <c r="C367" s="295"/>
      <c r="D367" s="38"/>
      <c r="E367" s="38"/>
      <c r="F367" s="38"/>
    </row>
    <row r="368" customFormat="false" ht="12.75" hidden="false" customHeight="true" outlineLevel="0" collapsed="false">
      <c r="B368" s="295"/>
      <c r="C368" s="295"/>
      <c r="D368" s="38"/>
      <c r="E368" s="38"/>
      <c r="F368" s="38"/>
    </row>
    <row r="369" customFormat="false" ht="12.75" hidden="false" customHeight="true" outlineLevel="0" collapsed="false">
      <c r="B369" s="295"/>
      <c r="C369" s="295"/>
      <c r="D369" s="38"/>
      <c r="E369" s="38"/>
      <c r="F369" s="38"/>
    </row>
    <row r="370" customFormat="false" ht="12.75" hidden="false" customHeight="true" outlineLevel="0" collapsed="false">
      <c r="B370" s="295"/>
      <c r="C370" s="295"/>
      <c r="D370" s="38"/>
      <c r="E370" s="38"/>
      <c r="F370" s="38"/>
    </row>
    <row r="371" customFormat="false" ht="12.75" hidden="false" customHeight="true" outlineLevel="0" collapsed="false">
      <c r="B371" s="295"/>
      <c r="C371" s="295"/>
      <c r="D371" s="38"/>
      <c r="E371" s="38"/>
      <c r="F371" s="38"/>
    </row>
    <row r="372" customFormat="false" ht="12.75" hidden="false" customHeight="true" outlineLevel="0" collapsed="false">
      <c r="B372" s="295"/>
      <c r="C372" s="295"/>
      <c r="D372" s="38"/>
      <c r="E372" s="38"/>
      <c r="F372" s="38"/>
    </row>
    <row r="373" customFormat="false" ht="12.75" hidden="false" customHeight="true" outlineLevel="0" collapsed="false">
      <c r="B373" s="295"/>
      <c r="C373" s="295"/>
      <c r="D373" s="38"/>
      <c r="E373" s="38"/>
      <c r="F373" s="38"/>
    </row>
    <row r="374" customFormat="false" ht="12.75" hidden="false" customHeight="true" outlineLevel="0" collapsed="false">
      <c r="B374" s="295"/>
      <c r="C374" s="295"/>
      <c r="D374" s="38"/>
      <c r="E374" s="38"/>
      <c r="F374" s="38"/>
    </row>
    <row r="375" customFormat="false" ht="12.75" hidden="false" customHeight="true" outlineLevel="0" collapsed="false">
      <c r="B375" s="295"/>
      <c r="C375" s="295"/>
      <c r="D375" s="38"/>
      <c r="E375" s="38"/>
      <c r="F375" s="38"/>
    </row>
    <row r="376" customFormat="false" ht="12.75" hidden="false" customHeight="true" outlineLevel="0" collapsed="false">
      <c r="B376" s="295"/>
      <c r="C376" s="295"/>
      <c r="D376" s="38"/>
      <c r="E376" s="38"/>
      <c r="F376" s="38"/>
    </row>
    <row r="377" customFormat="false" ht="12.75" hidden="false" customHeight="true" outlineLevel="0" collapsed="false">
      <c r="B377" s="295"/>
      <c r="C377" s="295"/>
      <c r="D377" s="38"/>
      <c r="E377" s="38"/>
      <c r="F377" s="38"/>
    </row>
    <row r="378" customFormat="false" ht="12.75" hidden="false" customHeight="true" outlineLevel="0" collapsed="false">
      <c r="B378" s="295"/>
      <c r="C378" s="295"/>
      <c r="D378" s="38"/>
      <c r="E378" s="38"/>
      <c r="F378" s="38"/>
    </row>
    <row r="379" customFormat="false" ht="12.75" hidden="false" customHeight="true" outlineLevel="0" collapsed="false">
      <c r="B379" s="295"/>
      <c r="C379" s="295"/>
      <c r="D379" s="38"/>
      <c r="E379" s="38"/>
      <c r="F379" s="38"/>
    </row>
    <row r="380" customFormat="false" ht="12.75" hidden="false" customHeight="true" outlineLevel="0" collapsed="false">
      <c r="B380" s="295"/>
      <c r="C380" s="295"/>
      <c r="D380" s="38"/>
      <c r="E380" s="38"/>
      <c r="F380" s="38"/>
    </row>
    <row r="381" customFormat="false" ht="12.75" hidden="false" customHeight="true" outlineLevel="0" collapsed="false">
      <c r="B381" s="295"/>
      <c r="C381" s="295"/>
      <c r="D381" s="38"/>
      <c r="E381" s="38"/>
      <c r="F381" s="38"/>
    </row>
    <row r="382" customFormat="false" ht="12.75" hidden="false" customHeight="true" outlineLevel="0" collapsed="false">
      <c r="B382" s="295"/>
      <c r="C382" s="295"/>
      <c r="D382" s="38"/>
      <c r="E382" s="38"/>
      <c r="F382" s="38"/>
    </row>
    <row r="383" customFormat="false" ht="12.75" hidden="false" customHeight="true" outlineLevel="0" collapsed="false">
      <c r="B383" s="295"/>
      <c r="C383" s="295"/>
      <c r="D383" s="38"/>
      <c r="E383" s="38"/>
      <c r="F383" s="38"/>
    </row>
    <row r="384" customFormat="false" ht="12.75" hidden="false" customHeight="true" outlineLevel="0" collapsed="false">
      <c r="B384" s="295"/>
      <c r="C384" s="295"/>
      <c r="D384" s="38"/>
      <c r="E384" s="38"/>
      <c r="F384" s="38"/>
    </row>
    <row r="385" customFormat="false" ht="12.75" hidden="false" customHeight="true" outlineLevel="0" collapsed="false">
      <c r="B385" s="295"/>
      <c r="C385" s="295"/>
      <c r="D385" s="38"/>
      <c r="E385" s="38"/>
      <c r="F385" s="38"/>
    </row>
    <row r="386" customFormat="false" ht="12.75" hidden="false" customHeight="true" outlineLevel="0" collapsed="false">
      <c r="B386" s="295"/>
      <c r="C386" s="295"/>
      <c r="D386" s="38"/>
      <c r="E386" s="38"/>
      <c r="F386" s="38"/>
    </row>
    <row r="387" customFormat="false" ht="12.75" hidden="false" customHeight="true" outlineLevel="0" collapsed="false">
      <c r="B387" s="295"/>
      <c r="C387" s="295"/>
      <c r="D387" s="38"/>
      <c r="E387" s="38"/>
      <c r="F387" s="38"/>
    </row>
    <row r="388" customFormat="false" ht="12.75" hidden="false" customHeight="true" outlineLevel="0" collapsed="false">
      <c r="B388" s="295"/>
      <c r="C388" s="295"/>
      <c r="D388" s="38"/>
      <c r="E388" s="38"/>
      <c r="F388" s="38"/>
    </row>
    <row r="389" customFormat="false" ht="12.75" hidden="false" customHeight="true" outlineLevel="0" collapsed="false">
      <c r="B389" s="295"/>
      <c r="C389" s="295"/>
      <c r="D389" s="38"/>
      <c r="E389" s="38"/>
      <c r="F389" s="38"/>
    </row>
    <row r="390" customFormat="false" ht="12.75" hidden="false" customHeight="true" outlineLevel="0" collapsed="false">
      <c r="B390" s="295"/>
      <c r="C390" s="295"/>
      <c r="D390" s="38"/>
      <c r="E390" s="38"/>
      <c r="F390" s="38"/>
    </row>
    <row r="391" customFormat="false" ht="12.75" hidden="false" customHeight="true" outlineLevel="0" collapsed="false">
      <c r="B391" s="295"/>
      <c r="C391" s="295"/>
      <c r="D391" s="38"/>
      <c r="E391" s="38"/>
      <c r="F391" s="38"/>
    </row>
    <row r="392" customFormat="false" ht="12.75" hidden="false" customHeight="true" outlineLevel="0" collapsed="false">
      <c r="B392" s="295"/>
      <c r="C392" s="295"/>
      <c r="D392" s="38"/>
      <c r="E392" s="38"/>
      <c r="F392" s="38"/>
    </row>
    <row r="393" customFormat="false" ht="12.75" hidden="false" customHeight="true" outlineLevel="0" collapsed="false">
      <c r="B393" s="295"/>
      <c r="C393" s="295"/>
      <c r="D393" s="38"/>
      <c r="E393" s="38"/>
      <c r="F393" s="38"/>
    </row>
    <row r="394" customFormat="false" ht="12.75" hidden="false" customHeight="true" outlineLevel="0" collapsed="false">
      <c r="B394" s="295"/>
      <c r="C394" s="295"/>
      <c r="D394" s="38"/>
      <c r="E394" s="38"/>
      <c r="F394" s="38"/>
    </row>
    <row r="395" customFormat="false" ht="12.75" hidden="false" customHeight="true" outlineLevel="0" collapsed="false">
      <c r="B395" s="295"/>
      <c r="C395" s="295"/>
      <c r="D395" s="38"/>
      <c r="E395" s="38"/>
      <c r="F395" s="38"/>
    </row>
    <row r="396" customFormat="false" ht="12.75" hidden="false" customHeight="true" outlineLevel="0" collapsed="false">
      <c r="B396" s="295"/>
      <c r="C396" s="295"/>
      <c r="D396" s="38"/>
      <c r="E396" s="38"/>
      <c r="F396" s="38"/>
    </row>
    <row r="397" customFormat="false" ht="12.75" hidden="false" customHeight="true" outlineLevel="0" collapsed="false">
      <c r="B397" s="295"/>
      <c r="C397" s="295"/>
      <c r="D397" s="38"/>
      <c r="E397" s="38"/>
      <c r="F397" s="38"/>
    </row>
    <row r="398" customFormat="false" ht="12.75" hidden="false" customHeight="true" outlineLevel="0" collapsed="false">
      <c r="B398" s="295"/>
      <c r="C398" s="295"/>
      <c r="D398" s="38"/>
      <c r="E398" s="38"/>
      <c r="F398" s="38"/>
    </row>
    <row r="399" customFormat="false" ht="12.75" hidden="false" customHeight="true" outlineLevel="0" collapsed="false">
      <c r="B399" s="295"/>
      <c r="C399" s="295"/>
      <c r="D399" s="38"/>
      <c r="E399" s="38"/>
      <c r="F399" s="38"/>
    </row>
    <row r="400" customFormat="false" ht="12.75" hidden="false" customHeight="true" outlineLevel="0" collapsed="false">
      <c r="B400" s="295"/>
      <c r="C400" s="295"/>
      <c r="D400" s="38"/>
      <c r="E400" s="38"/>
      <c r="F400" s="38"/>
    </row>
    <row r="401" customFormat="false" ht="12.75" hidden="false" customHeight="true" outlineLevel="0" collapsed="false">
      <c r="B401" s="295"/>
      <c r="C401" s="295"/>
      <c r="D401" s="38"/>
      <c r="E401" s="38"/>
      <c r="F401" s="38"/>
    </row>
    <row r="402" customFormat="false" ht="12.75" hidden="false" customHeight="true" outlineLevel="0" collapsed="false">
      <c r="B402" s="295"/>
      <c r="C402" s="295"/>
      <c r="D402" s="38"/>
      <c r="E402" s="38"/>
      <c r="F402" s="38"/>
    </row>
    <row r="403" customFormat="false" ht="12.75" hidden="false" customHeight="true" outlineLevel="0" collapsed="false">
      <c r="B403" s="295"/>
      <c r="C403" s="295"/>
      <c r="D403" s="38"/>
      <c r="E403" s="38"/>
      <c r="F403" s="38"/>
    </row>
    <row r="404" customFormat="false" ht="12.75" hidden="false" customHeight="true" outlineLevel="0" collapsed="false">
      <c r="B404" s="295"/>
      <c r="C404" s="295"/>
      <c r="D404" s="38"/>
      <c r="E404" s="38"/>
      <c r="F404" s="38"/>
    </row>
    <row r="405" customFormat="false" ht="12.75" hidden="false" customHeight="true" outlineLevel="0" collapsed="false">
      <c r="B405" s="295"/>
      <c r="C405" s="295"/>
      <c r="D405" s="38"/>
      <c r="E405" s="38"/>
      <c r="F405" s="38"/>
    </row>
    <row r="406" customFormat="false" ht="12.75" hidden="false" customHeight="true" outlineLevel="0" collapsed="false">
      <c r="B406" s="295"/>
      <c r="C406" s="295"/>
      <c r="D406" s="38"/>
      <c r="E406" s="38"/>
      <c r="F406" s="38"/>
    </row>
    <row r="407" customFormat="false" ht="12.75" hidden="false" customHeight="true" outlineLevel="0" collapsed="false">
      <c r="B407" s="295"/>
      <c r="C407" s="295"/>
      <c r="D407" s="38"/>
      <c r="E407" s="38"/>
      <c r="F407" s="38"/>
    </row>
    <row r="408" customFormat="false" ht="12.75" hidden="false" customHeight="true" outlineLevel="0" collapsed="false">
      <c r="B408" s="295"/>
      <c r="C408" s="295"/>
      <c r="D408" s="38"/>
      <c r="E408" s="38"/>
      <c r="F408" s="38"/>
    </row>
    <row r="409" customFormat="false" ht="12.75" hidden="false" customHeight="true" outlineLevel="0" collapsed="false">
      <c r="B409" s="295"/>
      <c r="C409" s="295"/>
      <c r="D409" s="38"/>
      <c r="E409" s="38"/>
      <c r="F409" s="38"/>
    </row>
    <row r="410" customFormat="false" ht="12.75" hidden="false" customHeight="true" outlineLevel="0" collapsed="false">
      <c r="B410" s="295"/>
      <c r="C410" s="295"/>
      <c r="D410" s="38"/>
      <c r="E410" s="38"/>
      <c r="F410" s="38"/>
    </row>
    <row r="411" customFormat="false" ht="12.75" hidden="false" customHeight="true" outlineLevel="0" collapsed="false">
      <c r="B411" s="295"/>
      <c r="C411" s="295"/>
      <c r="D411" s="38"/>
      <c r="E411" s="38"/>
      <c r="F411" s="38"/>
    </row>
    <row r="412" customFormat="false" ht="12.75" hidden="false" customHeight="true" outlineLevel="0" collapsed="false">
      <c r="B412" s="295"/>
      <c r="C412" s="295"/>
      <c r="D412" s="38"/>
      <c r="E412" s="38"/>
      <c r="F412" s="38"/>
    </row>
    <row r="413" customFormat="false" ht="12.75" hidden="false" customHeight="true" outlineLevel="0" collapsed="false">
      <c r="B413" s="295"/>
      <c r="C413" s="295"/>
      <c r="D413" s="38"/>
      <c r="E413" s="38"/>
      <c r="F413" s="38"/>
    </row>
    <row r="414" customFormat="false" ht="12.75" hidden="false" customHeight="true" outlineLevel="0" collapsed="false">
      <c r="B414" s="295"/>
      <c r="C414" s="295"/>
      <c r="D414" s="38"/>
      <c r="E414" s="38"/>
      <c r="F414" s="38"/>
    </row>
    <row r="415" customFormat="false" ht="12.75" hidden="false" customHeight="true" outlineLevel="0" collapsed="false">
      <c r="B415" s="295"/>
      <c r="C415" s="295"/>
      <c r="D415" s="38"/>
      <c r="E415" s="38"/>
      <c r="F415" s="38"/>
    </row>
    <row r="416" customFormat="false" ht="12.75" hidden="false" customHeight="true" outlineLevel="0" collapsed="false">
      <c r="B416" s="295"/>
      <c r="C416" s="295"/>
      <c r="D416" s="38"/>
      <c r="E416" s="38"/>
      <c r="F416" s="38"/>
    </row>
    <row r="417" customFormat="false" ht="12.75" hidden="false" customHeight="true" outlineLevel="0" collapsed="false">
      <c r="B417" s="295"/>
      <c r="C417" s="295"/>
      <c r="D417" s="38"/>
      <c r="E417" s="38"/>
      <c r="F417" s="38"/>
    </row>
    <row r="418" customFormat="false" ht="12.75" hidden="false" customHeight="true" outlineLevel="0" collapsed="false">
      <c r="B418" s="295"/>
      <c r="C418" s="295"/>
      <c r="D418" s="38"/>
      <c r="E418" s="38"/>
      <c r="F418" s="38"/>
    </row>
    <row r="419" customFormat="false" ht="12.75" hidden="false" customHeight="true" outlineLevel="0" collapsed="false">
      <c r="B419" s="295"/>
      <c r="C419" s="295"/>
      <c r="D419" s="38"/>
      <c r="E419" s="38"/>
      <c r="F419" s="38"/>
    </row>
    <row r="420" customFormat="false" ht="12.75" hidden="false" customHeight="true" outlineLevel="0" collapsed="false">
      <c r="B420" s="295"/>
      <c r="C420" s="295"/>
      <c r="D420" s="38"/>
      <c r="E420" s="38"/>
      <c r="F420" s="38"/>
    </row>
    <row r="421" customFormat="false" ht="12.75" hidden="false" customHeight="true" outlineLevel="0" collapsed="false">
      <c r="B421" s="295"/>
      <c r="C421" s="295"/>
      <c r="D421" s="38"/>
      <c r="E421" s="38"/>
      <c r="F421" s="38"/>
    </row>
    <row r="422" customFormat="false" ht="12.75" hidden="false" customHeight="true" outlineLevel="0" collapsed="false">
      <c r="B422" s="295"/>
      <c r="C422" s="295"/>
      <c r="D422" s="38"/>
      <c r="E422" s="38"/>
      <c r="F422" s="38"/>
    </row>
    <row r="423" customFormat="false" ht="12.75" hidden="false" customHeight="true" outlineLevel="0" collapsed="false">
      <c r="B423" s="295"/>
      <c r="C423" s="295"/>
      <c r="D423" s="38"/>
      <c r="E423" s="38"/>
      <c r="F423" s="38"/>
    </row>
    <row r="424" customFormat="false" ht="12.75" hidden="false" customHeight="true" outlineLevel="0" collapsed="false">
      <c r="B424" s="295"/>
      <c r="C424" s="295"/>
      <c r="D424" s="38"/>
      <c r="E424" s="38"/>
      <c r="F424" s="38"/>
    </row>
    <row r="425" customFormat="false" ht="12.75" hidden="false" customHeight="true" outlineLevel="0" collapsed="false">
      <c r="B425" s="295"/>
      <c r="C425" s="295"/>
      <c r="D425" s="38"/>
      <c r="E425" s="38"/>
      <c r="F425" s="38"/>
    </row>
    <row r="426" customFormat="false" ht="12.75" hidden="false" customHeight="true" outlineLevel="0" collapsed="false">
      <c r="B426" s="295"/>
      <c r="C426" s="295"/>
      <c r="D426" s="38"/>
      <c r="E426" s="38"/>
      <c r="F426" s="38"/>
    </row>
    <row r="427" customFormat="false" ht="12.75" hidden="false" customHeight="true" outlineLevel="0" collapsed="false">
      <c r="B427" s="295"/>
      <c r="C427" s="295"/>
      <c r="D427" s="38"/>
      <c r="E427" s="38"/>
      <c r="F427" s="38"/>
    </row>
    <row r="428" customFormat="false" ht="12.75" hidden="false" customHeight="true" outlineLevel="0" collapsed="false">
      <c r="B428" s="295"/>
      <c r="C428" s="295"/>
      <c r="D428" s="38"/>
      <c r="E428" s="38"/>
      <c r="F428" s="38"/>
    </row>
    <row r="429" customFormat="false" ht="12.75" hidden="false" customHeight="true" outlineLevel="0" collapsed="false">
      <c r="B429" s="295"/>
      <c r="C429" s="295"/>
      <c r="D429" s="38"/>
      <c r="E429" s="38"/>
      <c r="F429" s="38"/>
    </row>
    <row r="430" customFormat="false" ht="12.75" hidden="false" customHeight="true" outlineLevel="0" collapsed="false">
      <c r="B430" s="295"/>
      <c r="C430" s="295"/>
      <c r="D430" s="38"/>
      <c r="E430" s="38"/>
      <c r="F430" s="38"/>
    </row>
    <row r="431" customFormat="false" ht="12.75" hidden="false" customHeight="true" outlineLevel="0" collapsed="false">
      <c r="B431" s="295"/>
      <c r="C431" s="295"/>
      <c r="D431" s="38"/>
      <c r="E431" s="38"/>
      <c r="F431" s="38"/>
    </row>
    <row r="432" customFormat="false" ht="12.75" hidden="false" customHeight="true" outlineLevel="0" collapsed="false">
      <c r="B432" s="295"/>
      <c r="C432" s="295"/>
      <c r="D432" s="38"/>
      <c r="E432" s="38"/>
      <c r="F432" s="38"/>
    </row>
    <row r="433" customFormat="false" ht="12.75" hidden="false" customHeight="true" outlineLevel="0" collapsed="false">
      <c r="B433" s="295"/>
      <c r="C433" s="295"/>
      <c r="D433" s="38"/>
      <c r="E433" s="38"/>
      <c r="F433" s="38"/>
    </row>
    <row r="434" customFormat="false" ht="12.75" hidden="false" customHeight="true" outlineLevel="0" collapsed="false">
      <c r="B434" s="295"/>
      <c r="C434" s="295"/>
      <c r="D434" s="38"/>
      <c r="E434" s="38"/>
      <c r="F434" s="38"/>
    </row>
    <row r="435" customFormat="false" ht="12.75" hidden="false" customHeight="true" outlineLevel="0" collapsed="false">
      <c r="B435" s="295"/>
      <c r="C435" s="295"/>
      <c r="D435" s="38"/>
      <c r="E435" s="38"/>
      <c r="F435" s="38"/>
    </row>
    <row r="436" customFormat="false" ht="12.75" hidden="false" customHeight="true" outlineLevel="0" collapsed="false">
      <c r="B436" s="295"/>
      <c r="C436" s="295"/>
      <c r="D436" s="38"/>
      <c r="E436" s="38"/>
      <c r="F436" s="38"/>
    </row>
    <row r="437" customFormat="false" ht="12.75" hidden="false" customHeight="true" outlineLevel="0" collapsed="false">
      <c r="B437" s="295"/>
      <c r="C437" s="295"/>
      <c r="D437" s="38"/>
      <c r="E437" s="38"/>
      <c r="F437" s="38"/>
    </row>
    <row r="438" customFormat="false" ht="12.75" hidden="false" customHeight="true" outlineLevel="0" collapsed="false">
      <c r="B438" s="295"/>
      <c r="C438" s="295"/>
      <c r="D438" s="38"/>
      <c r="E438" s="38"/>
      <c r="F438" s="38"/>
    </row>
    <row r="439" customFormat="false" ht="12.75" hidden="false" customHeight="true" outlineLevel="0" collapsed="false">
      <c r="B439" s="295"/>
      <c r="C439" s="295"/>
      <c r="D439" s="38"/>
      <c r="E439" s="38"/>
      <c r="F439" s="38"/>
    </row>
    <row r="440" customFormat="false" ht="12.75" hidden="false" customHeight="true" outlineLevel="0" collapsed="false">
      <c r="B440" s="295"/>
      <c r="C440" s="295"/>
      <c r="D440" s="38"/>
      <c r="E440" s="38"/>
      <c r="F440" s="38"/>
    </row>
    <row r="441" customFormat="false" ht="12.75" hidden="false" customHeight="true" outlineLevel="0" collapsed="false">
      <c r="B441" s="295"/>
      <c r="C441" s="295"/>
      <c r="D441" s="38"/>
      <c r="E441" s="38"/>
      <c r="F441" s="38"/>
    </row>
    <row r="442" customFormat="false" ht="12.75" hidden="false" customHeight="true" outlineLevel="0" collapsed="false">
      <c r="B442" s="295"/>
      <c r="C442" s="295"/>
      <c r="D442" s="38"/>
      <c r="E442" s="38"/>
      <c r="F442" s="38"/>
    </row>
    <row r="443" customFormat="false" ht="12.75" hidden="false" customHeight="true" outlineLevel="0" collapsed="false">
      <c r="B443" s="295"/>
      <c r="C443" s="295"/>
      <c r="D443" s="38"/>
      <c r="E443" s="38"/>
      <c r="F443" s="38"/>
    </row>
    <row r="444" customFormat="false" ht="12.75" hidden="false" customHeight="true" outlineLevel="0" collapsed="false">
      <c r="B444" s="295"/>
      <c r="C444" s="295"/>
      <c r="D444" s="38"/>
      <c r="E444" s="38"/>
      <c r="F444" s="38"/>
    </row>
    <row r="445" customFormat="false" ht="12.75" hidden="false" customHeight="true" outlineLevel="0" collapsed="false">
      <c r="B445" s="295"/>
      <c r="C445" s="295"/>
      <c r="D445" s="38"/>
      <c r="E445" s="38"/>
      <c r="F445" s="38"/>
    </row>
    <row r="446" customFormat="false" ht="12.75" hidden="false" customHeight="true" outlineLevel="0" collapsed="false">
      <c r="B446" s="295"/>
      <c r="C446" s="295"/>
      <c r="D446" s="38"/>
      <c r="E446" s="38"/>
      <c r="F446" s="38"/>
    </row>
    <row r="447" customFormat="false" ht="12.75" hidden="false" customHeight="true" outlineLevel="0" collapsed="false">
      <c r="B447" s="295"/>
      <c r="C447" s="295"/>
      <c r="D447" s="38"/>
      <c r="E447" s="38"/>
      <c r="F447" s="38"/>
    </row>
    <row r="448" customFormat="false" ht="12.75" hidden="false" customHeight="true" outlineLevel="0" collapsed="false">
      <c r="B448" s="295"/>
      <c r="C448" s="295"/>
      <c r="D448" s="38"/>
      <c r="E448" s="38"/>
      <c r="F448" s="38"/>
    </row>
    <row r="449" customFormat="false" ht="12.75" hidden="false" customHeight="true" outlineLevel="0" collapsed="false">
      <c r="B449" s="295"/>
      <c r="C449" s="295"/>
      <c r="D449" s="38"/>
      <c r="E449" s="38"/>
      <c r="F449" s="38"/>
    </row>
    <row r="450" customFormat="false" ht="12.75" hidden="false" customHeight="true" outlineLevel="0" collapsed="false">
      <c r="B450" s="295"/>
      <c r="C450" s="295"/>
      <c r="D450" s="38"/>
      <c r="E450" s="38"/>
      <c r="F450" s="38"/>
    </row>
    <row r="451" customFormat="false" ht="12.75" hidden="false" customHeight="true" outlineLevel="0" collapsed="false">
      <c r="B451" s="295"/>
      <c r="C451" s="295"/>
      <c r="D451" s="38"/>
      <c r="E451" s="38"/>
      <c r="F451" s="38"/>
    </row>
    <row r="452" customFormat="false" ht="12.75" hidden="false" customHeight="true" outlineLevel="0" collapsed="false">
      <c r="B452" s="295"/>
      <c r="C452" s="295"/>
      <c r="D452" s="38"/>
      <c r="E452" s="38"/>
      <c r="F452" s="38"/>
    </row>
    <row r="453" customFormat="false" ht="12.75" hidden="false" customHeight="true" outlineLevel="0" collapsed="false">
      <c r="B453" s="295"/>
      <c r="C453" s="295"/>
      <c r="D453" s="38"/>
      <c r="E453" s="38"/>
      <c r="F453" s="38"/>
    </row>
    <row r="454" customFormat="false" ht="12.75" hidden="false" customHeight="true" outlineLevel="0" collapsed="false">
      <c r="B454" s="295"/>
      <c r="C454" s="295"/>
      <c r="D454" s="38"/>
      <c r="E454" s="38"/>
      <c r="F454" s="38"/>
    </row>
    <row r="455" customFormat="false" ht="12.75" hidden="false" customHeight="true" outlineLevel="0" collapsed="false">
      <c r="B455" s="295"/>
      <c r="C455" s="295"/>
      <c r="D455" s="38"/>
      <c r="E455" s="38"/>
      <c r="F455" s="38"/>
    </row>
    <row r="456" customFormat="false" ht="12.75" hidden="false" customHeight="true" outlineLevel="0" collapsed="false">
      <c r="B456" s="295"/>
      <c r="C456" s="295"/>
      <c r="D456" s="38"/>
      <c r="E456" s="38"/>
      <c r="F456" s="38"/>
    </row>
    <row r="457" customFormat="false" ht="12.75" hidden="false" customHeight="true" outlineLevel="0" collapsed="false">
      <c r="B457" s="295"/>
      <c r="C457" s="295"/>
      <c r="D457" s="38"/>
      <c r="E457" s="38"/>
      <c r="F457" s="38"/>
    </row>
    <row r="458" customFormat="false" ht="12.75" hidden="false" customHeight="true" outlineLevel="0" collapsed="false">
      <c r="B458" s="295"/>
      <c r="C458" s="295"/>
      <c r="D458" s="38"/>
      <c r="E458" s="38"/>
      <c r="F458" s="38"/>
    </row>
    <row r="459" customFormat="false" ht="12.75" hidden="false" customHeight="true" outlineLevel="0" collapsed="false">
      <c r="B459" s="295"/>
      <c r="C459" s="295"/>
      <c r="D459" s="38"/>
      <c r="E459" s="38"/>
      <c r="F459" s="38"/>
    </row>
    <row r="460" customFormat="false" ht="12.75" hidden="false" customHeight="true" outlineLevel="0" collapsed="false">
      <c r="B460" s="295"/>
      <c r="C460" s="295"/>
      <c r="D460" s="38"/>
      <c r="E460" s="38"/>
      <c r="F460" s="38"/>
    </row>
    <row r="461" customFormat="false" ht="12.75" hidden="false" customHeight="true" outlineLevel="0" collapsed="false">
      <c r="B461" s="295"/>
      <c r="C461" s="295"/>
      <c r="D461" s="38"/>
      <c r="E461" s="38"/>
      <c r="F461" s="38"/>
    </row>
    <row r="462" customFormat="false" ht="12.75" hidden="false" customHeight="true" outlineLevel="0" collapsed="false">
      <c r="B462" s="295"/>
      <c r="C462" s="295"/>
      <c r="D462" s="38"/>
      <c r="E462" s="38"/>
      <c r="F462" s="38"/>
    </row>
    <row r="463" customFormat="false" ht="12.75" hidden="false" customHeight="true" outlineLevel="0" collapsed="false">
      <c r="B463" s="295"/>
      <c r="C463" s="295"/>
      <c r="D463" s="38"/>
      <c r="E463" s="38"/>
      <c r="F463" s="38"/>
    </row>
    <row r="464" customFormat="false" ht="12.75" hidden="false" customHeight="true" outlineLevel="0" collapsed="false">
      <c r="B464" s="295"/>
      <c r="C464" s="295"/>
      <c r="D464" s="38"/>
      <c r="E464" s="38"/>
      <c r="F464" s="38"/>
    </row>
    <row r="465" customFormat="false" ht="12.75" hidden="false" customHeight="true" outlineLevel="0" collapsed="false">
      <c r="B465" s="295"/>
      <c r="C465" s="295"/>
      <c r="D465" s="38"/>
      <c r="E465" s="38"/>
      <c r="F465" s="38"/>
    </row>
    <row r="466" customFormat="false" ht="12.75" hidden="false" customHeight="true" outlineLevel="0" collapsed="false">
      <c r="B466" s="295"/>
      <c r="C466" s="295"/>
      <c r="D466" s="38"/>
      <c r="E466" s="38"/>
      <c r="F466" s="38"/>
    </row>
    <row r="467" customFormat="false" ht="12.75" hidden="false" customHeight="true" outlineLevel="0" collapsed="false">
      <c r="B467" s="295"/>
      <c r="C467" s="295"/>
      <c r="D467" s="38"/>
      <c r="E467" s="38"/>
      <c r="F467" s="38"/>
    </row>
    <row r="468" customFormat="false" ht="12.75" hidden="false" customHeight="true" outlineLevel="0" collapsed="false">
      <c r="B468" s="295"/>
      <c r="C468" s="295"/>
      <c r="D468" s="38"/>
      <c r="E468" s="38"/>
      <c r="F468" s="38"/>
    </row>
    <row r="469" customFormat="false" ht="12.75" hidden="false" customHeight="true" outlineLevel="0" collapsed="false">
      <c r="B469" s="295"/>
      <c r="C469" s="295"/>
      <c r="D469" s="38"/>
      <c r="E469" s="38"/>
      <c r="F469" s="38"/>
    </row>
    <row r="470" customFormat="false" ht="12.75" hidden="false" customHeight="true" outlineLevel="0" collapsed="false">
      <c r="B470" s="295"/>
      <c r="C470" s="295"/>
      <c r="D470" s="38"/>
      <c r="E470" s="38"/>
      <c r="F470" s="38"/>
    </row>
    <row r="471" customFormat="false" ht="12.75" hidden="false" customHeight="true" outlineLevel="0" collapsed="false">
      <c r="B471" s="295"/>
      <c r="C471" s="295"/>
      <c r="D471" s="38"/>
      <c r="E471" s="38"/>
      <c r="F471" s="38"/>
    </row>
    <row r="472" customFormat="false" ht="12.75" hidden="false" customHeight="true" outlineLevel="0" collapsed="false">
      <c r="B472" s="295"/>
      <c r="C472" s="295"/>
      <c r="D472" s="38"/>
      <c r="E472" s="38"/>
      <c r="F472" s="38"/>
    </row>
    <row r="473" customFormat="false" ht="12.75" hidden="false" customHeight="true" outlineLevel="0" collapsed="false">
      <c r="B473" s="295"/>
      <c r="C473" s="295"/>
      <c r="D473" s="38"/>
      <c r="E473" s="38"/>
      <c r="F473" s="38"/>
    </row>
    <row r="474" customFormat="false" ht="12.75" hidden="false" customHeight="true" outlineLevel="0" collapsed="false">
      <c r="B474" s="295"/>
      <c r="C474" s="295"/>
      <c r="D474" s="38"/>
      <c r="E474" s="38"/>
      <c r="F474" s="38"/>
    </row>
    <row r="475" customFormat="false" ht="12.75" hidden="false" customHeight="true" outlineLevel="0" collapsed="false">
      <c r="B475" s="295"/>
      <c r="C475" s="295"/>
      <c r="D475" s="38"/>
      <c r="E475" s="38"/>
      <c r="F475" s="38"/>
    </row>
    <row r="476" customFormat="false" ht="12.75" hidden="false" customHeight="true" outlineLevel="0" collapsed="false">
      <c r="B476" s="295"/>
      <c r="C476" s="295"/>
      <c r="D476" s="38"/>
      <c r="E476" s="38"/>
      <c r="F476" s="38"/>
    </row>
    <row r="477" customFormat="false" ht="12.75" hidden="false" customHeight="true" outlineLevel="0" collapsed="false">
      <c r="B477" s="295"/>
      <c r="C477" s="295"/>
      <c r="D477" s="38"/>
      <c r="E477" s="38"/>
      <c r="F477" s="38"/>
    </row>
    <row r="478" customFormat="false" ht="12.75" hidden="false" customHeight="true" outlineLevel="0" collapsed="false">
      <c r="B478" s="295"/>
      <c r="C478" s="295"/>
      <c r="D478" s="38"/>
      <c r="E478" s="38"/>
      <c r="F478" s="38"/>
    </row>
    <row r="479" customFormat="false" ht="12.75" hidden="false" customHeight="true" outlineLevel="0" collapsed="false">
      <c r="B479" s="295"/>
      <c r="C479" s="295"/>
      <c r="D479" s="38"/>
      <c r="E479" s="38"/>
      <c r="F479" s="38"/>
    </row>
    <row r="480" customFormat="false" ht="12.75" hidden="false" customHeight="true" outlineLevel="0" collapsed="false">
      <c r="B480" s="295"/>
      <c r="C480" s="295"/>
      <c r="D480" s="38"/>
      <c r="E480" s="38"/>
      <c r="F480" s="38"/>
    </row>
    <row r="481" customFormat="false" ht="12.75" hidden="false" customHeight="true" outlineLevel="0" collapsed="false">
      <c r="B481" s="295"/>
      <c r="C481" s="295"/>
      <c r="D481" s="38"/>
      <c r="E481" s="38"/>
      <c r="F481" s="38"/>
    </row>
    <row r="482" customFormat="false" ht="12.75" hidden="false" customHeight="true" outlineLevel="0" collapsed="false">
      <c r="B482" s="295"/>
      <c r="C482" s="295"/>
      <c r="D482" s="38"/>
      <c r="E482" s="38"/>
      <c r="F482" s="38"/>
    </row>
    <row r="483" customFormat="false" ht="12.75" hidden="false" customHeight="true" outlineLevel="0" collapsed="false">
      <c r="B483" s="295"/>
      <c r="C483" s="295"/>
      <c r="D483" s="38"/>
      <c r="E483" s="38"/>
      <c r="F483" s="38"/>
    </row>
    <row r="484" customFormat="false" ht="12.75" hidden="false" customHeight="true" outlineLevel="0" collapsed="false">
      <c r="B484" s="295"/>
      <c r="C484" s="295"/>
      <c r="D484" s="38"/>
      <c r="E484" s="38"/>
      <c r="F484" s="38"/>
    </row>
    <row r="485" customFormat="false" ht="12.75" hidden="false" customHeight="true" outlineLevel="0" collapsed="false">
      <c r="B485" s="295"/>
      <c r="C485" s="295"/>
      <c r="D485" s="38"/>
      <c r="E485" s="38"/>
      <c r="F485" s="38"/>
    </row>
    <row r="486" customFormat="false" ht="12.75" hidden="false" customHeight="true" outlineLevel="0" collapsed="false">
      <c r="B486" s="295"/>
      <c r="C486" s="295"/>
      <c r="D486" s="38"/>
      <c r="E486" s="38"/>
      <c r="F486" s="38"/>
    </row>
    <row r="487" customFormat="false" ht="12.75" hidden="false" customHeight="true" outlineLevel="0" collapsed="false">
      <c r="B487" s="295"/>
      <c r="C487" s="295"/>
      <c r="D487" s="38"/>
      <c r="E487" s="38"/>
      <c r="F487" s="38"/>
    </row>
    <row r="488" customFormat="false" ht="12.75" hidden="false" customHeight="true" outlineLevel="0" collapsed="false">
      <c r="B488" s="295"/>
      <c r="C488" s="295"/>
      <c r="D488" s="38"/>
      <c r="E488" s="38"/>
      <c r="F488" s="38"/>
    </row>
    <row r="489" customFormat="false" ht="12.75" hidden="false" customHeight="true" outlineLevel="0" collapsed="false">
      <c r="B489" s="295"/>
      <c r="C489" s="295"/>
      <c r="D489" s="38"/>
      <c r="E489" s="38"/>
      <c r="F489" s="38"/>
    </row>
    <row r="490" customFormat="false" ht="12.75" hidden="false" customHeight="true" outlineLevel="0" collapsed="false">
      <c r="B490" s="295"/>
      <c r="C490" s="295"/>
      <c r="D490" s="38"/>
      <c r="E490" s="38"/>
      <c r="F490" s="38"/>
    </row>
    <row r="491" customFormat="false" ht="12.75" hidden="false" customHeight="true" outlineLevel="0" collapsed="false">
      <c r="B491" s="295"/>
      <c r="C491" s="295"/>
      <c r="D491" s="38"/>
      <c r="E491" s="38"/>
      <c r="F491" s="38"/>
    </row>
    <row r="492" customFormat="false" ht="12.75" hidden="false" customHeight="true" outlineLevel="0" collapsed="false">
      <c r="B492" s="295"/>
      <c r="C492" s="295"/>
      <c r="D492" s="38"/>
      <c r="E492" s="38"/>
      <c r="F492" s="38"/>
    </row>
    <row r="493" customFormat="false" ht="12.75" hidden="false" customHeight="true" outlineLevel="0" collapsed="false">
      <c r="B493" s="295"/>
      <c r="C493" s="295"/>
      <c r="D493" s="38"/>
      <c r="E493" s="38"/>
      <c r="F493" s="38"/>
    </row>
    <row r="494" customFormat="false" ht="12.75" hidden="false" customHeight="true" outlineLevel="0" collapsed="false">
      <c r="B494" s="295"/>
      <c r="C494" s="295"/>
      <c r="D494" s="38"/>
      <c r="E494" s="38"/>
      <c r="F494" s="38"/>
    </row>
    <row r="495" customFormat="false" ht="12.75" hidden="false" customHeight="true" outlineLevel="0" collapsed="false">
      <c r="B495" s="295"/>
      <c r="C495" s="295"/>
      <c r="D495" s="38"/>
      <c r="E495" s="38"/>
      <c r="F495" s="38"/>
    </row>
    <row r="496" customFormat="false" ht="12.75" hidden="false" customHeight="true" outlineLevel="0" collapsed="false">
      <c r="B496" s="295"/>
      <c r="C496" s="295"/>
      <c r="D496" s="38"/>
      <c r="E496" s="38"/>
      <c r="F496" s="38"/>
    </row>
    <row r="497" customFormat="false" ht="12.75" hidden="false" customHeight="true" outlineLevel="0" collapsed="false">
      <c r="B497" s="295"/>
      <c r="C497" s="295"/>
      <c r="D497" s="38"/>
      <c r="E497" s="38"/>
      <c r="F497" s="38"/>
    </row>
    <row r="498" customFormat="false" ht="12.75" hidden="false" customHeight="true" outlineLevel="0" collapsed="false">
      <c r="B498" s="295"/>
      <c r="C498" s="295"/>
      <c r="D498" s="38"/>
      <c r="E498" s="38"/>
      <c r="F498" s="38"/>
    </row>
    <row r="499" customFormat="false" ht="12.75" hidden="false" customHeight="true" outlineLevel="0" collapsed="false">
      <c r="B499" s="295"/>
      <c r="C499" s="295"/>
      <c r="D499" s="38"/>
      <c r="E499" s="38"/>
      <c r="F499" s="38"/>
    </row>
    <row r="500" customFormat="false" ht="12.75" hidden="false" customHeight="true" outlineLevel="0" collapsed="false">
      <c r="B500" s="295"/>
      <c r="C500" s="295"/>
      <c r="D500" s="38"/>
      <c r="E500" s="38"/>
      <c r="F500" s="38"/>
    </row>
    <row r="501" customFormat="false" ht="12.75" hidden="false" customHeight="true" outlineLevel="0" collapsed="false">
      <c r="B501" s="295"/>
      <c r="C501" s="295"/>
      <c r="D501" s="38"/>
      <c r="E501" s="38"/>
      <c r="F501" s="38"/>
    </row>
    <row r="502" customFormat="false" ht="12.75" hidden="false" customHeight="true" outlineLevel="0" collapsed="false">
      <c r="B502" s="295"/>
      <c r="C502" s="295"/>
      <c r="D502" s="38"/>
      <c r="E502" s="38"/>
      <c r="F502" s="38"/>
    </row>
    <row r="503" customFormat="false" ht="12.75" hidden="false" customHeight="true" outlineLevel="0" collapsed="false">
      <c r="B503" s="295"/>
      <c r="C503" s="295"/>
      <c r="D503" s="38"/>
      <c r="E503" s="38"/>
      <c r="F503" s="38"/>
    </row>
    <row r="504" customFormat="false" ht="12.75" hidden="false" customHeight="true" outlineLevel="0" collapsed="false">
      <c r="B504" s="295"/>
      <c r="C504" s="295"/>
      <c r="D504" s="38"/>
      <c r="E504" s="38"/>
      <c r="F504" s="38"/>
    </row>
    <row r="505" customFormat="false" ht="12.75" hidden="false" customHeight="true" outlineLevel="0" collapsed="false">
      <c r="B505" s="295"/>
      <c r="C505" s="295"/>
      <c r="D505" s="38"/>
      <c r="E505" s="38"/>
      <c r="F505" s="38"/>
    </row>
    <row r="506" customFormat="false" ht="12.75" hidden="false" customHeight="true" outlineLevel="0" collapsed="false">
      <c r="B506" s="295"/>
      <c r="C506" s="295"/>
      <c r="D506" s="38"/>
      <c r="E506" s="38"/>
      <c r="F506" s="38"/>
    </row>
    <row r="507" customFormat="false" ht="12.75" hidden="false" customHeight="true" outlineLevel="0" collapsed="false">
      <c r="B507" s="295"/>
      <c r="C507" s="295"/>
      <c r="D507" s="38"/>
      <c r="E507" s="38"/>
      <c r="F507" s="38"/>
    </row>
    <row r="508" customFormat="false" ht="12.75" hidden="false" customHeight="true" outlineLevel="0" collapsed="false">
      <c r="B508" s="295"/>
      <c r="C508" s="295"/>
      <c r="D508" s="38"/>
      <c r="E508" s="38"/>
      <c r="F508" s="38"/>
    </row>
    <row r="509" customFormat="false" ht="12.75" hidden="false" customHeight="true" outlineLevel="0" collapsed="false">
      <c r="B509" s="295"/>
      <c r="C509" s="295"/>
      <c r="D509" s="38"/>
      <c r="E509" s="38"/>
      <c r="F509" s="38"/>
    </row>
    <row r="510" customFormat="false" ht="12.75" hidden="false" customHeight="true" outlineLevel="0" collapsed="false">
      <c r="B510" s="295"/>
      <c r="C510" s="295"/>
      <c r="D510" s="38"/>
      <c r="E510" s="38"/>
      <c r="F510" s="38"/>
    </row>
    <row r="511" customFormat="false" ht="12.75" hidden="false" customHeight="true" outlineLevel="0" collapsed="false">
      <c r="B511" s="295"/>
      <c r="C511" s="295"/>
      <c r="D511" s="38"/>
      <c r="E511" s="38"/>
      <c r="F511" s="38"/>
    </row>
    <row r="512" customFormat="false" ht="12.75" hidden="false" customHeight="true" outlineLevel="0" collapsed="false">
      <c r="B512" s="295"/>
      <c r="C512" s="295"/>
      <c r="D512" s="38"/>
      <c r="E512" s="38"/>
      <c r="F512" s="38"/>
    </row>
    <row r="513" customFormat="false" ht="12.75" hidden="false" customHeight="true" outlineLevel="0" collapsed="false">
      <c r="B513" s="295"/>
      <c r="C513" s="295"/>
      <c r="D513" s="38"/>
      <c r="E513" s="38"/>
      <c r="F513" s="38"/>
    </row>
    <row r="514" customFormat="false" ht="12.75" hidden="false" customHeight="true" outlineLevel="0" collapsed="false">
      <c r="B514" s="295"/>
      <c r="C514" s="295"/>
      <c r="D514" s="38"/>
      <c r="E514" s="38"/>
      <c r="F514" s="38"/>
    </row>
    <row r="515" customFormat="false" ht="12.75" hidden="false" customHeight="true" outlineLevel="0" collapsed="false">
      <c r="B515" s="295"/>
      <c r="C515" s="295"/>
      <c r="D515" s="38"/>
      <c r="E515" s="38"/>
      <c r="F515" s="38"/>
    </row>
    <row r="516" customFormat="false" ht="12.75" hidden="false" customHeight="true" outlineLevel="0" collapsed="false">
      <c r="B516" s="295"/>
      <c r="C516" s="295"/>
      <c r="D516" s="38"/>
      <c r="E516" s="38"/>
      <c r="F516" s="38"/>
    </row>
    <row r="517" customFormat="false" ht="12.75" hidden="false" customHeight="true" outlineLevel="0" collapsed="false">
      <c r="B517" s="295"/>
      <c r="C517" s="295"/>
      <c r="D517" s="38"/>
      <c r="E517" s="38"/>
      <c r="F517" s="38"/>
    </row>
    <row r="518" customFormat="false" ht="12.75" hidden="false" customHeight="true" outlineLevel="0" collapsed="false">
      <c r="B518" s="295"/>
      <c r="C518" s="295"/>
      <c r="D518" s="38"/>
      <c r="E518" s="38"/>
      <c r="F518" s="38"/>
    </row>
    <row r="519" customFormat="false" ht="12.75" hidden="false" customHeight="true" outlineLevel="0" collapsed="false">
      <c r="B519" s="295"/>
      <c r="C519" s="295"/>
      <c r="D519" s="38"/>
      <c r="E519" s="38"/>
      <c r="F519" s="38"/>
    </row>
    <row r="520" customFormat="false" ht="12.75" hidden="false" customHeight="true" outlineLevel="0" collapsed="false">
      <c r="B520" s="295"/>
      <c r="C520" s="295"/>
      <c r="D520" s="38"/>
      <c r="E520" s="38"/>
      <c r="F520" s="38"/>
    </row>
    <row r="521" customFormat="false" ht="12.75" hidden="false" customHeight="true" outlineLevel="0" collapsed="false">
      <c r="B521" s="295"/>
      <c r="C521" s="295"/>
      <c r="D521" s="38"/>
      <c r="E521" s="38"/>
      <c r="F521" s="38"/>
    </row>
    <row r="522" customFormat="false" ht="12.75" hidden="false" customHeight="true" outlineLevel="0" collapsed="false">
      <c r="B522" s="295"/>
      <c r="C522" s="295"/>
      <c r="D522" s="38"/>
      <c r="E522" s="38"/>
      <c r="F522" s="38"/>
    </row>
    <row r="523" customFormat="false" ht="12.75" hidden="false" customHeight="true" outlineLevel="0" collapsed="false">
      <c r="B523" s="295"/>
      <c r="C523" s="295"/>
      <c r="D523" s="38"/>
      <c r="E523" s="38"/>
      <c r="F523" s="38"/>
    </row>
    <row r="524" customFormat="false" ht="12.75" hidden="false" customHeight="true" outlineLevel="0" collapsed="false">
      <c r="B524" s="295"/>
      <c r="C524" s="295"/>
      <c r="D524" s="38"/>
      <c r="E524" s="38"/>
      <c r="F524" s="38"/>
    </row>
    <row r="525" customFormat="false" ht="12.75" hidden="false" customHeight="true" outlineLevel="0" collapsed="false">
      <c r="B525" s="295"/>
      <c r="C525" s="295"/>
      <c r="D525" s="38"/>
      <c r="E525" s="38"/>
      <c r="F525" s="38"/>
    </row>
    <row r="526" customFormat="false" ht="12.75" hidden="false" customHeight="true" outlineLevel="0" collapsed="false">
      <c r="B526" s="295"/>
      <c r="C526" s="295"/>
      <c r="D526" s="38"/>
      <c r="E526" s="38"/>
      <c r="F526" s="38"/>
    </row>
    <row r="527" customFormat="false" ht="12.75" hidden="false" customHeight="true" outlineLevel="0" collapsed="false">
      <c r="B527" s="295"/>
      <c r="C527" s="295"/>
      <c r="D527" s="38"/>
      <c r="E527" s="38"/>
      <c r="F527" s="38"/>
    </row>
    <row r="528" customFormat="false" ht="12.75" hidden="false" customHeight="true" outlineLevel="0" collapsed="false">
      <c r="B528" s="295"/>
      <c r="C528" s="295"/>
      <c r="D528" s="38"/>
      <c r="E528" s="38"/>
      <c r="F528" s="38"/>
    </row>
    <row r="529" customFormat="false" ht="12.75" hidden="false" customHeight="true" outlineLevel="0" collapsed="false">
      <c r="B529" s="295"/>
      <c r="C529" s="295"/>
      <c r="D529" s="38"/>
      <c r="E529" s="38"/>
      <c r="F529" s="38"/>
    </row>
    <row r="530" customFormat="false" ht="12.75" hidden="false" customHeight="true" outlineLevel="0" collapsed="false">
      <c r="B530" s="295"/>
      <c r="C530" s="295"/>
      <c r="D530" s="38"/>
      <c r="E530" s="38"/>
      <c r="F530" s="38"/>
    </row>
    <row r="531" customFormat="false" ht="12.75" hidden="false" customHeight="true" outlineLevel="0" collapsed="false">
      <c r="B531" s="295"/>
      <c r="C531" s="295"/>
      <c r="D531" s="38"/>
      <c r="E531" s="38"/>
      <c r="F531" s="38"/>
    </row>
    <row r="532" customFormat="false" ht="12.75" hidden="false" customHeight="true" outlineLevel="0" collapsed="false">
      <c r="B532" s="295"/>
      <c r="C532" s="295"/>
      <c r="D532" s="38"/>
      <c r="E532" s="38"/>
      <c r="F532" s="38"/>
    </row>
    <row r="533" customFormat="false" ht="12.75" hidden="false" customHeight="true" outlineLevel="0" collapsed="false">
      <c r="B533" s="295"/>
      <c r="C533" s="295"/>
      <c r="D533" s="38"/>
      <c r="E533" s="38"/>
      <c r="F533" s="38"/>
    </row>
    <row r="534" customFormat="false" ht="12.75" hidden="false" customHeight="true" outlineLevel="0" collapsed="false">
      <c r="B534" s="295"/>
      <c r="C534" s="295"/>
      <c r="D534" s="38"/>
      <c r="E534" s="38"/>
      <c r="F534" s="38"/>
    </row>
    <row r="535" customFormat="false" ht="12.75" hidden="false" customHeight="true" outlineLevel="0" collapsed="false">
      <c r="B535" s="295"/>
      <c r="C535" s="295"/>
      <c r="D535" s="38"/>
      <c r="E535" s="38"/>
      <c r="F535" s="38"/>
    </row>
    <row r="536" customFormat="false" ht="12.75" hidden="false" customHeight="true" outlineLevel="0" collapsed="false">
      <c r="B536" s="295"/>
      <c r="C536" s="295"/>
      <c r="D536" s="38"/>
      <c r="E536" s="38"/>
      <c r="F536" s="38"/>
    </row>
    <row r="537" customFormat="false" ht="12.75" hidden="false" customHeight="true" outlineLevel="0" collapsed="false">
      <c r="B537" s="295"/>
      <c r="C537" s="295"/>
      <c r="D537" s="38"/>
      <c r="E537" s="38"/>
      <c r="F537" s="38"/>
    </row>
    <row r="538" customFormat="false" ht="12.75" hidden="false" customHeight="true" outlineLevel="0" collapsed="false">
      <c r="B538" s="295"/>
      <c r="C538" s="295"/>
      <c r="D538" s="38"/>
      <c r="E538" s="38"/>
      <c r="F538" s="38"/>
    </row>
    <row r="539" customFormat="false" ht="12.75" hidden="false" customHeight="true" outlineLevel="0" collapsed="false">
      <c r="B539" s="295"/>
      <c r="C539" s="295"/>
      <c r="D539" s="38"/>
      <c r="E539" s="38"/>
      <c r="F539" s="38"/>
    </row>
    <row r="540" customFormat="false" ht="12.75" hidden="false" customHeight="true" outlineLevel="0" collapsed="false">
      <c r="B540" s="295"/>
      <c r="C540" s="295"/>
      <c r="D540" s="38"/>
      <c r="E540" s="38"/>
      <c r="F540" s="38"/>
    </row>
    <row r="541" customFormat="false" ht="12.75" hidden="false" customHeight="true" outlineLevel="0" collapsed="false">
      <c r="B541" s="295"/>
      <c r="C541" s="295"/>
      <c r="D541" s="38"/>
      <c r="E541" s="38"/>
      <c r="F541" s="38"/>
    </row>
    <row r="542" customFormat="false" ht="12.75" hidden="false" customHeight="true" outlineLevel="0" collapsed="false">
      <c r="B542" s="295"/>
      <c r="C542" s="295"/>
      <c r="D542" s="38"/>
      <c r="E542" s="38"/>
      <c r="F542" s="38"/>
    </row>
    <row r="543" customFormat="false" ht="12.75" hidden="false" customHeight="true" outlineLevel="0" collapsed="false">
      <c r="B543" s="295"/>
      <c r="C543" s="295"/>
      <c r="D543" s="38"/>
      <c r="E543" s="38"/>
      <c r="F543" s="38"/>
    </row>
    <row r="544" customFormat="false" ht="12.75" hidden="false" customHeight="true" outlineLevel="0" collapsed="false">
      <c r="B544" s="295"/>
      <c r="C544" s="295"/>
      <c r="D544" s="38"/>
      <c r="E544" s="38"/>
      <c r="F544" s="38"/>
    </row>
    <row r="545" customFormat="false" ht="12.75" hidden="false" customHeight="true" outlineLevel="0" collapsed="false">
      <c r="B545" s="295"/>
      <c r="C545" s="295"/>
      <c r="D545" s="38"/>
      <c r="E545" s="38"/>
      <c r="F545" s="38"/>
    </row>
    <row r="546" customFormat="false" ht="12.75" hidden="false" customHeight="true" outlineLevel="0" collapsed="false">
      <c r="B546" s="295"/>
      <c r="C546" s="295"/>
      <c r="D546" s="38"/>
      <c r="E546" s="38"/>
      <c r="F546" s="38"/>
    </row>
    <row r="547" customFormat="false" ht="12.75" hidden="false" customHeight="true" outlineLevel="0" collapsed="false">
      <c r="B547" s="295"/>
      <c r="C547" s="295"/>
      <c r="D547" s="38"/>
      <c r="E547" s="38"/>
      <c r="F547" s="38"/>
    </row>
    <row r="548" customFormat="false" ht="12.75" hidden="false" customHeight="true" outlineLevel="0" collapsed="false">
      <c r="B548" s="295"/>
      <c r="C548" s="295"/>
      <c r="D548" s="38"/>
      <c r="E548" s="38"/>
      <c r="F548" s="38"/>
    </row>
    <row r="549" customFormat="false" ht="12.75" hidden="false" customHeight="true" outlineLevel="0" collapsed="false">
      <c r="B549" s="295"/>
      <c r="C549" s="295"/>
      <c r="D549" s="38"/>
      <c r="E549" s="38"/>
      <c r="F549" s="38"/>
    </row>
    <row r="550" customFormat="false" ht="12.75" hidden="false" customHeight="true" outlineLevel="0" collapsed="false">
      <c r="B550" s="295"/>
      <c r="C550" s="295"/>
      <c r="D550" s="38"/>
      <c r="E550" s="38"/>
      <c r="F550" s="38"/>
    </row>
    <row r="551" customFormat="false" ht="12.75" hidden="false" customHeight="true" outlineLevel="0" collapsed="false">
      <c r="B551" s="295"/>
      <c r="C551" s="295"/>
      <c r="D551" s="38"/>
      <c r="E551" s="38"/>
      <c r="F551" s="38"/>
    </row>
    <row r="552" customFormat="false" ht="12.75" hidden="false" customHeight="true" outlineLevel="0" collapsed="false">
      <c r="B552" s="295"/>
      <c r="C552" s="295"/>
      <c r="D552" s="38"/>
      <c r="E552" s="38"/>
      <c r="F552" s="38"/>
    </row>
    <row r="553" customFormat="false" ht="12.75" hidden="false" customHeight="true" outlineLevel="0" collapsed="false">
      <c r="B553" s="295"/>
      <c r="C553" s="295"/>
      <c r="D553" s="38"/>
      <c r="E553" s="38"/>
      <c r="F553" s="38"/>
    </row>
    <row r="554" customFormat="false" ht="12.75" hidden="false" customHeight="true" outlineLevel="0" collapsed="false">
      <c r="B554" s="295"/>
      <c r="C554" s="295"/>
      <c r="D554" s="38"/>
      <c r="E554" s="38"/>
      <c r="F554" s="38"/>
    </row>
    <row r="555" customFormat="false" ht="12.75" hidden="false" customHeight="true" outlineLevel="0" collapsed="false">
      <c r="B555" s="295"/>
      <c r="C555" s="295"/>
      <c r="D555" s="38"/>
      <c r="E555" s="38"/>
      <c r="F555" s="38"/>
    </row>
    <row r="556" customFormat="false" ht="12.75" hidden="false" customHeight="true" outlineLevel="0" collapsed="false">
      <c r="B556" s="295"/>
      <c r="C556" s="295"/>
      <c r="D556" s="38"/>
      <c r="E556" s="38"/>
      <c r="F556" s="38"/>
    </row>
    <row r="557" customFormat="false" ht="12.75" hidden="false" customHeight="true" outlineLevel="0" collapsed="false">
      <c r="B557" s="295"/>
      <c r="C557" s="295"/>
      <c r="D557" s="38"/>
      <c r="E557" s="38"/>
      <c r="F557" s="38"/>
    </row>
    <row r="558" customFormat="false" ht="12.75" hidden="false" customHeight="true" outlineLevel="0" collapsed="false">
      <c r="B558" s="295"/>
      <c r="C558" s="295"/>
      <c r="D558" s="38"/>
      <c r="E558" s="38"/>
      <c r="F558" s="38"/>
    </row>
    <row r="559" customFormat="false" ht="12.75" hidden="false" customHeight="true" outlineLevel="0" collapsed="false">
      <c r="B559" s="295"/>
      <c r="C559" s="295"/>
      <c r="D559" s="38"/>
      <c r="E559" s="38"/>
      <c r="F559" s="38"/>
    </row>
    <row r="560" customFormat="false" ht="12.75" hidden="false" customHeight="true" outlineLevel="0" collapsed="false">
      <c r="B560" s="295"/>
      <c r="C560" s="295"/>
      <c r="D560" s="38"/>
      <c r="E560" s="38"/>
      <c r="F560" s="38"/>
    </row>
    <row r="561" customFormat="false" ht="12.75" hidden="false" customHeight="true" outlineLevel="0" collapsed="false">
      <c r="B561" s="295"/>
      <c r="C561" s="295"/>
      <c r="D561" s="38"/>
      <c r="E561" s="38"/>
      <c r="F561" s="38"/>
    </row>
    <row r="562" customFormat="false" ht="12.75" hidden="false" customHeight="true" outlineLevel="0" collapsed="false">
      <c r="B562" s="295"/>
      <c r="C562" s="295"/>
      <c r="D562" s="38"/>
      <c r="E562" s="38"/>
      <c r="F562" s="38"/>
    </row>
    <row r="563" customFormat="false" ht="12.75" hidden="false" customHeight="true" outlineLevel="0" collapsed="false">
      <c r="B563" s="295"/>
      <c r="C563" s="295"/>
      <c r="D563" s="38"/>
      <c r="E563" s="38"/>
      <c r="F563" s="38"/>
    </row>
    <row r="564" customFormat="false" ht="12.75" hidden="false" customHeight="true" outlineLevel="0" collapsed="false">
      <c r="B564" s="295"/>
      <c r="C564" s="295"/>
      <c r="D564" s="38"/>
      <c r="E564" s="38"/>
      <c r="F564" s="38"/>
    </row>
    <row r="565" customFormat="false" ht="12.75" hidden="false" customHeight="true" outlineLevel="0" collapsed="false">
      <c r="B565" s="295"/>
      <c r="C565" s="295"/>
      <c r="D565" s="38"/>
      <c r="E565" s="38"/>
      <c r="F565" s="38"/>
    </row>
    <row r="566" customFormat="false" ht="12.75" hidden="false" customHeight="true" outlineLevel="0" collapsed="false">
      <c r="B566" s="295"/>
      <c r="C566" s="295"/>
      <c r="D566" s="38"/>
      <c r="E566" s="38"/>
      <c r="F566" s="38"/>
    </row>
    <row r="567" customFormat="false" ht="12.75" hidden="false" customHeight="true" outlineLevel="0" collapsed="false">
      <c r="B567" s="295"/>
      <c r="C567" s="295"/>
      <c r="D567" s="38"/>
      <c r="E567" s="38"/>
      <c r="F567" s="38"/>
    </row>
    <row r="568" customFormat="false" ht="12.75" hidden="false" customHeight="true" outlineLevel="0" collapsed="false">
      <c r="B568" s="295"/>
      <c r="C568" s="295"/>
      <c r="D568" s="38"/>
      <c r="E568" s="38"/>
      <c r="F568" s="38"/>
    </row>
    <row r="569" customFormat="false" ht="12.75" hidden="false" customHeight="true" outlineLevel="0" collapsed="false">
      <c r="B569" s="295"/>
      <c r="C569" s="295"/>
      <c r="D569" s="38"/>
      <c r="E569" s="38"/>
      <c r="F569" s="38"/>
    </row>
    <row r="570" customFormat="false" ht="12.75" hidden="false" customHeight="true" outlineLevel="0" collapsed="false">
      <c r="B570" s="295"/>
      <c r="C570" s="295"/>
      <c r="D570" s="38"/>
      <c r="E570" s="38"/>
      <c r="F570" s="38"/>
    </row>
    <row r="571" customFormat="false" ht="12.75" hidden="false" customHeight="true" outlineLevel="0" collapsed="false">
      <c r="B571" s="295"/>
      <c r="C571" s="295"/>
      <c r="D571" s="38"/>
      <c r="E571" s="38"/>
      <c r="F571" s="38"/>
    </row>
    <row r="572" customFormat="false" ht="12.75" hidden="false" customHeight="true" outlineLevel="0" collapsed="false">
      <c r="B572" s="295"/>
      <c r="C572" s="295"/>
      <c r="D572" s="38"/>
      <c r="E572" s="38"/>
      <c r="F572" s="38"/>
    </row>
    <row r="573" customFormat="false" ht="12.75" hidden="false" customHeight="true" outlineLevel="0" collapsed="false">
      <c r="B573" s="295"/>
      <c r="C573" s="295"/>
      <c r="D573" s="38"/>
      <c r="E573" s="38"/>
      <c r="F573" s="38"/>
    </row>
    <row r="574" customFormat="false" ht="12.75" hidden="false" customHeight="true" outlineLevel="0" collapsed="false">
      <c r="B574" s="295"/>
      <c r="C574" s="295"/>
      <c r="D574" s="38"/>
      <c r="E574" s="38"/>
      <c r="F574" s="38"/>
    </row>
    <row r="575" customFormat="false" ht="12.75" hidden="false" customHeight="true" outlineLevel="0" collapsed="false">
      <c r="B575" s="295"/>
      <c r="C575" s="295"/>
      <c r="D575" s="38"/>
      <c r="E575" s="38"/>
      <c r="F575" s="38"/>
    </row>
    <row r="576" customFormat="false" ht="12.75" hidden="false" customHeight="true" outlineLevel="0" collapsed="false">
      <c r="B576" s="295"/>
      <c r="C576" s="295"/>
      <c r="D576" s="38"/>
      <c r="E576" s="38"/>
      <c r="F576" s="38"/>
    </row>
    <row r="577" customFormat="false" ht="12.75" hidden="false" customHeight="true" outlineLevel="0" collapsed="false">
      <c r="B577" s="295"/>
      <c r="C577" s="295"/>
      <c r="D577" s="38"/>
      <c r="E577" s="38"/>
      <c r="F577" s="38"/>
    </row>
    <row r="578" customFormat="false" ht="12.75" hidden="false" customHeight="true" outlineLevel="0" collapsed="false">
      <c r="B578" s="295"/>
      <c r="C578" s="295"/>
      <c r="D578" s="38"/>
      <c r="E578" s="38"/>
      <c r="F578" s="38"/>
    </row>
    <row r="579" customFormat="false" ht="12.75" hidden="false" customHeight="true" outlineLevel="0" collapsed="false">
      <c r="B579" s="295"/>
      <c r="C579" s="295"/>
      <c r="D579" s="38"/>
      <c r="E579" s="38"/>
      <c r="F579" s="38"/>
    </row>
    <row r="580" customFormat="false" ht="12.75" hidden="false" customHeight="true" outlineLevel="0" collapsed="false">
      <c r="B580" s="295"/>
      <c r="C580" s="295"/>
      <c r="D580" s="38"/>
      <c r="E580" s="38"/>
      <c r="F580" s="38"/>
    </row>
    <row r="581" customFormat="false" ht="12.75" hidden="false" customHeight="true" outlineLevel="0" collapsed="false">
      <c r="B581" s="295"/>
      <c r="C581" s="295"/>
      <c r="D581" s="38"/>
      <c r="E581" s="38"/>
      <c r="F581" s="38"/>
    </row>
    <row r="582" customFormat="false" ht="12.75" hidden="false" customHeight="true" outlineLevel="0" collapsed="false">
      <c r="B582" s="295"/>
      <c r="C582" s="295"/>
      <c r="D582" s="38"/>
      <c r="E582" s="38"/>
      <c r="F582" s="38"/>
    </row>
    <row r="583" customFormat="false" ht="12.75" hidden="false" customHeight="true" outlineLevel="0" collapsed="false">
      <c r="B583" s="295"/>
      <c r="C583" s="295"/>
      <c r="D583" s="38"/>
      <c r="E583" s="38"/>
      <c r="F583" s="38"/>
    </row>
    <row r="584" customFormat="false" ht="12.75" hidden="false" customHeight="true" outlineLevel="0" collapsed="false">
      <c r="B584" s="295"/>
      <c r="C584" s="295"/>
      <c r="D584" s="38"/>
      <c r="E584" s="38"/>
      <c r="F584" s="38"/>
    </row>
    <row r="585" customFormat="false" ht="12.75" hidden="false" customHeight="true" outlineLevel="0" collapsed="false">
      <c r="B585" s="295"/>
      <c r="C585" s="295"/>
      <c r="D585" s="38"/>
      <c r="E585" s="38"/>
      <c r="F585" s="38"/>
    </row>
    <row r="586" customFormat="false" ht="12.75" hidden="false" customHeight="true" outlineLevel="0" collapsed="false">
      <c r="B586" s="295"/>
      <c r="C586" s="295"/>
      <c r="D586" s="38"/>
      <c r="E586" s="38"/>
      <c r="F586" s="38"/>
    </row>
    <row r="587" customFormat="false" ht="12.75" hidden="false" customHeight="true" outlineLevel="0" collapsed="false">
      <c r="B587" s="295"/>
      <c r="C587" s="295"/>
      <c r="D587" s="38"/>
      <c r="E587" s="38"/>
      <c r="F587" s="38"/>
    </row>
    <row r="588" customFormat="false" ht="12.75" hidden="false" customHeight="true" outlineLevel="0" collapsed="false">
      <c r="B588" s="295"/>
      <c r="C588" s="295"/>
      <c r="D588" s="38"/>
      <c r="E588" s="38"/>
      <c r="F588" s="38"/>
    </row>
    <row r="589" customFormat="false" ht="12.75" hidden="false" customHeight="true" outlineLevel="0" collapsed="false">
      <c r="B589" s="295"/>
      <c r="C589" s="295"/>
      <c r="D589" s="38"/>
      <c r="E589" s="38"/>
      <c r="F589" s="38"/>
    </row>
    <row r="590" customFormat="false" ht="12.75" hidden="false" customHeight="true" outlineLevel="0" collapsed="false">
      <c r="B590" s="295"/>
      <c r="C590" s="295"/>
      <c r="D590" s="38"/>
      <c r="E590" s="38"/>
      <c r="F590" s="38"/>
    </row>
    <row r="591" customFormat="false" ht="12.75" hidden="false" customHeight="true" outlineLevel="0" collapsed="false">
      <c r="B591" s="295"/>
      <c r="C591" s="295"/>
      <c r="D591" s="38"/>
      <c r="E591" s="38"/>
      <c r="F591" s="38"/>
    </row>
    <row r="592" customFormat="false" ht="12.75" hidden="false" customHeight="true" outlineLevel="0" collapsed="false">
      <c r="B592" s="295"/>
      <c r="C592" s="295"/>
      <c r="D592" s="38"/>
      <c r="E592" s="38"/>
      <c r="F592" s="38"/>
    </row>
    <row r="593" customFormat="false" ht="12.75" hidden="false" customHeight="true" outlineLevel="0" collapsed="false">
      <c r="B593" s="295"/>
      <c r="C593" s="295"/>
      <c r="D593" s="38"/>
      <c r="E593" s="38"/>
      <c r="F593" s="38"/>
    </row>
    <row r="594" customFormat="false" ht="12.75" hidden="false" customHeight="true" outlineLevel="0" collapsed="false">
      <c r="B594" s="295"/>
      <c r="C594" s="295"/>
      <c r="D594" s="38"/>
      <c r="E594" s="38"/>
      <c r="F594" s="38"/>
    </row>
    <row r="595" customFormat="false" ht="12.75" hidden="false" customHeight="true" outlineLevel="0" collapsed="false">
      <c r="B595" s="295"/>
      <c r="C595" s="295"/>
      <c r="D595" s="38"/>
      <c r="E595" s="38"/>
      <c r="F595" s="38"/>
    </row>
    <row r="596" customFormat="false" ht="12.75" hidden="false" customHeight="true" outlineLevel="0" collapsed="false">
      <c r="B596" s="295"/>
      <c r="C596" s="295"/>
      <c r="D596" s="38"/>
      <c r="E596" s="38"/>
      <c r="F596" s="38"/>
    </row>
    <row r="597" customFormat="false" ht="12.75" hidden="false" customHeight="true" outlineLevel="0" collapsed="false">
      <c r="B597" s="295"/>
      <c r="C597" s="295"/>
      <c r="D597" s="38"/>
      <c r="E597" s="38"/>
      <c r="F597" s="38"/>
    </row>
    <row r="598" customFormat="false" ht="12.75" hidden="false" customHeight="true" outlineLevel="0" collapsed="false">
      <c r="B598" s="295"/>
      <c r="C598" s="295"/>
      <c r="D598" s="38"/>
      <c r="E598" s="38"/>
      <c r="F598" s="38"/>
    </row>
    <row r="599" customFormat="false" ht="12.75" hidden="false" customHeight="true" outlineLevel="0" collapsed="false">
      <c r="B599" s="295"/>
      <c r="C599" s="295"/>
      <c r="D599" s="38"/>
      <c r="E599" s="38"/>
      <c r="F599" s="38"/>
    </row>
    <row r="600" customFormat="false" ht="12.75" hidden="false" customHeight="true" outlineLevel="0" collapsed="false">
      <c r="B600" s="295"/>
      <c r="C600" s="295"/>
      <c r="D600" s="38"/>
      <c r="E600" s="38"/>
      <c r="F600" s="38"/>
    </row>
    <row r="601" customFormat="false" ht="12.75" hidden="false" customHeight="true" outlineLevel="0" collapsed="false">
      <c r="B601" s="295"/>
      <c r="C601" s="295"/>
      <c r="D601" s="38"/>
      <c r="E601" s="38"/>
      <c r="F601" s="38"/>
    </row>
    <row r="602" customFormat="false" ht="12.75" hidden="false" customHeight="true" outlineLevel="0" collapsed="false">
      <c r="B602" s="295"/>
      <c r="C602" s="295"/>
      <c r="D602" s="38"/>
      <c r="E602" s="38"/>
      <c r="F602" s="38"/>
    </row>
    <row r="603" customFormat="false" ht="12.75" hidden="false" customHeight="true" outlineLevel="0" collapsed="false">
      <c r="B603" s="295"/>
      <c r="C603" s="295"/>
      <c r="D603" s="38"/>
      <c r="E603" s="38"/>
      <c r="F603" s="38"/>
    </row>
    <row r="604" customFormat="false" ht="12.75" hidden="false" customHeight="true" outlineLevel="0" collapsed="false">
      <c r="B604" s="295"/>
      <c r="C604" s="295"/>
      <c r="D604" s="38"/>
      <c r="E604" s="38"/>
      <c r="F604" s="38"/>
    </row>
    <row r="605" customFormat="false" ht="12.75" hidden="false" customHeight="true" outlineLevel="0" collapsed="false">
      <c r="B605" s="295"/>
      <c r="C605" s="295"/>
      <c r="D605" s="38"/>
      <c r="E605" s="38"/>
      <c r="F605" s="38"/>
    </row>
    <row r="606" customFormat="false" ht="12.75" hidden="false" customHeight="true" outlineLevel="0" collapsed="false">
      <c r="B606" s="295"/>
      <c r="C606" s="295"/>
      <c r="D606" s="38"/>
      <c r="E606" s="38"/>
      <c r="F606" s="38"/>
    </row>
    <row r="607" customFormat="false" ht="12.75" hidden="false" customHeight="true" outlineLevel="0" collapsed="false">
      <c r="B607" s="295"/>
      <c r="C607" s="295"/>
      <c r="D607" s="38"/>
      <c r="E607" s="38"/>
      <c r="F607" s="38"/>
    </row>
    <row r="608" customFormat="false" ht="12.75" hidden="false" customHeight="true" outlineLevel="0" collapsed="false">
      <c r="B608" s="295"/>
      <c r="C608" s="295"/>
      <c r="D608" s="38"/>
      <c r="E608" s="38"/>
      <c r="F608" s="38"/>
    </row>
    <row r="609" customFormat="false" ht="12.75" hidden="false" customHeight="true" outlineLevel="0" collapsed="false">
      <c r="B609" s="295"/>
      <c r="C609" s="295"/>
      <c r="D609" s="38"/>
      <c r="E609" s="38"/>
      <c r="F609" s="38"/>
    </row>
    <row r="610" customFormat="false" ht="12.75" hidden="false" customHeight="true" outlineLevel="0" collapsed="false">
      <c r="B610" s="295"/>
      <c r="C610" s="295"/>
      <c r="D610" s="38"/>
      <c r="E610" s="38"/>
      <c r="F610" s="38"/>
    </row>
    <row r="611" customFormat="false" ht="12.75" hidden="false" customHeight="true" outlineLevel="0" collapsed="false">
      <c r="B611" s="295"/>
      <c r="C611" s="295"/>
      <c r="D611" s="38"/>
      <c r="E611" s="38"/>
      <c r="F611" s="38"/>
    </row>
    <row r="612" customFormat="false" ht="12.75" hidden="false" customHeight="true" outlineLevel="0" collapsed="false">
      <c r="B612" s="295"/>
      <c r="C612" s="295"/>
      <c r="D612" s="38"/>
      <c r="E612" s="38"/>
      <c r="F612" s="38"/>
    </row>
    <row r="613" customFormat="false" ht="12.75" hidden="false" customHeight="true" outlineLevel="0" collapsed="false">
      <c r="B613" s="295"/>
      <c r="C613" s="295"/>
      <c r="D613" s="38"/>
      <c r="E613" s="38"/>
      <c r="F613" s="38"/>
    </row>
    <row r="614" customFormat="false" ht="12.75" hidden="false" customHeight="true" outlineLevel="0" collapsed="false">
      <c r="B614" s="295"/>
      <c r="C614" s="295"/>
      <c r="D614" s="38"/>
      <c r="E614" s="38"/>
      <c r="F614" s="38"/>
    </row>
    <row r="615" customFormat="false" ht="12.75" hidden="false" customHeight="true" outlineLevel="0" collapsed="false">
      <c r="B615" s="295"/>
      <c r="C615" s="295"/>
      <c r="D615" s="38"/>
      <c r="E615" s="38"/>
      <c r="F615" s="38"/>
    </row>
    <row r="616" customFormat="false" ht="12.75" hidden="false" customHeight="true" outlineLevel="0" collapsed="false">
      <c r="B616" s="295"/>
      <c r="C616" s="295"/>
      <c r="D616" s="38"/>
      <c r="E616" s="38"/>
      <c r="F616" s="38"/>
    </row>
    <row r="617" customFormat="false" ht="12.75" hidden="false" customHeight="true" outlineLevel="0" collapsed="false">
      <c r="B617" s="295"/>
      <c r="C617" s="295"/>
      <c r="D617" s="38"/>
      <c r="E617" s="38"/>
      <c r="F617" s="38"/>
    </row>
    <row r="618" customFormat="false" ht="12.75" hidden="false" customHeight="true" outlineLevel="0" collapsed="false">
      <c r="B618" s="295"/>
      <c r="C618" s="295"/>
      <c r="D618" s="38"/>
      <c r="E618" s="38"/>
      <c r="F618" s="38"/>
    </row>
    <row r="619" customFormat="false" ht="12.75" hidden="false" customHeight="true" outlineLevel="0" collapsed="false">
      <c r="B619" s="295"/>
      <c r="C619" s="295"/>
      <c r="D619" s="38"/>
      <c r="E619" s="38"/>
      <c r="F619" s="38"/>
    </row>
    <row r="620" customFormat="false" ht="12.75" hidden="false" customHeight="true" outlineLevel="0" collapsed="false">
      <c r="B620" s="295"/>
      <c r="C620" s="295"/>
      <c r="D620" s="38"/>
      <c r="E620" s="38"/>
      <c r="F620" s="38"/>
    </row>
    <row r="621" customFormat="false" ht="12.75" hidden="false" customHeight="true" outlineLevel="0" collapsed="false">
      <c r="B621" s="295"/>
      <c r="C621" s="295"/>
      <c r="D621" s="38"/>
      <c r="E621" s="38"/>
      <c r="F621" s="38"/>
    </row>
    <row r="622" customFormat="false" ht="12.75" hidden="false" customHeight="true" outlineLevel="0" collapsed="false">
      <c r="B622" s="295"/>
      <c r="C622" s="295"/>
      <c r="D622" s="38"/>
      <c r="E622" s="38"/>
      <c r="F622" s="38"/>
    </row>
    <row r="623" customFormat="false" ht="12.75" hidden="false" customHeight="true" outlineLevel="0" collapsed="false">
      <c r="B623" s="295"/>
      <c r="C623" s="295"/>
      <c r="D623" s="38"/>
      <c r="E623" s="38"/>
      <c r="F623" s="38"/>
    </row>
    <row r="624" customFormat="false" ht="12.75" hidden="false" customHeight="true" outlineLevel="0" collapsed="false">
      <c r="B624" s="295"/>
      <c r="C624" s="295"/>
      <c r="D624" s="38"/>
      <c r="E624" s="38"/>
      <c r="F624" s="38"/>
    </row>
    <row r="625" customFormat="false" ht="12.75" hidden="false" customHeight="true" outlineLevel="0" collapsed="false">
      <c r="B625" s="295"/>
      <c r="C625" s="295"/>
      <c r="D625" s="38"/>
      <c r="E625" s="38"/>
      <c r="F625" s="38"/>
    </row>
    <row r="626" customFormat="false" ht="12.75" hidden="false" customHeight="true" outlineLevel="0" collapsed="false">
      <c r="B626" s="295"/>
      <c r="C626" s="295"/>
      <c r="D626" s="38"/>
      <c r="E626" s="38"/>
      <c r="F626" s="38"/>
    </row>
    <row r="627" customFormat="false" ht="12.75" hidden="false" customHeight="true" outlineLevel="0" collapsed="false">
      <c r="B627" s="295"/>
      <c r="C627" s="295"/>
      <c r="D627" s="38"/>
      <c r="E627" s="38"/>
      <c r="F627" s="38"/>
    </row>
    <row r="628" customFormat="false" ht="12.75" hidden="false" customHeight="true" outlineLevel="0" collapsed="false">
      <c r="B628" s="295"/>
      <c r="C628" s="295"/>
      <c r="D628" s="38"/>
      <c r="E628" s="38"/>
      <c r="F628" s="38"/>
    </row>
    <row r="629" customFormat="false" ht="12.75" hidden="false" customHeight="true" outlineLevel="0" collapsed="false">
      <c r="B629" s="295"/>
      <c r="C629" s="295"/>
      <c r="D629" s="38"/>
      <c r="E629" s="38"/>
      <c r="F629" s="38"/>
    </row>
    <row r="630" customFormat="false" ht="12.75" hidden="false" customHeight="true" outlineLevel="0" collapsed="false">
      <c r="B630" s="295"/>
      <c r="C630" s="295"/>
      <c r="D630" s="38"/>
      <c r="E630" s="38"/>
      <c r="F630" s="38"/>
    </row>
    <row r="631" customFormat="false" ht="12.75" hidden="false" customHeight="true" outlineLevel="0" collapsed="false">
      <c r="B631" s="295"/>
      <c r="C631" s="295"/>
      <c r="D631" s="38"/>
      <c r="E631" s="38"/>
      <c r="F631" s="38"/>
    </row>
    <row r="632" customFormat="false" ht="12.75" hidden="false" customHeight="true" outlineLevel="0" collapsed="false">
      <c r="B632" s="295"/>
      <c r="C632" s="295"/>
      <c r="D632" s="38"/>
      <c r="E632" s="38"/>
      <c r="F632" s="38"/>
    </row>
    <row r="633" customFormat="false" ht="12.75" hidden="false" customHeight="true" outlineLevel="0" collapsed="false">
      <c r="B633" s="295"/>
      <c r="C633" s="295"/>
      <c r="D633" s="38"/>
      <c r="E633" s="38"/>
      <c r="F633" s="38"/>
    </row>
    <row r="634" customFormat="false" ht="12.75" hidden="false" customHeight="true" outlineLevel="0" collapsed="false">
      <c r="B634" s="295"/>
      <c r="C634" s="295"/>
      <c r="D634" s="38"/>
      <c r="E634" s="38"/>
      <c r="F634" s="38"/>
    </row>
    <row r="635" customFormat="false" ht="12.75" hidden="false" customHeight="true" outlineLevel="0" collapsed="false">
      <c r="B635" s="295"/>
      <c r="C635" s="295"/>
      <c r="D635" s="38"/>
      <c r="E635" s="38"/>
      <c r="F635" s="38"/>
    </row>
    <row r="636" customFormat="false" ht="12.75" hidden="false" customHeight="true" outlineLevel="0" collapsed="false">
      <c r="B636" s="295"/>
      <c r="C636" s="295"/>
      <c r="D636" s="38"/>
      <c r="E636" s="38"/>
      <c r="F636" s="38"/>
    </row>
    <row r="637" customFormat="false" ht="12.75" hidden="false" customHeight="true" outlineLevel="0" collapsed="false">
      <c r="B637" s="295"/>
      <c r="C637" s="295"/>
      <c r="D637" s="38"/>
      <c r="E637" s="38"/>
      <c r="F637" s="38"/>
    </row>
    <row r="638" customFormat="false" ht="12.75" hidden="false" customHeight="true" outlineLevel="0" collapsed="false">
      <c r="B638" s="295"/>
      <c r="C638" s="295"/>
      <c r="D638" s="38"/>
      <c r="E638" s="38"/>
      <c r="F638" s="38"/>
    </row>
    <row r="639" customFormat="false" ht="12.75" hidden="false" customHeight="true" outlineLevel="0" collapsed="false">
      <c r="B639" s="295"/>
      <c r="C639" s="295"/>
      <c r="D639" s="38"/>
      <c r="E639" s="38"/>
      <c r="F639" s="38"/>
    </row>
    <row r="640" customFormat="false" ht="12.75" hidden="false" customHeight="true" outlineLevel="0" collapsed="false">
      <c r="B640" s="295"/>
      <c r="C640" s="295"/>
      <c r="D640" s="38"/>
      <c r="E640" s="38"/>
      <c r="F640" s="38"/>
    </row>
    <row r="641" customFormat="false" ht="12.75" hidden="false" customHeight="true" outlineLevel="0" collapsed="false">
      <c r="B641" s="295"/>
      <c r="C641" s="295"/>
      <c r="D641" s="38"/>
      <c r="E641" s="38"/>
      <c r="F641" s="38"/>
    </row>
    <row r="642" customFormat="false" ht="12.75" hidden="false" customHeight="true" outlineLevel="0" collapsed="false">
      <c r="B642" s="295"/>
    </row>
    <row r="643" customFormat="false" ht="12.75" hidden="false" customHeight="true" outlineLevel="0" collapsed="false">
      <c r="B643" s="295"/>
    </row>
    <row r="644" customFormat="false" ht="12.75" hidden="false" customHeight="true" outlineLevel="0" collapsed="false">
      <c r="B644" s="295"/>
    </row>
    <row r="645" customFormat="false" ht="12.75" hidden="false" customHeight="true" outlineLevel="0" collapsed="false">
      <c r="B645" s="295"/>
    </row>
    <row r="646" customFormat="false" ht="12.75" hidden="false" customHeight="true" outlineLevel="0" collapsed="false">
      <c r="B646" s="295"/>
    </row>
    <row r="647" customFormat="false" ht="12.75" hidden="false" customHeight="true" outlineLevel="0" collapsed="false">
      <c r="B647" s="295"/>
    </row>
    <row r="648" customFormat="false" ht="12.75" hidden="false" customHeight="true" outlineLevel="0" collapsed="false">
      <c r="B648" s="295"/>
    </row>
    <row r="649" customFormat="false" ht="12.75" hidden="false" customHeight="true" outlineLevel="0" collapsed="false">
      <c r="B649" s="295"/>
    </row>
    <row r="650" customFormat="false" ht="12.75" hidden="false" customHeight="true" outlineLevel="0" collapsed="false">
      <c r="B650" s="295"/>
    </row>
    <row r="651" customFormat="false" ht="12.75" hidden="false" customHeight="true" outlineLevel="0" collapsed="false">
      <c r="B651" s="295"/>
    </row>
    <row r="652" customFormat="false" ht="12.75" hidden="false" customHeight="true" outlineLevel="0" collapsed="false">
      <c r="B652" s="295"/>
    </row>
    <row r="653" customFormat="false" ht="12.75" hidden="false" customHeight="true" outlineLevel="0" collapsed="false">
      <c r="B653" s="295"/>
    </row>
    <row r="654" customFormat="false" ht="12.75" hidden="false" customHeight="true" outlineLevel="0" collapsed="false">
      <c r="B654" s="295"/>
    </row>
    <row r="655" customFormat="false" ht="12.75" hidden="false" customHeight="true" outlineLevel="0" collapsed="false">
      <c r="B655" s="295"/>
    </row>
    <row r="656" customFormat="false" ht="12.75" hidden="false" customHeight="true" outlineLevel="0" collapsed="false">
      <c r="B656" s="295"/>
    </row>
    <row r="657" customFormat="false" ht="12.75" hidden="false" customHeight="true" outlineLevel="0" collapsed="false">
      <c r="B657" s="295"/>
    </row>
    <row r="658" customFormat="false" ht="12.75" hidden="false" customHeight="true" outlineLevel="0" collapsed="false">
      <c r="B658" s="295"/>
    </row>
    <row r="659" customFormat="false" ht="12.75" hidden="false" customHeight="true" outlineLevel="0" collapsed="false">
      <c r="B659" s="295"/>
    </row>
    <row r="660" customFormat="false" ht="12.75" hidden="false" customHeight="true" outlineLevel="0" collapsed="false">
      <c r="B660" s="295"/>
    </row>
    <row r="661" customFormat="false" ht="12.75" hidden="false" customHeight="true" outlineLevel="0" collapsed="false">
      <c r="B661" s="295"/>
    </row>
    <row r="662" customFormat="false" ht="12.75" hidden="false" customHeight="true" outlineLevel="0" collapsed="false">
      <c r="B662" s="295"/>
    </row>
    <row r="663" customFormat="false" ht="12.75" hidden="false" customHeight="true" outlineLevel="0" collapsed="false">
      <c r="B663" s="295"/>
    </row>
    <row r="664" customFormat="false" ht="12.75" hidden="false" customHeight="true" outlineLevel="0" collapsed="false">
      <c r="B664" s="295"/>
    </row>
    <row r="665" customFormat="false" ht="12.75" hidden="false" customHeight="true" outlineLevel="0" collapsed="false">
      <c r="B665" s="295"/>
    </row>
    <row r="666" customFormat="false" ht="12.75" hidden="false" customHeight="true" outlineLevel="0" collapsed="false">
      <c r="B666" s="295"/>
    </row>
    <row r="667" customFormat="false" ht="12.75" hidden="false" customHeight="true" outlineLevel="0" collapsed="false">
      <c r="B667" s="295"/>
    </row>
    <row r="668" customFormat="false" ht="12.75" hidden="false" customHeight="true" outlineLevel="0" collapsed="false">
      <c r="B668" s="295"/>
    </row>
    <row r="669" customFormat="false" ht="12.75" hidden="false" customHeight="true" outlineLevel="0" collapsed="false">
      <c r="B669" s="295"/>
    </row>
    <row r="670" customFormat="false" ht="12.75" hidden="false" customHeight="true" outlineLevel="0" collapsed="false">
      <c r="B670" s="295"/>
    </row>
    <row r="671" customFormat="false" ht="12.75" hidden="false" customHeight="true" outlineLevel="0" collapsed="false">
      <c r="B671" s="295"/>
    </row>
    <row r="672" customFormat="false" ht="12.75" hidden="false" customHeight="true" outlineLevel="0" collapsed="false">
      <c r="B672" s="295"/>
    </row>
    <row r="673" customFormat="false" ht="12.75" hidden="false" customHeight="true" outlineLevel="0" collapsed="false">
      <c r="B673" s="295"/>
    </row>
    <row r="674" customFormat="false" ht="12.75" hidden="false" customHeight="true" outlineLevel="0" collapsed="false">
      <c r="B674" s="295"/>
    </row>
    <row r="675" customFormat="false" ht="12.75" hidden="false" customHeight="true" outlineLevel="0" collapsed="false">
      <c r="B675" s="295"/>
    </row>
    <row r="676" customFormat="false" ht="12.75" hidden="false" customHeight="true" outlineLevel="0" collapsed="false">
      <c r="B676" s="295"/>
    </row>
    <row r="677" customFormat="false" ht="12.75" hidden="false" customHeight="true" outlineLevel="0" collapsed="false">
      <c r="B677" s="295"/>
    </row>
    <row r="678" customFormat="false" ht="12.75" hidden="false" customHeight="true" outlineLevel="0" collapsed="false">
      <c r="B678" s="295"/>
    </row>
    <row r="679" customFormat="false" ht="12.75" hidden="false" customHeight="true" outlineLevel="0" collapsed="false">
      <c r="B679" s="295"/>
    </row>
    <row r="680" customFormat="false" ht="12.75" hidden="false" customHeight="true" outlineLevel="0" collapsed="false">
      <c r="B680" s="295"/>
    </row>
    <row r="681" customFormat="false" ht="12.75" hidden="false" customHeight="true" outlineLevel="0" collapsed="false">
      <c r="B681" s="295"/>
    </row>
    <row r="682" customFormat="false" ht="12.75" hidden="false" customHeight="true" outlineLevel="0" collapsed="false">
      <c r="B682" s="295"/>
    </row>
    <row r="683" customFormat="false" ht="12.75" hidden="false" customHeight="true" outlineLevel="0" collapsed="false">
      <c r="B683" s="295"/>
    </row>
    <row r="684" customFormat="false" ht="12.75" hidden="false" customHeight="true" outlineLevel="0" collapsed="false">
      <c r="B684" s="295"/>
    </row>
    <row r="685" customFormat="false" ht="12.75" hidden="false" customHeight="true" outlineLevel="0" collapsed="false">
      <c r="B685" s="295"/>
    </row>
    <row r="686" customFormat="false" ht="12.75" hidden="false" customHeight="true" outlineLevel="0" collapsed="false">
      <c r="B686" s="295"/>
    </row>
    <row r="687" customFormat="false" ht="12.75" hidden="false" customHeight="true" outlineLevel="0" collapsed="false">
      <c r="B687" s="295"/>
    </row>
    <row r="688" customFormat="false" ht="12.75" hidden="false" customHeight="true" outlineLevel="0" collapsed="false">
      <c r="B688" s="295"/>
    </row>
    <row r="689" customFormat="false" ht="12.75" hidden="false" customHeight="true" outlineLevel="0" collapsed="false">
      <c r="B689" s="295"/>
    </row>
    <row r="690" customFormat="false" ht="12.75" hidden="false" customHeight="true" outlineLevel="0" collapsed="false">
      <c r="B690" s="295"/>
    </row>
    <row r="691" customFormat="false" ht="12.75" hidden="false" customHeight="true" outlineLevel="0" collapsed="false">
      <c r="B691" s="295"/>
    </row>
    <row r="692" customFormat="false" ht="12.75" hidden="false" customHeight="true" outlineLevel="0" collapsed="false">
      <c r="B692" s="295"/>
    </row>
    <row r="693" customFormat="false" ht="12.75" hidden="false" customHeight="true" outlineLevel="0" collapsed="false">
      <c r="B693" s="295"/>
    </row>
    <row r="694" customFormat="false" ht="12.75" hidden="false" customHeight="true" outlineLevel="0" collapsed="false">
      <c r="B694" s="295"/>
    </row>
    <row r="695" customFormat="false" ht="12.75" hidden="false" customHeight="true" outlineLevel="0" collapsed="false">
      <c r="B695" s="295"/>
    </row>
    <row r="696" customFormat="false" ht="12.75" hidden="false" customHeight="true" outlineLevel="0" collapsed="false">
      <c r="B696" s="295"/>
    </row>
    <row r="697" customFormat="false" ht="12.75" hidden="false" customHeight="true" outlineLevel="0" collapsed="false">
      <c r="B697" s="295"/>
    </row>
    <row r="698" customFormat="false" ht="12.75" hidden="false" customHeight="true" outlineLevel="0" collapsed="false">
      <c r="B698" s="295"/>
    </row>
    <row r="699" customFormat="false" ht="12.75" hidden="false" customHeight="true" outlineLevel="0" collapsed="false">
      <c r="B699" s="295"/>
    </row>
    <row r="700" customFormat="false" ht="12.75" hidden="false" customHeight="true" outlineLevel="0" collapsed="false">
      <c r="B700" s="295"/>
    </row>
    <row r="701" customFormat="false" ht="12.75" hidden="false" customHeight="true" outlineLevel="0" collapsed="false">
      <c r="B701" s="295"/>
    </row>
    <row r="702" customFormat="false" ht="12.75" hidden="false" customHeight="true" outlineLevel="0" collapsed="false">
      <c r="B702" s="295"/>
    </row>
    <row r="703" customFormat="false" ht="12.75" hidden="false" customHeight="true" outlineLevel="0" collapsed="false">
      <c r="B703" s="295"/>
    </row>
    <row r="704" customFormat="false" ht="12.75" hidden="false" customHeight="true" outlineLevel="0" collapsed="false">
      <c r="B704" s="295"/>
    </row>
    <row r="705" customFormat="false" ht="12.75" hidden="false" customHeight="true" outlineLevel="0" collapsed="false">
      <c r="B705" s="295"/>
    </row>
    <row r="706" customFormat="false" ht="12.75" hidden="false" customHeight="true" outlineLevel="0" collapsed="false">
      <c r="B706" s="295"/>
    </row>
    <row r="707" customFormat="false" ht="12.75" hidden="false" customHeight="true" outlineLevel="0" collapsed="false">
      <c r="B707" s="295"/>
    </row>
    <row r="708" customFormat="false" ht="12.75" hidden="false" customHeight="true" outlineLevel="0" collapsed="false">
      <c r="B708" s="295"/>
    </row>
    <row r="709" customFormat="false" ht="12.75" hidden="false" customHeight="true" outlineLevel="0" collapsed="false">
      <c r="B709" s="295"/>
    </row>
    <row r="710" customFormat="false" ht="12.75" hidden="false" customHeight="true" outlineLevel="0" collapsed="false">
      <c r="B710" s="295"/>
    </row>
    <row r="711" customFormat="false" ht="12.75" hidden="false" customHeight="true" outlineLevel="0" collapsed="false">
      <c r="B711" s="295"/>
    </row>
    <row r="712" customFormat="false" ht="12.75" hidden="false" customHeight="true" outlineLevel="0" collapsed="false">
      <c r="B712" s="295"/>
    </row>
    <row r="713" customFormat="false" ht="12.75" hidden="false" customHeight="true" outlineLevel="0" collapsed="false">
      <c r="B713" s="295"/>
    </row>
    <row r="714" customFormat="false" ht="12.75" hidden="false" customHeight="true" outlineLevel="0" collapsed="false">
      <c r="B714" s="295"/>
    </row>
    <row r="715" customFormat="false" ht="12.75" hidden="false" customHeight="true" outlineLevel="0" collapsed="false">
      <c r="B715" s="295"/>
    </row>
    <row r="716" customFormat="false" ht="12.75" hidden="false" customHeight="true" outlineLevel="0" collapsed="false">
      <c r="B716" s="295"/>
    </row>
    <row r="717" customFormat="false" ht="12.75" hidden="false" customHeight="true" outlineLevel="0" collapsed="false">
      <c r="B717" s="295"/>
    </row>
    <row r="718" customFormat="false" ht="12.75" hidden="false" customHeight="true" outlineLevel="0" collapsed="false">
      <c r="B718" s="295"/>
    </row>
    <row r="719" customFormat="false" ht="12.75" hidden="false" customHeight="true" outlineLevel="0" collapsed="false">
      <c r="B719" s="295"/>
    </row>
    <row r="720" customFormat="false" ht="12.75" hidden="false" customHeight="true" outlineLevel="0" collapsed="false">
      <c r="B720" s="295"/>
    </row>
    <row r="721" customFormat="false" ht="12.75" hidden="false" customHeight="true" outlineLevel="0" collapsed="false">
      <c r="B721" s="295"/>
    </row>
    <row r="722" customFormat="false" ht="12.75" hidden="false" customHeight="true" outlineLevel="0" collapsed="false">
      <c r="B722" s="295"/>
    </row>
    <row r="723" customFormat="false" ht="12.75" hidden="false" customHeight="true" outlineLevel="0" collapsed="false">
      <c r="B723" s="295"/>
    </row>
    <row r="724" customFormat="false" ht="12.75" hidden="false" customHeight="true" outlineLevel="0" collapsed="false">
      <c r="B724" s="295"/>
    </row>
    <row r="725" customFormat="false" ht="12.75" hidden="false" customHeight="true" outlineLevel="0" collapsed="false">
      <c r="B725" s="295"/>
    </row>
    <row r="726" customFormat="false" ht="12.75" hidden="false" customHeight="true" outlineLevel="0" collapsed="false">
      <c r="B726" s="295"/>
    </row>
    <row r="727" customFormat="false" ht="12.75" hidden="false" customHeight="true" outlineLevel="0" collapsed="false">
      <c r="B727" s="295"/>
    </row>
    <row r="728" customFormat="false" ht="12.75" hidden="false" customHeight="true" outlineLevel="0" collapsed="false">
      <c r="B728" s="295"/>
    </row>
    <row r="729" customFormat="false" ht="12.75" hidden="false" customHeight="true" outlineLevel="0" collapsed="false">
      <c r="B729" s="295"/>
    </row>
    <row r="730" customFormat="false" ht="12.75" hidden="false" customHeight="true" outlineLevel="0" collapsed="false">
      <c r="B730" s="295"/>
    </row>
    <row r="731" customFormat="false" ht="12.75" hidden="false" customHeight="true" outlineLevel="0" collapsed="false">
      <c r="B731" s="295"/>
    </row>
    <row r="732" customFormat="false" ht="12.75" hidden="false" customHeight="true" outlineLevel="0" collapsed="false">
      <c r="B732" s="295"/>
    </row>
    <row r="733" customFormat="false" ht="12.75" hidden="false" customHeight="true" outlineLevel="0" collapsed="false">
      <c r="B733" s="295"/>
    </row>
    <row r="734" customFormat="false" ht="12.75" hidden="false" customHeight="true" outlineLevel="0" collapsed="false">
      <c r="B734" s="295"/>
    </row>
    <row r="735" customFormat="false" ht="12.75" hidden="false" customHeight="true" outlineLevel="0" collapsed="false">
      <c r="B735" s="295"/>
    </row>
    <row r="736" customFormat="false" ht="12.75" hidden="false" customHeight="true" outlineLevel="0" collapsed="false">
      <c r="B736" s="295"/>
    </row>
    <row r="737" customFormat="false" ht="12.75" hidden="false" customHeight="true" outlineLevel="0" collapsed="false">
      <c r="B737" s="295"/>
    </row>
    <row r="738" customFormat="false" ht="12.75" hidden="false" customHeight="true" outlineLevel="0" collapsed="false">
      <c r="B738" s="295"/>
    </row>
    <row r="739" customFormat="false" ht="12.75" hidden="false" customHeight="true" outlineLevel="0" collapsed="false">
      <c r="B739" s="295"/>
    </row>
    <row r="740" customFormat="false" ht="12.75" hidden="false" customHeight="true" outlineLevel="0" collapsed="false">
      <c r="B740" s="295"/>
    </row>
    <row r="741" customFormat="false" ht="12.75" hidden="false" customHeight="true" outlineLevel="0" collapsed="false">
      <c r="B741" s="295"/>
    </row>
    <row r="742" customFormat="false" ht="12.75" hidden="false" customHeight="true" outlineLevel="0" collapsed="false">
      <c r="B742" s="295"/>
    </row>
    <row r="743" customFormat="false" ht="12.75" hidden="false" customHeight="true" outlineLevel="0" collapsed="false">
      <c r="B743" s="295"/>
    </row>
    <row r="744" customFormat="false" ht="12.75" hidden="false" customHeight="true" outlineLevel="0" collapsed="false">
      <c r="B744" s="295"/>
    </row>
    <row r="745" customFormat="false" ht="12.75" hidden="false" customHeight="true" outlineLevel="0" collapsed="false">
      <c r="B745" s="295"/>
    </row>
    <row r="746" customFormat="false" ht="12.75" hidden="false" customHeight="true" outlineLevel="0" collapsed="false">
      <c r="B746" s="295"/>
    </row>
    <row r="747" customFormat="false" ht="12.75" hidden="false" customHeight="true" outlineLevel="0" collapsed="false">
      <c r="B747" s="295"/>
    </row>
    <row r="748" customFormat="false" ht="12.75" hidden="false" customHeight="true" outlineLevel="0" collapsed="false">
      <c r="B748" s="295"/>
    </row>
    <row r="749" customFormat="false" ht="12.75" hidden="false" customHeight="true" outlineLevel="0" collapsed="false">
      <c r="B749" s="295"/>
    </row>
    <row r="750" customFormat="false" ht="12.75" hidden="false" customHeight="true" outlineLevel="0" collapsed="false">
      <c r="B750" s="295"/>
    </row>
    <row r="751" customFormat="false" ht="12.75" hidden="false" customHeight="true" outlineLevel="0" collapsed="false">
      <c r="B751" s="295"/>
    </row>
    <row r="752" customFormat="false" ht="12.75" hidden="false" customHeight="true" outlineLevel="0" collapsed="false">
      <c r="B752" s="295"/>
    </row>
    <row r="753" customFormat="false" ht="12.75" hidden="false" customHeight="true" outlineLevel="0" collapsed="false">
      <c r="B753" s="295"/>
    </row>
    <row r="754" customFormat="false" ht="12.75" hidden="false" customHeight="true" outlineLevel="0" collapsed="false">
      <c r="B754" s="295"/>
    </row>
    <row r="755" customFormat="false" ht="12.75" hidden="false" customHeight="true" outlineLevel="0" collapsed="false">
      <c r="B755" s="295"/>
    </row>
    <row r="756" customFormat="false" ht="12.75" hidden="false" customHeight="true" outlineLevel="0" collapsed="false">
      <c r="B756" s="295"/>
    </row>
    <row r="757" customFormat="false" ht="12.75" hidden="false" customHeight="true" outlineLevel="0" collapsed="false">
      <c r="B757" s="295"/>
    </row>
    <row r="758" customFormat="false" ht="12.75" hidden="false" customHeight="true" outlineLevel="0" collapsed="false">
      <c r="B758" s="295"/>
    </row>
    <row r="759" customFormat="false" ht="12.75" hidden="false" customHeight="true" outlineLevel="0" collapsed="false">
      <c r="B759" s="295"/>
    </row>
    <row r="760" customFormat="false" ht="12.75" hidden="false" customHeight="true" outlineLevel="0" collapsed="false">
      <c r="B760" s="295"/>
    </row>
    <row r="761" customFormat="false" ht="12.75" hidden="false" customHeight="true" outlineLevel="0" collapsed="false">
      <c r="B761" s="295"/>
    </row>
    <row r="762" customFormat="false" ht="12.75" hidden="false" customHeight="true" outlineLevel="0" collapsed="false">
      <c r="B762" s="295"/>
    </row>
    <row r="763" customFormat="false" ht="12.75" hidden="false" customHeight="true" outlineLevel="0" collapsed="false">
      <c r="B763" s="295"/>
    </row>
    <row r="764" customFormat="false" ht="12.75" hidden="false" customHeight="true" outlineLevel="0" collapsed="false">
      <c r="B764" s="295"/>
    </row>
    <row r="765" customFormat="false" ht="12.75" hidden="false" customHeight="true" outlineLevel="0" collapsed="false">
      <c r="B765" s="295"/>
    </row>
    <row r="766" customFormat="false" ht="12.75" hidden="false" customHeight="true" outlineLevel="0" collapsed="false">
      <c r="B766" s="295"/>
    </row>
    <row r="767" customFormat="false" ht="12.75" hidden="false" customHeight="true" outlineLevel="0" collapsed="false">
      <c r="B767" s="295"/>
    </row>
    <row r="768" customFormat="false" ht="12.75" hidden="false" customHeight="true" outlineLevel="0" collapsed="false">
      <c r="B768" s="295"/>
    </row>
    <row r="769" customFormat="false" ht="12.75" hidden="false" customHeight="true" outlineLevel="0" collapsed="false">
      <c r="B769" s="295"/>
    </row>
    <row r="770" customFormat="false" ht="12.75" hidden="false" customHeight="true" outlineLevel="0" collapsed="false">
      <c r="B770" s="295"/>
    </row>
    <row r="771" customFormat="false" ht="12.75" hidden="false" customHeight="true" outlineLevel="0" collapsed="false">
      <c r="B771" s="295"/>
    </row>
    <row r="772" customFormat="false" ht="12.75" hidden="false" customHeight="true" outlineLevel="0" collapsed="false">
      <c r="B772" s="295"/>
    </row>
    <row r="773" customFormat="false" ht="12.75" hidden="false" customHeight="true" outlineLevel="0" collapsed="false">
      <c r="B773" s="295"/>
    </row>
    <row r="774" customFormat="false" ht="12.75" hidden="false" customHeight="true" outlineLevel="0" collapsed="false">
      <c r="B774" s="295"/>
    </row>
    <row r="775" customFormat="false" ht="12.75" hidden="false" customHeight="true" outlineLevel="0" collapsed="false">
      <c r="B775" s="295"/>
    </row>
    <row r="776" customFormat="false" ht="12.75" hidden="false" customHeight="true" outlineLevel="0" collapsed="false">
      <c r="B776" s="295"/>
    </row>
    <row r="777" customFormat="false" ht="12.75" hidden="false" customHeight="true" outlineLevel="0" collapsed="false">
      <c r="B777" s="295"/>
    </row>
    <row r="778" customFormat="false" ht="12.75" hidden="false" customHeight="true" outlineLevel="0" collapsed="false">
      <c r="B778" s="295"/>
    </row>
    <row r="779" customFormat="false" ht="12.75" hidden="false" customHeight="true" outlineLevel="0" collapsed="false">
      <c r="B779" s="295"/>
    </row>
    <row r="780" customFormat="false" ht="12.75" hidden="false" customHeight="true" outlineLevel="0" collapsed="false">
      <c r="B780" s="295"/>
    </row>
    <row r="781" customFormat="false" ht="12.75" hidden="false" customHeight="true" outlineLevel="0" collapsed="false">
      <c r="B781" s="295"/>
    </row>
    <row r="782" customFormat="false" ht="12.75" hidden="false" customHeight="true" outlineLevel="0" collapsed="false">
      <c r="B782" s="295"/>
    </row>
    <row r="783" customFormat="false" ht="12.75" hidden="false" customHeight="true" outlineLevel="0" collapsed="false">
      <c r="B783" s="295"/>
    </row>
    <row r="784" customFormat="false" ht="12.75" hidden="false" customHeight="true" outlineLevel="0" collapsed="false">
      <c r="B784" s="295"/>
    </row>
    <row r="785" customFormat="false" ht="12.75" hidden="false" customHeight="true" outlineLevel="0" collapsed="false">
      <c r="B785" s="295"/>
    </row>
    <row r="786" customFormat="false" ht="12.75" hidden="false" customHeight="true" outlineLevel="0" collapsed="false">
      <c r="B786" s="295"/>
    </row>
    <row r="787" customFormat="false" ht="12.75" hidden="false" customHeight="true" outlineLevel="0" collapsed="false">
      <c r="B787" s="295"/>
    </row>
    <row r="788" customFormat="false" ht="12.75" hidden="false" customHeight="true" outlineLevel="0" collapsed="false">
      <c r="B788" s="295"/>
    </row>
    <row r="789" customFormat="false" ht="12.75" hidden="false" customHeight="true" outlineLevel="0" collapsed="false">
      <c r="B789" s="295"/>
    </row>
    <row r="790" customFormat="false" ht="12.75" hidden="false" customHeight="true" outlineLevel="0" collapsed="false">
      <c r="B790" s="295"/>
    </row>
    <row r="791" customFormat="false" ht="12.75" hidden="false" customHeight="true" outlineLevel="0" collapsed="false">
      <c r="B791" s="295"/>
    </row>
    <row r="792" customFormat="false" ht="12.75" hidden="false" customHeight="true" outlineLevel="0" collapsed="false">
      <c r="B792" s="295"/>
    </row>
    <row r="793" customFormat="false" ht="12.75" hidden="false" customHeight="true" outlineLevel="0" collapsed="false">
      <c r="B793" s="295"/>
    </row>
    <row r="794" customFormat="false" ht="12.75" hidden="false" customHeight="true" outlineLevel="0" collapsed="false">
      <c r="B794" s="295"/>
    </row>
    <row r="795" customFormat="false" ht="12.75" hidden="false" customHeight="true" outlineLevel="0" collapsed="false">
      <c r="B795" s="295"/>
    </row>
    <row r="796" customFormat="false" ht="12.75" hidden="false" customHeight="true" outlineLevel="0" collapsed="false">
      <c r="B796" s="295"/>
    </row>
    <row r="797" customFormat="false" ht="12.75" hidden="false" customHeight="true" outlineLevel="0" collapsed="false">
      <c r="B797" s="295"/>
    </row>
    <row r="798" customFormat="false" ht="12.75" hidden="false" customHeight="true" outlineLevel="0" collapsed="false">
      <c r="B798" s="295"/>
    </row>
    <row r="799" customFormat="false" ht="12.75" hidden="false" customHeight="true" outlineLevel="0" collapsed="false">
      <c r="B799" s="295"/>
    </row>
    <row r="800" customFormat="false" ht="12.75" hidden="false" customHeight="true" outlineLevel="0" collapsed="false">
      <c r="B800" s="295"/>
    </row>
    <row r="801" customFormat="false" ht="12.75" hidden="false" customHeight="true" outlineLevel="0" collapsed="false">
      <c r="B801" s="295"/>
    </row>
  </sheetData>
  <autoFilter ref="B7:P154"/>
  <mergeCells count="8">
    <mergeCell ref="H4:I4"/>
    <mergeCell ref="J4:K4"/>
    <mergeCell ref="L4:M4"/>
    <mergeCell ref="N4:O4"/>
    <mergeCell ref="H5:I5"/>
    <mergeCell ref="J5:K5"/>
    <mergeCell ref="L5:M5"/>
    <mergeCell ref="N5:O5"/>
  </mergeCells>
  <conditionalFormatting sqref="D9:D98">
    <cfRule type="cellIs" priority="2" operator="equal" aboveAverage="0" equalAverage="0" bottom="0" percent="0" rank="0" text="" dxfId="19">
      <formula>"F"</formula>
    </cfRule>
    <cfRule type="expression" priority="3" aboveAverage="0" equalAverage="0" bottom="0" percent="0" rank="0" text="" dxfId="18">
      <formula>#ref!=$E$5</formula>
    </cfRule>
  </conditionalFormatting>
  <conditionalFormatting sqref="D9:D135">
    <cfRule type="expression" priority="4" aboveAverage="0" equalAverage="0" bottom="0" percent="0" rank="0" text="" dxfId="18">
      <formula>$F9=$E$5</formula>
    </cfRule>
  </conditionalFormatting>
  <conditionalFormatting sqref="A9:A98">
    <cfRule type="duplicateValues" priority="5" aboveAverage="0" equalAverage="0" bottom="0" percent="0" rank="0" text="" dxfId="21"/>
  </conditionalFormatting>
  <conditionalFormatting sqref="A141">
    <cfRule type="duplicateValues" priority="6" aboveAverage="0" equalAverage="0" bottom="0" percent="0" rank="0" text="" dxfId="26"/>
    <cfRule type="duplicateValues" priority="7" aboveAverage="0" equalAverage="0" bottom="0" percent="0" rank="0" text="" dxfId="16"/>
  </conditionalFormatting>
  <conditionalFormatting sqref="D99:D153">
    <cfRule type="cellIs" priority="8" operator="equal" aboveAverage="0" equalAverage="0" bottom="0" percent="0" rank="0" text="" dxfId="19">
      <formula>"F"</formula>
    </cfRule>
  </conditionalFormatting>
  <conditionalFormatting sqref="D137:D153">
    <cfRule type="expression" priority="9" aboveAverage="0" equalAverage="0" bottom="0" percent="0" rank="0" text="" dxfId="18">
      <formula>#ref!=$E$5</formula>
    </cfRule>
  </conditionalFormatting>
  <conditionalFormatting sqref="B141">
    <cfRule type="duplicateValues" priority="10" aboveAverage="0" equalAverage="0" bottom="0" percent="0" rank="0" text="" dxfId="16"/>
    <cfRule type="duplicateValues" priority="11" aboveAverage="0" equalAverage="0" bottom="0" percent="0" rank="0" text="" dxfId="17"/>
  </conditionalFormatting>
  <conditionalFormatting sqref="B141:C141">
    <cfRule type="expression" priority="12" aboveAverage="0" equalAverage="0" bottom="0" percent="0" rank="0" text="" dxfId="18">
      <formula>#ref!=$E$5</formula>
    </cfRule>
  </conditionalFormatting>
  <conditionalFormatting sqref="B139:C141 B142:E153 B154:P154 D137:D141 E140:E141 F9:F135 F137:F153 G100 H115:I115 H116:P122 H123:I127 H128:P130 H131:I133 H134:P135 H137:P153 K74:P77 K81:P86 K91:P94 I81:I97 I98:P101 I102 I103:P104 I105 I106:P112 I113 I114:P114 L87:P90 L95:P95 L102:P102 L105:P105 L113:P113 L115:P115 L123:P127 L131:P133 I74:I77 K96:P97">
    <cfRule type="expression" priority="13" aboveAverage="0" equalAverage="0" bottom="0" percent="0" rank="0" text="" dxfId="18">
      <formula>#ref!=$E$5</formula>
    </cfRule>
  </conditionalFormatting>
  <conditionalFormatting sqref="A99:A140 A142">
    <cfRule type="duplicateValues" priority="14" aboveAverage="0" equalAverage="0" bottom="0" percent="0" rank="0" text="" dxfId="16"/>
  </conditionalFormatting>
  <conditionalFormatting sqref="B99:B140 B142">
    <cfRule type="duplicateValues" priority="15" aboveAverage="0" equalAverage="0" bottom="0" percent="0" rank="0" text="" dxfId="16"/>
  </conditionalFormatting>
  <conditionalFormatting sqref="K42:K45">
    <cfRule type="expression" priority="16" aboveAverage="0" equalAverage="0" bottom="0" percent="0" rank="0" text="" dxfId="18">
      <formula>$F42=$E$5</formula>
    </cfRule>
  </conditionalFormatting>
  <conditionalFormatting sqref="K8">
    <cfRule type="expression" priority="17" aboveAverage="0" equalAverage="0" bottom="0" percent="0" rank="0" text="" dxfId="18">
      <formula>$F8=$E$5</formula>
    </cfRule>
  </conditionalFormatting>
  <conditionalFormatting sqref="K73">
    <cfRule type="expression" priority="18" aboveAverage="0" equalAverage="0" bottom="0" percent="0" rank="0" text="" dxfId="18">
      <formula>#ref!=$E$5</formula>
    </cfRule>
  </conditionalFormatting>
  <conditionalFormatting sqref="K69">
    <cfRule type="expression" priority="19" aboveAverage="0" equalAverage="0" bottom="0" percent="0" rank="0" text="" dxfId="18">
      <formula>$F69=$E$5</formula>
    </cfRule>
  </conditionalFormatting>
  <conditionalFormatting sqref="K65">
    <cfRule type="expression" priority="20" aboveAverage="0" equalAverage="0" bottom="0" percent="0" rank="0" text="" dxfId="18">
      <formula>$F65=$E$5</formula>
    </cfRule>
  </conditionalFormatting>
  <conditionalFormatting sqref="K59:K60">
    <cfRule type="expression" priority="21" aboveAverage="0" equalAverage="0" bottom="0" percent="0" rank="0" text="" dxfId="18">
      <formula>$F59=$E$5</formula>
    </cfRule>
  </conditionalFormatting>
  <conditionalFormatting sqref="K56">
    <cfRule type="expression" priority="22" aboveAverage="0" equalAverage="0" bottom="0" percent="0" rank="0" text="" dxfId="18">
      <formula>$F56=$E$5</formula>
    </cfRule>
  </conditionalFormatting>
  <conditionalFormatting sqref="K49">
    <cfRule type="expression" priority="23" aboveAverage="0" equalAverage="0" bottom="0" percent="0" rank="0" text="" dxfId="18">
      <formula>$F49=$E$5</formula>
    </cfRule>
  </conditionalFormatting>
  <conditionalFormatting sqref="K34">
    <cfRule type="expression" priority="24" aboveAverage="0" equalAverage="0" bottom="0" percent="0" rank="0" text="" dxfId="18">
      <formula>$F34=$E$5</formula>
    </cfRule>
  </conditionalFormatting>
  <conditionalFormatting sqref="K13">
    <cfRule type="expression" priority="25" aboveAverage="0" equalAverage="0" bottom="0" percent="0" rank="0" text="" dxfId="18">
      <formula>$F13=$E$5</formula>
    </cfRule>
  </conditionalFormatting>
  <conditionalFormatting sqref="D136">
    <cfRule type="expression" priority="26" aboveAverage="0" equalAverage="0" bottom="0" percent="0" rank="0" text="" dxfId="18">
      <formula>#ref!=$E$5</formula>
    </cfRule>
  </conditionalFormatting>
  <conditionalFormatting sqref="B136:C136">
    <cfRule type="expression" priority="27" aboveAverage="0" equalAverage="0" bottom="0" percent="0" rank="0" text="" dxfId="18">
      <formula>#ref!=$E$5</formula>
    </cfRule>
  </conditionalFormatting>
  <conditionalFormatting sqref="B136:D136 F136 H136:P136 K78:P79 K87:K90 K95 J102:K102 J105:K105 J113:K113 J115:K115 J123:K127 J131:K133 I78:I79">
    <cfRule type="expression" priority="28" aboveAverage="0" equalAverage="0" bottom="0" percent="0" rank="0" text="" dxfId="18">
      <formula>#ref!=$E$5</formula>
    </cfRule>
  </conditionalFormatting>
  <conditionalFormatting sqref="K23:P23">
    <cfRule type="expression" priority="29" aboveAverage="0" equalAverage="0" bottom="0" percent="0" rank="0" text="" dxfId="18">
      <formula>$F23=$E$5</formula>
    </cfRule>
  </conditionalFormatting>
  <conditionalFormatting sqref="D99:D135">
    <cfRule type="expression" priority="30" aboveAverage="0" equalAverage="0" bottom="0" percent="0" rank="0" text="" dxfId="18">
      <formula>#ref!=$E$5</formula>
    </cfRule>
  </conditionalFormatting>
  <conditionalFormatting sqref="B154:D154">
    <cfRule type="expression" priority="31" aboveAverage="0" equalAverage="0" bottom="0" percent="0" rank="0" text="" dxfId="18">
      <formula>#ref!=$E$5</formula>
    </cfRule>
  </conditionalFormatting>
  <conditionalFormatting sqref="B148:C148">
    <cfRule type="expression" priority="32" aboveAverage="0" equalAverage="0" bottom="0" percent="0" rank="0" text="" dxfId="18">
      <formula>#ref!=$E$5</formula>
    </cfRule>
  </conditionalFormatting>
  <conditionalFormatting sqref="B139:C140 B142:C145 D154">
    <cfRule type="expression" priority="33" aboveAverage="0" equalAverage="0" bottom="0" percent="0" rank="0" text="" dxfId="18">
      <formula>#ref!=$E$5</formula>
    </cfRule>
  </conditionalFormatting>
  <conditionalFormatting sqref="K61:P64 K66:P68 K70:P72 I60:I73 K9:P12 K14:P22 K24:P33 K35:P41 K46:P48 K50:P55 K57:P58 L8:P8 L13:P13 L34:P34 L42:P45 L49:P49 L56:P56 L59:P60 L65:P65 L69:P69 L73:P73">
    <cfRule type="expression" priority="34" aboveAverage="0" equalAverage="0" bottom="0" percent="0" rank="0" text="" dxfId="18">
      <formula>#ref!=$E$5</formula>
    </cfRule>
  </conditionalFormatting>
  <conditionalFormatting sqref="B99:B135 B137:B140 B142:B143">
    <cfRule type="duplicateValues" priority="35" aboveAverage="0" equalAverage="0" bottom="0" percent="0" rank="0" text="" dxfId="17"/>
  </conditionalFormatting>
  <conditionalFormatting sqref="B99:B135">
    <cfRule type="duplicateValues" priority="36" aboveAverage="0" equalAverage="0" bottom="0" percent="0" rank="0" text="" dxfId="21"/>
  </conditionalFormatting>
  <conditionalFormatting sqref="K80:P80 I80">
    <cfRule type="expression" priority="37" aboveAverage="0" equalAverage="0" bottom="0" percent="0" rank="0" text="" dxfId="18">
      <formula>#ref!=$E$5</formula>
    </cfRule>
  </conditionalFormatting>
  <conditionalFormatting sqref="I36:I39 I43:I59">
    <cfRule type="expression" priority="38" aboveAverage="0" equalAverage="0" bottom="0" percent="0" rank="0" text="" dxfId="27">
      <formula>#ref!=$E$5</formula>
    </cfRule>
  </conditionalFormatting>
  <conditionalFormatting sqref="I40:I41">
    <cfRule type="expression" priority="39" aboveAverage="0" equalAverage="0" bottom="0" percent="0" rank="0" text="" dxfId="27">
      <formula>#ref!=$E$5</formula>
    </cfRule>
  </conditionalFormatting>
  <conditionalFormatting sqref="I8:I35">
    <cfRule type="expression" priority="40" aboveAverage="0" equalAverage="0" bottom="0" percent="0" rank="0" text="" dxfId="27">
      <formula>$F8=$E$5</formula>
    </cfRule>
  </conditionalFormatting>
  <conditionalFormatting sqref="I42">
    <cfRule type="expression" priority="41" aboveAverage="0" equalAverage="0" bottom="0" percent="0" rank="0" text="" dxfId="27">
      <formula>#ref!=$E$5</formula>
    </cfRule>
  </conditionalFormatting>
  <conditionalFormatting sqref="D73:D97">
    <cfRule type="cellIs" priority="42" operator="equal" aboveAverage="0" equalAverage="0" bottom="0" percent="0" rank="0" text="" dxfId="28">
      <formula>"F"</formula>
    </cfRule>
  </conditionalFormatting>
  <conditionalFormatting sqref="D92:D97">
    <cfRule type="expression" priority="43" aboveAverage="0" equalAverage="0" bottom="0" percent="0" rank="0" text="" dxfId="27">
      <formula>#ref!=$E$5</formula>
    </cfRule>
  </conditionalFormatting>
  <conditionalFormatting sqref="D80:D97">
    <cfRule type="expression" priority="44" aboveAverage="0" equalAverage="0" bottom="0" percent="0" rank="0" text="" dxfId="27">
      <formula>$F80=$E$5</formula>
    </cfRule>
  </conditionalFormatting>
  <conditionalFormatting sqref="D80:D91">
    <cfRule type="expression" priority="45" aboveAverage="0" equalAverage="0" bottom="0" percent="0" rank="0" text="" dxfId="27">
      <formula>#ref!=$E$5</formula>
    </cfRule>
  </conditionalFormatting>
  <conditionalFormatting sqref="A80:A97">
    <cfRule type="duplicateValues" priority="46" aboveAverage="0" equalAverage="0" bottom="0" percent="0" rank="0" text="" dxfId="29"/>
  </conditionalFormatting>
  <conditionalFormatting sqref="D78:D79">
    <cfRule type="expression" priority="47" aboveAverage="0" equalAverage="0" bottom="0" percent="0" rank="0" text="" dxfId="27">
      <formula>#ref!=$E$5</formula>
    </cfRule>
  </conditionalFormatting>
  <conditionalFormatting sqref="D77">
    <cfRule type="expression" priority="48" aboveAverage="0" equalAverage="0" bottom="0" percent="0" rank="0" text="" dxfId="27">
      <formula>#ref!=$E$5</formula>
    </cfRule>
  </conditionalFormatting>
  <conditionalFormatting sqref="A76:A79">
    <cfRule type="duplicateValues" priority="49" aboveAverage="0" equalAverage="0" bottom="0" percent="0" rank="0" text="" dxfId="29"/>
  </conditionalFormatting>
  <conditionalFormatting sqref="D74:D76">
    <cfRule type="expression" priority="50" aboveAverage="0" equalAverage="0" bottom="0" percent="0" rank="0" text="" dxfId="27">
      <formula>#ref!=$E$5</formula>
    </cfRule>
  </conditionalFormatting>
  <conditionalFormatting sqref="D73">
    <cfRule type="expression" priority="51" aboveAverage="0" equalAverage="0" bottom="0" percent="0" rank="0" text="" dxfId="27">
      <formula>#ref!=$E$5</formula>
    </cfRule>
  </conditionalFormatting>
  <conditionalFormatting sqref="G73">
    <cfRule type="cellIs" priority="52" operator="equal" aboveAverage="0" equalAverage="0" bottom="0" percent="0" rank="0" text="" dxfId="25">
      <formula>"NL"</formula>
    </cfRule>
    <cfRule type="cellIs" priority="53" operator="equal" aboveAverage="0" equalAverage="0" bottom="0" percent="0" rank="0" text="" dxfId="24">
      <formula>"LL"</formula>
    </cfRule>
  </conditionalFormatting>
  <conditionalFormatting sqref="D8:D52">
    <cfRule type="cellIs" priority="54" operator="equal" aboveAverage="0" equalAverage="0" bottom="0" percent="0" rank="0" text="" dxfId="28">
      <formula>"F"</formula>
    </cfRule>
  </conditionalFormatting>
  <conditionalFormatting sqref="D8:D48">
    <cfRule type="expression" priority="55" aboveAverage="0" equalAverage="0" bottom="0" percent="0" rank="0" text="" dxfId="27">
      <formula>#ref!=$E$5</formula>
    </cfRule>
    <cfRule type="expression" priority="56" aboveAverage="0" equalAverage="0" bottom="0" percent="0" rank="0" text="" dxfId="27">
      <formula>$F8=$E$5</formula>
    </cfRule>
  </conditionalFormatting>
  <conditionalFormatting sqref="D55:D71">
    <cfRule type="cellIs" priority="57" operator="equal" aboveAverage="0" equalAverage="0" bottom="0" percent="0" rank="0" text="" dxfId="28">
      <formula>"F"</formula>
    </cfRule>
  </conditionalFormatting>
  <conditionalFormatting sqref="D68:D71">
    <cfRule type="expression" priority="58" aboveAverage="0" equalAverage="0" bottom="0" percent="0" rank="0" text="" dxfId="27">
      <formula>#ref!=$E$5</formula>
    </cfRule>
  </conditionalFormatting>
  <conditionalFormatting sqref="D49:D52">
    <cfRule type="expression" priority="59" aboveAverage="0" equalAverage="0" bottom="0" percent="0" rank="0" text="" dxfId="27">
      <formula>#ref!=$E$5</formula>
    </cfRule>
  </conditionalFormatting>
  <conditionalFormatting sqref="D55">
    <cfRule type="expression" priority="60" aboveAverage="0" equalAverage="0" bottom="0" percent="0" rank="0" text="" dxfId="27">
      <formula>#ref!=$E$5</formula>
    </cfRule>
  </conditionalFormatting>
  <conditionalFormatting sqref="D56:D67">
    <cfRule type="expression" priority="61" aboveAverage="0" equalAverage="0" bottom="0" percent="0" rank="0" text="" dxfId="27">
      <formula>#ref!=$E$5</formula>
    </cfRule>
  </conditionalFormatting>
  <conditionalFormatting sqref="D49:D79">
    <cfRule type="expression" priority="62" aboveAverage="0" equalAverage="0" bottom="0" percent="0" rank="0" text="" dxfId="27">
      <formula>$F49=$E$5</formula>
    </cfRule>
  </conditionalFormatting>
  <conditionalFormatting sqref="E33:E34">
    <cfRule type="cellIs" priority="63" operator="equal" aboveAverage="0" equalAverage="0" bottom="0" percent="0" rank="0" text="" dxfId="22">
      <formula>0</formula>
    </cfRule>
    <cfRule type="cellIs" priority="64" operator="equal" aboveAverage="0" equalAverage="0" bottom="0" percent="0" rank="0" text="" dxfId="22">
      <formula>""" """</formula>
    </cfRule>
    <cfRule type="containsText" priority="65" operator="containsText" aboveAverage="0" equalAverage="0" bottom="0" percent="0" rank="0" text=" " dxfId="23">
      <formula>NOT(ISERROR(SEARCH(" ",E33)))</formula>
    </cfRule>
    <cfRule type="cellIs" priority="66" operator="equal" aboveAverage="0" equalAverage="0" bottom="0" percent="0" rank="0" text="" dxfId="22">
      <formula>""" """</formula>
    </cfRule>
  </conditionalFormatting>
  <conditionalFormatting sqref="D53:D54 D72">
    <cfRule type="cellIs" priority="67" operator="equal" aboveAverage="0" equalAverage="0" bottom="0" percent="0" rank="0" text="" dxfId="28">
      <formula>"F"</formula>
    </cfRule>
    <cfRule type="expression" priority="68" aboveAverage="0" equalAverage="0" bottom="0" percent="0" rank="0" text="" dxfId="27">
      <formula>#ref!=$E$5</formula>
    </cfRule>
  </conditionalFormatting>
  <conditionalFormatting sqref="G8">
    <cfRule type="cellIs" priority="69" operator="equal" aboveAverage="0" equalAverage="0" bottom="0" percent="0" rank="0" text="" dxfId="24">
      <formula>"LV"</formula>
    </cfRule>
  </conditionalFormatting>
  <conditionalFormatting sqref="G8:G48">
    <cfRule type="cellIs" priority="70" operator="equal" aboveAverage="0" equalAverage="0" bottom="0" percent="0" rank="0" text="" dxfId="25">
      <formula>"NL"</formula>
    </cfRule>
  </conditionalFormatting>
  <conditionalFormatting sqref="G9:G48">
    <cfRule type="cellIs" priority="71" operator="equal" aboveAverage="0" equalAverage="0" bottom="0" percent="0" rank="0" text="" dxfId="24">
      <formula>"LL"</formula>
    </cfRule>
  </conditionalFormatting>
  <conditionalFormatting sqref="F8:F97 G74:H75 H76:H89 J74:J89">
    <cfRule type="expression" priority="72" aboveAverage="0" equalAverage="0" bottom="0" percent="0" rank="0" text="" dxfId="27">
      <formula>#ref!=$E$5</formula>
    </cfRule>
  </conditionalFormatting>
  <conditionalFormatting sqref="A74:A75">
    <cfRule type="duplicateValues" priority="73" aboveAverage="0" equalAverage="0" bottom="0" percent="0" rank="0" text="" dxfId="30"/>
  </conditionalFormatting>
  <conditionalFormatting sqref="B74:B75">
    <cfRule type="duplicateValues" priority="74" aboveAverage="0" equalAverage="0" bottom="0" percent="0" rank="0" text="" dxfId="30"/>
    <cfRule type="duplicateValues" priority="75" aboveAverage="0" equalAverage="0" bottom="0" percent="0" rank="0" text="" dxfId="31"/>
    <cfRule type="duplicateValues" priority="76" aboveAverage="0" equalAverage="0" bottom="0" percent="0" rank="0" text="" dxfId="29"/>
  </conditionalFormatting>
  <conditionalFormatting sqref="H23 J23">
    <cfRule type="expression" priority="77" aboveAverage="0" equalAverage="0" bottom="0" percent="0" rank="0" text="" dxfId="27">
      <formula>$F23=$E$5</formula>
    </cfRule>
  </conditionalFormatting>
  <conditionalFormatting sqref="H8:H22 H24:H53 H55:H73 J8:J22 J24:J53 J55:J73">
    <cfRule type="expression" priority="78" aboveAverage="0" equalAverage="0" bottom="0" percent="0" rank="0" text="" dxfId="27">
      <formula>$F8=$E$5</formula>
    </cfRule>
  </conditionalFormatting>
  <dataValidations count="8">
    <dataValidation allowBlank="false" errorStyle="stop" operator="between" showDropDown="false" showErrorMessage="true" showInputMessage="true" sqref="E5 F8:F46 F55:F72 F74:F108 F110:F129 F131:F135 F137:F142" type="list">
      <formula1>#ref!</formula1>
      <formula2>0</formula2>
    </dataValidation>
    <dataValidation allowBlank="true" errorStyle="stop" operator="between" showDropDown="false" showErrorMessage="true" showInputMessage="true" sqref="D8:D97" type="list">
      <formula1>"F,M"</formula1>
      <formula2>0</formula2>
    </dataValidation>
    <dataValidation allowBlank="true" errorStyle="stop" operator="between" showDropDown="false" showErrorMessage="true" showInputMessage="true" sqref="D98:D117 D119:D135 D137:D154" type="list">
      <formula1>"F,M"</formula1>
      <formula2>0</formula2>
    </dataValidation>
    <dataValidation allowBlank="true" errorStyle="stop" operator="between" showDropDown="false" showErrorMessage="true" showInputMessage="false" sqref="F154" type="list">
      <formula1>"API,ASM,ASV,BUC,CAO,CC2,COS,COU,JOUY,USBY,USP,VAU"</formula1>
      <formula2>0</formula2>
    </dataValidation>
    <dataValidation allowBlank="true" errorStyle="stop" operator="between" showDropDown="false" showErrorMessage="true" showInputMessage="false" sqref="D136" type="list">
      <formula1>"F,M"</formula1>
      <formula2>0</formula2>
    </dataValidation>
    <dataValidation allowBlank="true" errorStyle="stop" operator="between" showDropDown="false" showErrorMessage="true" showInputMessage="false" sqref="F130 F143:F153" type="list">
      <formula1>#ref!</formula1>
      <formula2>0</formula2>
    </dataValidation>
    <dataValidation allowBlank="true" errorStyle="stop" operator="between" showDropDown="false" showErrorMessage="true" showInputMessage="true" sqref="F109" type="list">
      <formula1>#ref!</formula1>
      <formula2>0</formula2>
    </dataValidation>
    <dataValidation allowBlank="true" errorStyle="stop" operator="between" showDropDown="false" showErrorMessage="true" showInputMessage="false" sqref="F47:F54" type="list">
      <formula1>#ref!</formula1>
      <formula2>0</formula2>
    </dataValidation>
  </dataValidations>
  <printOptions headings="false" gridLines="false" gridLinesSet="true" horizontalCentered="false" verticalCentered="false"/>
  <pageMargins left="0.39375" right="0.39375" top="0.39375" bottom="0.275694444444444" header="0.275694444444444" footer="0.433333333333333"/>
  <pageSetup paperSize="9" scale="100" fitToWidth="1" fitToHeight="3" pageOrder="downThenOver" orientation="portrait" blackAndWhite="false" draft="false" cellComments="none" horizontalDpi="300" verticalDpi="300" copies="1"/>
  <headerFooter differentFirst="false" differentOddEven="false">
    <oddHeader>&amp;CPage &amp;P</oddHeader>
    <oddFooter>&amp;Cle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2" activeCellId="0" sqref="Q12"/>
    </sheetView>
  </sheetViews>
  <sheetFormatPr defaultColWidth="10.66015625" defaultRowHeight="12.75" customHeight="true" zeroHeight="false" outlineLevelRow="0" outlineLevelCol="0"/>
  <cols>
    <col collapsed="false" customWidth="true" hidden="false" outlineLevel="0" max="1" min="1" style="396" width="8.67"/>
    <col collapsed="false" customWidth="true" hidden="false" outlineLevel="0" max="2" min="2" style="396" width="25.51"/>
    <col collapsed="false" customWidth="true" hidden="false" outlineLevel="0" max="3" min="3" style="396" width="19.33"/>
    <col collapsed="false" customWidth="true" hidden="false" outlineLevel="0" max="4" min="4" style="396" width="8"/>
    <col collapsed="false" customWidth="true" hidden="false" outlineLevel="0" max="5" min="5" style="306" width="12.67"/>
    <col collapsed="false" customWidth="true" hidden="false" outlineLevel="0" max="6" min="6" style="306" width="11.5"/>
    <col collapsed="false" customWidth="true" hidden="false" outlineLevel="0" max="7" min="7" style="397" width="6.16"/>
    <col collapsed="false" customWidth="true" hidden="false" outlineLevel="0" max="8" min="8" style="396" width="4.33"/>
    <col collapsed="false" customWidth="true" hidden="false" outlineLevel="0" max="9" min="9" style="396" width="7.16"/>
    <col collapsed="false" customWidth="true" hidden="false" outlineLevel="0" max="10" min="10" style="396" width="3.5"/>
    <col collapsed="false" customWidth="true" hidden="false" outlineLevel="0" max="11" min="11" style="396" width="7.16"/>
    <col collapsed="false" customWidth="true" hidden="false" outlineLevel="0" max="12" min="12" style="396" width="3.5"/>
    <col collapsed="false" customWidth="true" hidden="false" outlineLevel="0" max="13" min="13" style="396" width="11.5"/>
    <col collapsed="false" customWidth="true" hidden="false" outlineLevel="0" max="14" min="14" style="396" width="3.5"/>
    <col collapsed="false" customWidth="true" hidden="false" outlineLevel="0" max="15" min="15" style="396" width="9.83"/>
    <col collapsed="false" customWidth="true" hidden="false" outlineLevel="0" max="16" min="16" style="396" width="9.33"/>
    <col collapsed="false" customWidth="true" hidden="false" outlineLevel="0" max="17" min="17" style="396" width="16.16"/>
    <col collapsed="false" customWidth="false" hidden="false" outlineLevel="0" max="16384" min="18" style="396" width="10.66"/>
  </cols>
  <sheetData>
    <row r="1" customFormat="false" ht="17.25" hidden="false" customHeight="true" outlineLevel="0" collapsed="false">
      <c r="B1" s="398" t="str">
        <f aca="false">Poussins!B1</f>
        <v>TOURNOI DE LA VALLEE DE CHEVREUSE 2025-2026</v>
      </c>
      <c r="C1" s="399"/>
      <c r="D1" s="399"/>
      <c r="E1" s="310"/>
      <c r="F1" s="310"/>
      <c r="G1" s="400"/>
      <c r="U1" s="311"/>
    </row>
    <row r="2" customFormat="false" ht="12.75" hidden="false" customHeight="true" outlineLevel="0" collapsed="false">
      <c r="U2" s="311"/>
      <c r="V2" s="311"/>
    </row>
    <row r="3" customFormat="false" ht="17.25" hidden="false" customHeight="true" outlineLevel="0" collapsed="false">
      <c r="B3" s="401" t="s">
        <v>1350</v>
      </c>
      <c r="C3" s="402"/>
      <c r="D3" s="402"/>
      <c r="E3" s="403"/>
      <c r="H3" s="404"/>
      <c r="I3" s="404"/>
      <c r="J3" s="404"/>
      <c r="K3" s="404"/>
      <c r="L3" s="404"/>
      <c r="M3" s="404"/>
      <c r="N3" s="404"/>
      <c r="O3" s="404"/>
      <c r="U3" s="311"/>
      <c r="V3" s="311"/>
    </row>
    <row r="4" customFormat="false" ht="12.75" hidden="false" customHeight="true" outlineLevel="0" collapsed="false">
      <c r="C4" s="306" t="s">
        <v>1330</v>
      </c>
      <c r="D4" s="306"/>
      <c r="H4" s="405" t="s">
        <v>1331</v>
      </c>
      <c r="I4" s="405"/>
      <c r="J4" s="405" t="s">
        <v>1332</v>
      </c>
      <c r="K4" s="405"/>
      <c r="L4" s="405" t="s">
        <v>1333</v>
      </c>
      <c r="M4" s="405"/>
      <c r="N4" s="405" t="s">
        <v>1334</v>
      </c>
      <c r="O4" s="405"/>
      <c r="U4" s="311"/>
      <c r="V4" s="311"/>
    </row>
    <row r="5" customFormat="false" ht="12.75" hidden="false" customHeight="true" outlineLevel="0" collapsed="false">
      <c r="C5" s="406" t="s">
        <v>1335</v>
      </c>
      <c r="D5" s="406"/>
      <c r="E5" s="407" t="s">
        <v>1336</v>
      </c>
      <c r="H5" s="408" t="n">
        <f aca="false">Poussins!H5</f>
        <v>45991</v>
      </c>
      <c r="I5" s="408"/>
      <c r="J5" s="408" t="n">
        <f aca="false">Poussins!J5</f>
        <v>46040</v>
      </c>
      <c r="K5" s="408"/>
      <c r="L5" s="408" t="n">
        <f aca="false">Poussins!L5</f>
        <v>46103</v>
      </c>
      <c r="M5" s="408"/>
      <c r="N5" s="408" t="n">
        <f aca="false">Poussins!N5</f>
        <v>46180</v>
      </c>
      <c r="O5" s="408"/>
      <c r="U5" s="311"/>
      <c r="V5" s="311"/>
    </row>
    <row r="6" customFormat="false" ht="12.75" hidden="false" customHeight="true" outlineLevel="0" collapsed="false">
      <c r="F6" s="322"/>
      <c r="G6" s="409"/>
      <c r="H6" s="410"/>
      <c r="I6" s="411"/>
      <c r="J6" s="410"/>
      <c r="K6" s="411"/>
      <c r="L6" s="410"/>
      <c r="M6" s="411"/>
      <c r="N6" s="410"/>
      <c r="O6" s="411"/>
      <c r="U6" s="311"/>
      <c r="V6" s="311"/>
    </row>
    <row r="7" customFormat="false" ht="12.75" hidden="false" customHeight="true" outlineLevel="0" collapsed="false">
      <c r="A7" s="412" t="s">
        <v>0</v>
      </c>
      <c r="B7" s="413" t="s">
        <v>1</v>
      </c>
      <c r="C7" s="413" t="s">
        <v>2</v>
      </c>
      <c r="D7" s="413" t="s">
        <v>3</v>
      </c>
      <c r="E7" s="414" t="s">
        <v>4</v>
      </c>
      <c r="F7" s="414" t="s">
        <v>5</v>
      </c>
      <c r="G7" s="415" t="s">
        <v>995</v>
      </c>
      <c r="H7" s="416" t="s">
        <v>1337</v>
      </c>
      <c r="I7" s="417" t="s">
        <v>1338</v>
      </c>
      <c r="J7" s="418" t="s">
        <v>1339</v>
      </c>
      <c r="K7" s="417" t="s">
        <v>1340</v>
      </c>
      <c r="L7" s="419" t="s">
        <v>1341</v>
      </c>
      <c r="M7" s="417" t="s">
        <v>1342</v>
      </c>
      <c r="N7" s="419" t="s">
        <v>1343</v>
      </c>
      <c r="O7" s="417" t="s">
        <v>1344</v>
      </c>
      <c r="P7" s="420" t="s">
        <v>1345</v>
      </c>
      <c r="U7" s="311"/>
      <c r="V7" s="311"/>
    </row>
    <row r="8" customFormat="false" ht="12.75" hidden="false" customHeight="true" outlineLevel="0" collapsed="false">
      <c r="A8" s="396" t="n">
        <v>2141</v>
      </c>
      <c r="B8" s="421" t="s">
        <v>60</v>
      </c>
      <c r="C8" s="421" t="s">
        <v>61</v>
      </c>
      <c r="D8" s="422" t="s">
        <v>8</v>
      </c>
      <c r="E8" s="45" t="n">
        <v>42076</v>
      </c>
      <c r="F8" s="423" t="s">
        <v>34</v>
      </c>
      <c r="G8" s="424" t="n">
        <v>500</v>
      </c>
      <c r="H8" s="425"/>
      <c r="I8" s="426"/>
      <c r="J8" s="425"/>
      <c r="K8" s="427"/>
      <c r="L8" s="428"/>
      <c r="M8" s="426"/>
      <c r="N8" s="428"/>
      <c r="O8" s="426"/>
      <c r="P8" s="429" t="n">
        <f aca="false">SUM(I8:O8)</f>
        <v>0</v>
      </c>
    </row>
    <row r="9" customFormat="false" ht="12.75" hidden="false" customHeight="true" outlineLevel="0" collapsed="false">
      <c r="A9" s="396" t="n">
        <v>2142</v>
      </c>
      <c r="B9" s="421" t="s">
        <v>77</v>
      </c>
      <c r="C9" s="396" t="s">
        <v>79</v>
      </c>
      <c r="D9" s="422" t="s">
        <v>8</v>
      </c>
      <c r="E9" s="45" t="n">
        <v>42508</v>
      </c>
      <c r="F9" s="423" t="s">
        <v>34</v>
      </c>
      <c r="G9" s="424" t="n">
        <v>500</v>
      </c>
      <c r="H9" s="430" t="s">
        <v>1351</v>
      </c>
      <c r="I9" s="426" t="n">
        <v>9</v>
      </c>
      <c r="J9" s="430" t="s">
        <v>1351</v>
      </c>
      <c r="K9" s="427"/>
      <c r="L9" s="428"/>
      <c r="M9" s="426"/>
      <c r="N9" s="428"/>
      <c r="O9" s="426"/>
      <c r="P9" s="429" t="n">
        <f aca="false">SUM(I9:O9)</f>
        <v>9</v>
      </c>
    </row>
    <row r="10" customFormat="false" ht="12.75" hidden="false" customHeight="true" outlineLevel="0" collapsed="false">
      <c r="A10" s="396" t="n">
        <v>2143</v>
      </c>
      <c r="B10" s="421" t="s">
        <v>137</v>
      </c>
      <c r="C10" s="421" t="s">
        <v>138</v>
      </c>
      <c r="D10" s="422" t="s">
        <v>8</v>
      </c>
      <c r="E10" s="45" t="n">
        <v>42407</v>
      </c>
      <c r="F10" s="423" t="s">
        <v>34</v>
      </c>
      <c r="G10" s="424" t="n">
        <v>500</v>
      </c>
      <c r="H10" s="430" t="s">
        <v>1351</v>
      </c>
      <c r="I10" s="426" t="n">
        <v>8</v>
      </c>
      <c r="J10" s="430" t="s">
        <v>1351</v>
      </c>
      <c r="K10" s="427"/>
      <c r="L10" s="428"/>
      <c r="M10" s="426"/>
      <c r="N10" s="428"/>
      <c r="O10" s="426"/>
      <c r="P10" s="429" t="n">
        <f aca="false">SUM(I10:O10)</f>
        <v>8</v>
      </c>
    </row>
    <row r="11" customFormat="false" ht="12.75" hidden="false" customHeight="true" outlineLevel="0" collapsed="false">
      <c r="A11" s="396" t="n">
        <v>2144</v>
      </c>
      <c r="B11" s="431" t="s">
        <v>164</v>
      </c>
      <c r="C11" s="431" t="s">
        <v>165</v>
      </c>
      <c r="D11" s="432" t="s">
        <v>8</v>
      </c>
      <c r="E11" s="66" t="n">
        <v>42326</v>
      </c>
      <c r="F11" s="433" t="s">
        <v>34</v>
      </c>
      <c r="G11" s="424" t="n">
        <v>500</v>
      </c>
      <c r="H11" s="430"/>
      <c r="I11" s="426"/>
      <c r="J11" s="430"/>
      <c r="K11" s="427"/>
      <c r="L11" s="428"/>
      <c r="M11" s="426"/>
      <c r="N11" s="428"/>
      <c r="O11" s="426"/>
      <c r="P11" s="429" t="n">
        <f aca="false">SUM(I11:O11)</f>
        <v>0</v>
      </c>
    </row>
    <row r="12" customFormat="false" ht="12.75" hidden="false" customHeight="true" outlineLevel="0" collapsed="false">
      <c r="A12" s="434" t="n">
        <v>2145</v>
      </c>
      <c r="B12" s="421" t="s">
        <v>256</v>
      </c>
      <c r="C12" s="421" t="s">
        <v>257</v>
      </c>
      <c r="D12" s="422" t="s">
        <v>26</v>
      </c>
      <c r="E12" s="45" t="n">
        <v>42096</v>
      </c>
      <c r="F12" s="423" t="s">
        <v>34</v>
      </c>
      <c r="G12" s="424" t="n">
        <v>500</v>
      </c>
      <c r="H12" s="430"/>
      <c r="I12" s="426"/>
      <c r="J12" s="430"/>
      <c r="K12" s="427"/>
      <c r="L12" s="428"/>
      <c r="M12" s="426"/>
      <c r="N12" s="428"/>
      <c r="O12" s="426"/>
      <c r="P12" s="429" t="n">
        <f aca="false">SUM(I12:O12)</f>
        <v>0</v>
      </c>
    </row>
    <row r="13" customFormat="false" ht="12.75" hidden="false" customHeight="true" outlineLevel="0" collapsed="false">
      <c r="A13" s="434" t="n">
        <v>2146</v>
      </c>
      <c r="B13" s="421" t="s">
        <v>272</v>
      </c>
      <c r="C13" s="421" t="s">
        <v>273</v>
      </c>
      <c r="D13" s="422" t="s">
        <v>8</v>
      </c>
      <c r="E13" s="45" t="n">
        <v>42265</v>
      </c>
      <c r="F13" s="423" t="s">
        <v>34</v>
      </c>
      <c r="G13" s="424" t="n">
        <v>500</v>
      </c>
      <c r="H13" s="430"/>
      <c r="I13" s="426"/>
      <c r="J13" s="430"/>
      <c r="K13" s="427"/>
      <c r="L13" s="428"/>
      <c r="M13" s="426"/>
      <c r="N13" s="428"/>
      <c r="O13" s="426"/>
      <c r="P13" s="429" t="n">
        <f aca="false">SUM(I13:O13)</f>
        <v>0</v>
      </c>
    </row>
    <row r="14" customFormat="false" ht="12.75" hidden="false" customHeight="true" outlineLevel="0" collapsed="false">
      <c r="A14" s="434" t="n">
        <v>2147</v>
      </c>
      <c r="B14" s="421" t="s">
        <v>289</v>
      </c>
      <c r="C14" s="421" t="s">
        <v>290</v>
      </c>
      <c r="D14" s="422" t="s">
        <v>8</v>
      </c>
      <c r="E14" s="45" t="n">
        <v>42014</v>
      </c>
      <c r="F14" s="423" t="s">
        <v>34</v>
      </c>
      <c r="G14" s="424" t="n">
        <v>500</v>
      </c>
      <c r="H14" s="430" t="s">
        <v>1351</v>
      </c>
      <c r="I14" s="426" t="n">
        <v>10</v>
      </c>
      <c r="J14" s="430" t="s">
        <v>1351</v>
      </c>
      <c r="K14" s="427"/>
      <c r="L14" s="428"/>
      <c r="M14" s="426"/>
      <c r="N14" s="428"/>
      <c r="O14" s="426"/>
      <c r="P14" s="429" t="n">
        <f aca="false">SUM(I14:O14)</f>
        <v>10</v>
      </c>
    </row>
    <row r="15" customFormat="false" ht="12.75" hidden="false" customHeight="true" outlineLevel="0" collapsed="false">
      <c r="A15" s="434" t="n">
        <v>2148</v>
      </c>
      <c r="B15" s="421" t="s">
        <v>352</v>
      </c>
      <c r="C15" s="421" t="s">
        <v>353</v>
      </c>
      <c r="D15" s="422" t="s">
        <v>8</v>
      </c>
      <c r="E15" s="45" t="n">
        <v>42637</v>
      </c>
      <c r="F15" s="423" t="s">
        <v>34</v>
      </c>
      <c r="G15" s="424" t="n">
        <v>500</v>
      </c>
      <c r="H15" s="430" t="s">
        <v>1351</v>
      </c>
      <c r="I15" s="426" t="n">
        <v>8</v>
      </c>
      <c r="J15" s="430" t="s">
        <v>1351</v>
      </c>
      <c r="K15" s="427"/>
      <c r="L15" s="428"/>
      <c r="M15" s="426"/>
      <c r="N15" s="428"/>
      <c r="O15" s="426"/>
      <c r="P15" s="429" t="n">
        <f aca="false">SUM(I15:O15)</f>
        <v>8</v>
      </c>
    </row>
    <row r="16" customFormat="false" ht="12.75" hidden="false" customHeight="true" outlineLevel="0" collapsed="false">
      <c r="A16" s="434" t="n">
        <v>2149</v>
      </c>
      <c r="B16" s="421" t="s">
        <v>354</v>
      </c>
      <c r="C16" s="421" t="s">
        <v>355</v>
      </c>
      <c r="D16" s="422" t="s">
        <v>8</v>
      </c>
      <c r="E16" s="45" t="n">
        <v>42130</v>
      </c>
      <c r="F16" s="423" t="s">
        <v>34</v>
      </c>
      <c r="G16" s="424" t="n">
        <v>500</v>
      </c>
      <c r="H16" s="430"/>
      <c r="I16" s="426"/>
      <c r="J16" s="430"/>
      <c r="K16" s="427"/>
      <c r="L16" s="428"/>
      <c r="M16" s="426"/>
      <c r="N16" s="428"/>
      <c r="O16" s="426"/>
      <c r="P16" s="429" t="n">
        <f aca="false">SUM(I16:O16)</f>
        <v>0</v>
      </c>
    </row>
    <row r="17" customFormat="false" ht="12.75" hidden="false" customHeight="true" outlineLevel="0" collapsed="false">
      <c r="A17" s="434" t="n">
        <v>2150</v>
      </c>
      <c r="B17" s="421" t="s">
        <v>363</v>
      </c>
      <c r="C17" s="421" t="s">
        <v>364</v>
      </c>
      <c r="D17" s="422" t="s">
        <v>8</v>
      </c>
      <c r="E17" s="45" t="n">
        <v>42390</v>
      </c>
      <c r="F17" s="423" t="s">
        <v>34</v>
      </c>
      <c r="G17" s="424" t="n">
        <v>500</v>
      </c>
      <c r="H17" s="430" t="s">
        <v>1351</v>
      </c>
      <c r="I17" s="426" t="n">
        <v>8</v>
      </c>
      <c r="J17" s="430" t="s">
        <v>1351</v>
      </c>
      <c r="K17" s="427"/>
      <c r="L17" s="428"/>
      <c r="M17" s="426"/>
      <c r="N17" s="428"/>
      <c r="O17" s="426"/>
      <c r="P17" s="429" t="n">
        <f aca="false">SUM(I17:O17)</f>
        <v>8</v>
      </c>
    </row>
    <row r="18" customFormat="false" ht="12.75" hidden="false" customHeight="true" outlineLevel="0" collapsed="false">
      <c r="A18" s="434" t="n">
        <v>2151</v>
      </c>
      <c r="B18" s="421" t="s">
        <v>402</v>
      </c>
      <c r="C18" s="421" t="s">
        <v>165</v>
      </c>
      <c r="D18" s="422" t="s">
        <v>8</v>
      </c>
      <c r="E18" s="45" t="n">
        <v>42419</v>
      </c>
      <c r="F18" s="423" t="s">
        <v>34</v>
      </c>
      <c r="G18" s="424" t="n">
        <v>500</v>
      </c>
      <c r="H18" s="430" t="s">
        <v>1351</v>
      </c>
      <c r="I18" s="426" t="n">
        <v>8</v>
      </c>
      <c r="J18" s="430" t="s">
        <v>1351</v>
      </c>
      <c r="K18" s="427"/>
      <c r="L18" s="428"/>
      <c r="M18" s="426"/>
      <c r="N18" s="428"/>
      <c r="O18" s="426"/>
      <c r="P18" s="429" t="n">
        <f aca="false">SUM(I18:O18)</f>
        <v>8</v>
      </c>
    </row>
    <row r="19" customFormat="false" ht="12.75" hidden="false" customHeight="true" outlineLevel="0" collapsed="false">
      <c r="A19" s="434" t="n">
        <v>2152</v>
      </c>
      <c r="B19" s="421" t="s">
        <v>418</v>
      </c>
      <c r="C19" s="421" t="s">
        <v>419</v>
      </c>
      <c r="D19" s="422" t="s">
        <v>8</v>
      </c>
      <c r="E19" s="45" t="n">
        <v>42178</v>
      </c>
      <c r="F19" s="423" t="s">
        <v>34</v>
      </c>
      <c r="G19" s="424" t="n">
        <v>500</v>
      </c>
      <c r="H19" s="430" t="s">
        <v>1351</v>
      </c>
      <c r="I19" s="426" t="n">
        <v>4</v>
      </c>
      <c r="J19" s="430" t="s">
        <v>1351</v>
      </c>
      <c r="K19" s="427"/>
      <c r="L19" s="428"/>
      <c r="M19" s="426"/>
      <c r="N19" s="428"/>
      <c r="O19" s="426"/>
      <c r="P19" s="429" t="n">
        <f aca="false">SUM(I19:O19)</f>
        <v>4</v>
      </c>
    </row>
    <row r="20" customFormat="false" ht="12.75" hidden="false" customHeight="true" outlineLevel="0" collapsed="false">
      <c r="A20" s="434" t="n">
        <v>2153</v>
      </c>
      <c r="B20" s="421" t="s">
        <v>418</v>
      </c>
      <c r="C20" s="421" t="s">
        <v>420</v>
      </c>
      <c r="D20" s="422" t="s">
        <v>26</v>
      </c>
      <c r="E20" s="45" t="n">
        <v>42185</v>
      </c>
      <c r="F20" s="423" t="s">
        <v>34</v>
      </c>
      <c r="G20" s="424" t="n">
        <v>500</v>
      </c>
      <c r="H20" s="430" t="s">
        <v>1351</v>
      </c>
      <c r="I20" s="426" t="n">
        <v>1</v>
      </c>
      <c r="J20" s="430" t="s">
        <v>1351</v>
      </c>
      <c r="K20" s="427"/>
      <c r="L20" s="428"/>
      <c r="M20" s="426"/>
      <c r="N20" s="428"/>
      <c r="O20" s="426"/>
      <c r="P20" s="429" t="n">
        <f aca="false">SUM(I20:O20)</f>
        <v>1</v>
      </c>
    </row>
    <row r="21" customFormat="false" ht="12.75" hidden="false" customHeight="true" outlineLevel="0" collapsed="false">
      <c r="A21" s="434" t="n">
        <v>2154</v>
      </c>
      <c r="B21" s="421" t="s">
        <v>445</v>
      </c>
      <c r="C21" s="421" t="s">
        <v>222</v>
      </c>
      <c r="D21" s="422" t="s">
        <v>8</v>
      </c>
      <c r="E21" s="45" t="n">
        <v>42600</v>
      </c>
      <c r="F21" s="423" t="s">
        <v>34</v>
      </c>
      <c r="G21" s="424" t="n">
        <v>500</v>
      </c>
      <c r="H21" s="430"/>
      <c r="I21" s="426"/>
      <c r="J21" s="430"/>
      <c r="K21" s="427"/>
      <c r="L21" s="428"/>
      <c r="M21" s="426"/>
      <c r="N21" s="428"/>
      <c r="O21" s="426"/>
      <c r="P21" s="429" t="n">
        <f aca="false">SUM(I21:O21)</f>
        <v>0</v>
      </c>
    </row>
    <row r="22" customFormat="false" ht="12.75" hidden="false" customHeight="true" outlineLevel="0" collapsed="false">
      <c r="A22" s="434" t="n">
        <v>2156</v>
      </c>
      <c r="B22" s="421" t="s">
        <v>458</v>
      </c>
      <c r="C22" s="421" t="s">
        <v>290</v>
      </c>
      <c r="D22" s="422" t="s">
        <v>8</v>
      </c>
      <c r="E22" s="45" t="n">
        <v>42669</v>
      </c>
      <c r="F22" s="423" t="s">
        <v>34</v>
      </c>
      <c r="G22" s="424" t="n">
        <v>500</v>
      </c>
      <c r="H22" s="435" t="s">
        <v>1351</v>
      </c>
      <c r="I22" s="427" t="n">
        <v>3</v>
      </c>
      <c r="J22" s="435" t="s">
        <v>1351</v>
      </c>
      <c r="K22" s="427"/>
      <c r="L22" s="436"/>
      <c r="M22" s="427"/>
      <c r="N22" s="436"/>
      <c r="O22" s="427"/>
      <c r="P22" s="437" t="n">
        <f aca="false">SUM(I22:O22)</f>
        <v>3</v>
      </c>
    </row>
    <row r="23" customFormat="false" ht="12.75" hidden="false" customHeight="true" outlineLevel="0" collapsed="false">
      <c r="A23" s="434" t="n">
        <v>2155</v>
      </c>
      <c r="B23" s="421" t="s">
        <v>458</v>
      </c>
      <c r="C23" s="421" t="s">
        <v>459</v>
      </c>
      <c r="D23" s="422" t="s">
        <v>8</v>
      </c>
      <c r="E23" s="45" t="n">
        <v>42669</v>
      </c>
      <c r="F23" s="423" t="s">
        <v>34</v>
      </c>
      <c r="G23" s="424" t="n">
        <v>500</v>
      </c>
      <c r="H23" s="430" t="s">
        <v>1351</v>
      </c>
      <c r="I23" s="426" t="n">
        <v>8</v>
      </c>
      <c r="J23" s="430" t="s">
        <v>1351</v>
      </c>
      <c r="K23" s="427"/>
      <c r="L23" s="428"/>
      <c r="M23" s="426"/>
      <c r="N23" s="428"/>
      <c r="O23" s="426"/>
      <c r="P23" s="429" t="n">
        <f aca="false">SUM(I23:O23)</f>
        <v>8</v>
      </c>
    </row>
    <row r="24" customFormat="false" ht="12.75" hidden="false" customHeight="true" outlineLevel="0" collapsed="false">
      <c r="A24" s="434" t="n">
        <v>2157</v>
      </c>
      <c r="B24" s="421" t="s">
        <v>485</v>
      </c>
      <c r="C24" s="421" t="s">
        <v>486</v>
      </c>
      <c r="D24" s="422" t="s">
        <v>8</v>
      </c>
      <c r="E24" s="45" t="n">
        <v>42483</v>
      </c>
      <c r="F24" s="423" t="s">
        <v>34</v>
      </c>
      <c r="G24" s="424" t="n">
        <v>500</v>
      </c>
      <c r="H24" s="430" t="s">
        <v>1351</v>
      </c>
      <c r="I24" s="426" t="n">
        <v>3</v>
      </c>
      <c r="J24" s="430" t="s">
        <v>1351</v>
      </c>
      <c r="K24" s="427"/>
      <c r="L24" s="428"/>
      <c r="M24" s="426"/>
      <c r="N24" s="428"/>
      <c r="O24" s="426"/>
      <c r="P24" s="429" t="n">
        <f aca="false">SUM(I24:O24)</f>
        <v>3</v>
      </c>
    </row>
    <row r="25" customFormat="false" ht="12.75" hidden="false" customHeight="true" outlineLevel="0" collapsed="false">
      <c r="A25" s="434" t="n">
        <v>2158</v>
      </c>
      <c r="B25" s="421" t="s">
        <v>528</v>
      </c>
      <c r="C25" s="421" t="s">
        <v>529</v>
      </c>
      <c r="D25" s="422" t="s">
        <v>8</v>
      </c>
      <c r="E25" s="45" t="n">
        <v>42066</v>
      </c>
      <c r="F25" s="423" t="s">
        <v>34</v>
      </c>
      <c r="G25" s="424" t="n">
        <v>500</v>
      </c>
      <c r="H25" s="430"/>
      <c r="I25" s="426"/>
      <c r="J25" s="430"/>
      <c r="K25" s="427"/>
      <c r="L25" s="428"/>
      <c r="M25" s="426"/>
      <c r="N25" s="428"/>
      <c r="O25" s="426"/>
      <c r="P25" s="429" t="n">
        <f aca="false">SUM(I25:O25)</f>
        <v>0</v>
      </c>
    </row>
    <row r="26" customFormat="false" ht="12.75" hidden="false" customHeight="true" outlineLevel="0" collapsed="false">
      <c r="A26" s="434" t="n">
        <v>2159</v>
      </c>
      <c r="B26" s="421" t="s">
        <v>540</v>
      </c>
      <c r="C26" s="421" t="s">
        <v>541</v>
      </c>
      <c r="D26" s="422" t="s">
        <v>8</v>
      </c>
      <c r="E26" s="45" t="n">
        <v>42484</v>
      </c>
      <c r="F26" s="423" t="s">
        <v>34</v>
      </c>
      <c r="G26" s="424" t="n">
        <v>500</v>
      </c>
      <c r="H26" s="430" t="s">
        <v>1351</v>
      </c>
      <c r="I26" s="426" t="n">
        <v>3</v>
      </c>
      <c r="J26" s="430" t="s">
        <v>1351</v>
      </c>
      <c r="K26" s="427"/>
      <c r="L26" s="428"/>
      <c r="M26" s="426"/>
      <c r="N26" s="428"/>
      <c r="O26" s="426"/>
      <c r="P26" s="429" t="n">
        <f aca="false">SUM(I26:O26)</f>
        <v>3</v>
      </c>
    </row>
    <row r="27" customFormat="false" ht="12.75" hidden="false" customHeight="true" outlineLevel="0" collapsed="false">
      <c r="A27" s="434" t="n">
        <v>2160</v>
      </c>
      <c r="B27" s="421" t="s">
        <v>552</v>
      </c>
      <c r="C27" s="421" t="s">
        <v>61</v>
      </c>
      <c r="D27" s="422" t="s">
        <v>8</v>
      </c>
      <c r="E27" s="45" t="n">
        <v>42055</v>
      </c>
      <c r="F27" s="423" t="s">
        <v>34</v>
      </c>
      <c r="G27" s="424" t="n">
        <v>500</v>
      </c>
      <c r="H27" s="430" t="s">
        <v>1351</v>
      </c>
      <c r="I27" s="426" t="n">
        <v>9</v>
      </c>
      <c r="J27" s="430" t="s">
        <v>1351</v>
      </c>
      <c r="K27" s="427"/>
      <c r="L27" s="428"/>
      <c r="M27" s="426"/>
      <c r="N27" s="428"/>
      <c r="O27" s="426"/>
      <c r="P27" s="429" t="n">
        <f aca="false">SUM(I27:O27)</f>
        <v>9</v>
      </c>
    </row>
    <row r="28" customFormat="false" ht="12.75" hidden="false" customHeight="true" outlineLevel="0" collapsed="false">
      <c r="A28" s="434" t="n">
        <v>2161</v>
      </c>
      <c r="B28" s="421" t="s">
        <v>605</v>
      </c>
      <c r="C28" s="421" t="s">
        <v>43</v>
      </c>
      <c r="D28" s="422" t="s">
        <v>8</v>
      </c>
      <c r="E28" s="45" t="n">
        <v>42574</v>
      </c>
      <c r="F28" s="423" t="s">
        <v>34</v>
      </c>
      <c r="G28" s="424" t="n">
        <v>500</v>
      </c>
      <c r="H28" s="425" t="s">
        <v>1351</v>
      </c>
      <c r="I28" s="426" t="n">
        <v>8</v>
      </c>
      <c r="J28" s="425" t="s">
        <v>1351</v>
      </c>
      <c r="K28" s="427"/>
      <c r="L28" s="428"/>
      <c r="M28" s="426"/>
      <c r="N28" s="428"/>
      <c r="O28" s="426"/>
      <c r="P28" s="429" t="n">
        <f aca="false">SUM(I28:O28)</f>
        <v>8</v>
      </c>
    </row>
    <row r="29" customFormat="false" ht="12.75" hidden="false" customHeight="true" outlineLevel="0" collapsed="false">
      <c r="A29" s="434" t="n">
        <v>2162</v>
      </c>
      <c r="B29" s="421" t="s">
        <v>724</v>
      </c>
      <c r="C29" s="421" t="s">
        <v>31</v>
      </c>
      <c r="D29" s="422" t="s">
        <v>8</v>
      </c>
      <c r="E29" s="45" t="n">
        <v>42066</v>
      </c>
      <c r="F29" s="423" t="s">
        <v>34</v>
      </c>
      <c r="G29" s="424" t="n">
        <v>500</v>
      </c>
      <c r="H29" s="430" t="s">
        <v>1351</v>
      </c>
      <c r="I29" s="426" t="n">
        <v>9</v>
      </c>
      <c r="J29" s="430" t="s">
        <v>1351</v>
      </c>
      <c r="K29" s="427"/>
      <c r="L29" s="428"/>
      <c r="M29" s="426"/>
      <c r="N29" s="428"/>
      <c r="O29" s="426"/>
      <c r="P29" s="429" t="n">
        <f aca="false">SUM(I29:O29)</f>
        <v>9</v>
      </c>
    </row>
    <row r="30" customFormat="false" ht="12.75" hidden="false" customHeight="true" outlineLevel="0" collapsed="false">
      <c r="A30" s="434" t="n">
        <v>2163</v>
      </c>
      <c r="B30" s="421" t="s">
        <v>765</v>
      </c>
      <c r="C30" s="421" t="s">
        <v>165</v>
      </c>
      <c r="D30" s="422" t="s">
        <v>8</v>
      </c>
      <c r="E30" s="45" t="n">
        <v>42088</v>
      </c>
      <c r="F30" s="423" t="s">
        <v>34</v>
      </c>
      <c r="G30" s="424" t="n">
        <v>500</v>
      </c>
      <c r="H30" s="430" t="s">
        <v>1351</v>
      </c>
      <c r="I30" s="426" t="n">
        <v>9</v>
      </c>
      <c r="J30" s="430" t="s">
        <v>1351</v>
      </c>
      <c r="K30" s="427"/>
      <c r="L30" s="428"/>
      <c r="M30" s="426"/>
      <c r="N30" s="428"/>
      <c r="O30" s="426"/>
      <c r="P30" s="429" t="n">
        <f aca="false">SUM(I30:O30)</f>
        <v>9</v>
      </c>
    </row>
    <row r="31" customFormat="false" ht="12.75" hidden="false" customHeight="true" outlineLevel="0" collapsed="false">
      <c r="A31" s="434" t="n">
        <v>2164</v>
      </c>
      <c r="B31" s="421" t="s">
        <v>800</v>
      </c>
      <c r="C31" s="421" t="s">
        <v>736</v>
      </c>
      <c r="D31" s="422" t="s">
        <v>8</v>
      </c>
      <c r="E31" s="45" t="n">
        <v>42281</v>
      </c>
      <c r="F31" s="423" t="s">
        <v>34</v>
      </c>
      <c r="G31" s="424" t="n">
        <v>500</v>
      </c>
      <c r="H31" s="430"/>
      <c r="I31" s="426"/>
      <c r="J31" s="430"/>
      <c r="K31" s="427"/>
      <c r="L31" s="428"/>
      <c r="M31" s="426"/>
      <c r="N31" s="428"/>
      <c r="O31" s="426"/>
      <c r="P31" s="429" t="n">
        <f aca="false">SUM(I31:O31)</f>
        <v>0</v>
      </c>
    </row>
    <row r="32" customFormat="false" ht="12.75" hidden="false" customHeight="true" outlineLevel="0" collapsed="false">
      <c r="A32" s="434" t="n">
        <v>2165</v>
      </c>
      <c r="B32" s="421" t="s">
        <v>816</v>
      </c>
      <c r="C32" s="421" t="s">
        <v>61</v>
      </c>
      <c r="D32" s="422" t="s">
        <v>8</v>
      </c>
      <c r="E32" s="45" t="n">
        <v>42526</v>
      </c>
      <c r="F32" s="423" t="s">
        <v>34</v>
      </c>
      <c r="G32" s="424" t="n">
        <v>501</v>
      </c>
      <c r="H32" s="425" t="s">
        <v>1346</v>
      </c>
      <c r="I32" s="426" t="n">
        <v>11</v>
      </c>
      <c r="J32" s="425" t="s">
        <v>1346</v>
      </c>
      <c r="K32" s="427"/>
      <c r="L32" s="428"/>
      <c r="M32" s="426"/>
      <c r="N32" s="428"/>
      <c r="O32" s="426"/>
      <c r="P32" s="429" t="n">
        <f aca="false">SUM(I32:O32)</f>
        <v>11</v>
      </c>
    </row>
    <row r="33" customFormat="false" ht="12.75" hidden="false" customHeight="true" outlineLevel="0" collapsed="false">
      <c r="A33" s="434" t="n">
        <v>2166</v>
      </c>
      <c r="B33" s="421" t="s">
        <v>816</v>
      </c>
      <c r="C33" s="421" t="s">
        <v>738</v>
      </c>
      <c r="D33" s="422" t="s">
        <v>8</v>
      </c>
      <c r="E33" s="45" t="n">
        <v>42526</v>
      </c>
      <c r="F33" s="423" t="s">
        <v>34</v>
      </c>
      <c r="G33" s="424" t="n">
        <v>548</v>
      </c>
      <c r="H33" s="430" t="s">
        <v>1346</v>
      </c>
      <c r="I33" s="426" t="n">
        <v>15</v>
      </c>
      <c r="J33" s="430" t="s">
        <v>1346</v>
      </c>
      <c r="K33" s="426"/>
      <c r="L33" s="428"/>
      <c r="M33" s="426"/>
      <c r="N33" s="428"/>
      <c r="O33" s="426"/>
      <c r="P33" s="429" t="n">
        <f aca="false">SUM(I33:O33)</f>
        <v>15</v>
      </c>
    </row>
    <row r="34" customFormat="false" ht="12.75" hidden="false" customHeight="true" outlineLevel="0" collapsed="false">
      <c r="A34" s="434" t="n">
        <v>2167</v>
      </c>
      <c r="B34" s="421" t="s">
        <v>847</v>
      </c>
      <c r="C34" s="421" t="s">
        <v>76</v>
      </c>
      <c r="D34" s="422" t="s">
        <v>8</v>
      </c>
      <c r="E34" s="45" t="n">
        <v>42158</v>
      </c>
      <c r="F34" s="423" t="s">
        <v>34</v>
      </c>
      <c r="G34" s="424" t="n">
        <v>500</v>
      </c>
      <c r="H34" s="430"/>
      <c r="I34" s="426"/>
      <c r="J34" s="430"/>
      <c r="K34" s="427"/>
      <c r="L34" s="428"/>
      <c r="M34" s="426"/>
      <c r="N34" s="428"/>
      <c r="O34" s="426"/>
      <c r="P34" s="429" t="n">
        <f aca="false">SUM(I34:O34)</f>
        <v>0</v>
      </c>
    </row>
    <row r="35" customFormat="false" ht="12.75" hidden="false" customHeight="true" outlineLevel="0" collapsed="false">
      <c r="A35" s="434" t="n">
        <v>2168</v>
      </c>
      <c r="B35" s="421" t="s">
        <v>892</v>
      </c>
      <c r="C35" s="421" t="s">
        <v>893</v>
      </c>
      <c r="D35" s="422" t="s">
        <v>8</v>
      </c>
      <c r="E35" s="45" t="n">
        <v>42449</v>
      </c>
      <c r="F35" s="423" t="s">
        <v>34</v>
      </c>
      <c r="G35" s="424" t="n">
        <v>500</v>
      </c>
      <c r="H35" s="430" t="s">
        <v>1351</v>
      </c>
      <c r="I35" s="426" t="n">
        <v>11</v>
      </c>
      <c r="J35" s="430" t="s">
        <v>1351</v>
      </c>
      <c r="K35" s="427"/>
      <c r="L35" s="428"/>
      <c r="M35" s="426"/>
      <c r="N35" s="428"/>
      <c r="O35" s="426"/>
      <c r="P35" s="429" t="n">
        <f aca="false">SUM(I35:O35)</f>
        <v>11</v>
      </c>
    </row>
    <row r="36" customFormat="false" ht="12.75" hidden="false" customHeight="true" outlineLevel="0" collapsed="false">
      <c r="A36" s="434" t="n">
        <v>2169</v>
      </c>
      <c r="B36" s="421" t="s">
        <v>968</v>
      </c>
      <c r="C36" s="421" t="s">
        <v>969</v>
      </c>
      <c r="D36" s="422" t="s">
        <v>8</v>
      </c>
      <c r="E36" s="45" t="n">
        <v>42268</v>
      </c>
      <c r="F36" s="423" t="s">
        <v>34</v>
      </c>
      <c r="G36" s="424" t="n">
        <v>500</v>
      </c>
      <c r="H36" s="430" t="s">
        <v>1351</v>
      </c>
      <c r="I36" s="426" t="n">
        <v>2</v>
      </c>
      <c r="J36" s="430" t="s">
        <v>1351</v>
      </c>
      <c r="K36" s="426"/>
      <c r="L36" s="428"/>
      <c r="M36" s="426"/>
      <c r="N36" s="428"/>
      <c r="O36" s="426"/>
      <c r="P36" s="429" t="n">
        <f aca="false">SUM(I36:O36)</f>
        <v>2</v>
      </c>
    </row>
    <row r="37" customFormat="false" ht="12.75" hidden="false" customHeight="true" outlineLevel="0" collapsed="false">
      <c r="A37" s="434" t="n">
        <v>2170</v>
      </c>
      <c r="B37" s="421" t="s">
        <v>975</v>
      </c>
      <c r="C37" s="421" t="s">
        <v>976</v>
      </c>
      <c r="D37" s="422" t="s">
        <v>8</v>
      </c>
      <c r="E37" s="45" t="n">
        <v>42583</v>
      </c>
      <c r="F37" s="423" t="s">
        <v>34</v>
      </c>
      <c r="G37" s="424" t="n">
        <v>500</v>
      </c>
      <c r="H37" s="430" t="s">
        <v>1351</v>
      </c>
      <c r="I37" s="426" t="n">
        <v>2</v>
      </c>
      <c r="J37" s="430" t="s">
        <v>1351</v>
      </c>
      <c r="K37" s="427"/>
      <c r="L37" s="428"/>
      <c r="M37" s="426"/>
      <c r="N37" s="428"/>
      <c r="O37" s="426"/>
      <c r="P37" s="429" t="n">
        <f aca="false">SUM(I37:O37)</f>
        <v>2</v>
      </c>
    </row>
    <row r="38" customFormat="false" ht="12.75" hidden="false" customHeight="true" outlineLevel="0" collapsed="false">
      <c r="A38" s="434" t="n">
        <v>2171</v>
      </c>
      <c r="B38" s="421" t="s">
        <v>977</v>
      </c>
      <c r="C38" s="421" t="s">
        <v>433</v>
      </c>
      <c r="D38" s="422" t="s">
        <v>26</v>
      </c>
      <c r="E38" s="45" t="n">
        <v>42697</v>
      </c>
      <c r="F38" s="423" t="s">
        <v>34</v>
      </c>
      <c r="G38" s="424" t="n">
        <v>500</v>
      </c>
      <c r="H38" s="430"/>
      <c r="I38" s="426"/>
      <c r="J38" s="430"/>
      <c r="K38" s="426"/>
      <c r="L38" s="428"/>
      <c r="M38" s="426"/>
      <c r="N38" s="428"/>
      <c r="O38" s="426"/>
      <c r="P38" s="429" t="n">
        <f aca="false">SUM(I38:O38)</f>
        <v>0</v>
      </c>
      <c r="U38" s="311"/>
      <c r="V38" s="311"/>
    </row>
    <row r="39" customFormat="false" ht="12.75" hidden="false" customHeight="true" outlineLevel="0" collapsed="false">
      <c r="A39" s="434" t="n">
        <v>2172</v>
      </c>
      <c r="B39" s="421" t="s">
        <v>1096</v>
      </c>
      <c r="C39" s="421" t="s">
        <v>214</v>
      </c>
      <c r="D39" s="422" t="s">
        <v>8</v>
      </c>
      <c r="E39" s="45" t="n">
        <v>42256</v>
      </c>
      <c r="F39" s="423" t="s">
        <v>34</v>
      </c>
      <c r="G39" s="424" t="n">
        <v>500</v>
      </c>
      <c r="H39" s="430"/>
      <c r="I39" s="426"/>
      <c r="J39" s="430"/>
      <c r="K39" s="427"/>
      <c r="L39" s="428"/>
      <c r="M39" s="426"/>
      <c r="N39" s="428"/>
      <c r="O39" s="426"/>
      <c r="P39" s="429" t="n">
        <f aca="false">SUM(I39:O39)</f>
        <v>0</v>
      </c>
    </row>
    <row r="40" customFormat="false" ht="12.75" hidden="false" customHeight="true" outlineLevel="0" collapsed="false">
      <c r="A40" s="434" t="n">
        <v>2173</v>
      </c>
      <c r="B40" s="421" t="s">
        <v>1102</v>
      </c>
      <c r="C40" s="421" t="s">
        <v>1103</v>
      </c>
      <c r="D40" s="422" t="s">
        <v>8</v>
      </c>
      <c r="E40" s="45" t="n">
        <v>42087</v>
      </c>
      <c r="F40" s="423" t="s">
        <v>34</v>
      </c>
      <c r="G40" s="424" t="n">
        <v>500</v>
      </c>
      <c r="H40" s="430" t="s">
        <v>1346</v>
      </c>
      <c r="I40" s="426" t="n">
        <v>1</v>
      </c>
      <c r="J40" s="430" t="s">
        <v>1346</v>
      </c>
      <c r="K40" s="426"/>
      <c r="L40" s="428"/>
      <c r="M40" s="426"/>
      <c r="N40" s="428"/>
      <c r="O40" s="426"/>
      <c r="P40" s="429" t="n">
        <f aca="false">SUM(I40:O40)</f>
        <v>1</v>
      </c>
    </row>
    <row r="41" customFormat="false" ht="12.75" hidden="false" customHeight="true" outlineLevel="0" collapsed="false">
      <c r="A41" s="434" t="n">
        <v>2174</v>
      </c>
      <c r="B41" s="421" t="s">
        <v>1133</v>
      </c>
      <c r="C41" s="421" t="s">
        <v>1135</v>
      </c>
      <c r="D41" s="422" t="s">
        <v>26</v>
      </c>
      <c r="E41" s="45" t="n">
        <v>42288</v>
      </c>
      <c r="F41" s="423" t="s">
        <v>34</v>
      </c>
      <c r="G41" s="424" t="n">
        <v>500</v>
      </c>
      <c r="H41" s="430" t="s">
        <v>1351</v>
      </c>
      <c r="I41" s="426" t="n">
        <v>10</v>
      </c>
      <c r="J41" s="430" t="s">
        <v>1351</v>
      </c>
      <c r="K41" s="427"/>
      <c r="L41" s="428"/>
      <c r="M41" s="426"/>
      <c r="N41" s="428"/>
      <c r="O41" s="426"/>
      <c r="P41" s="429" t="n">
        <f aca="false">SUM(I41:O41)</f>
        <v>10</v>
      </c>
    </row>
    <row r="42" customFormat="false" ht="12.75" hidden="false" customHeight="true" outlineLevel="0" collapsed="false">
      <c r="A42" s="434" t="n">
        <v>2175</v>
      </c>
      <c r="B42" s="421" t="s">
        <v>1218</v>
      </c>
      <c r="C42" s="421" t="s">
        <v>215</v>
      </c>
      <c r="D42" s="422" t="s">
        <v>8</v>
      </c>
      <c r="E42" s="45" t="n">
        <v>42408</v>
      </c>
      <c r="F42" s="423" t="s">
        <v>34</v>
      </c>
      <c r="G42" s="424" t="n">
        <v>500</v>
      </c>
      <c r="H42" s="430"/>
      <c r="I42" s="426"/>
      <c r="J42" s="430"/>
      <c r="K42" s="427"/>
      <c r="L42" s="428"/>
      <c r="M42" s="426"/>
      <c r="N42" s="428"/>
      <c r="O42" s="426"/>
      <c r="P42" s="429" t="n">
        <f aca="false">SUM(I42:O42)</f>
        <v>0</v>
      </c>
    </row>
    <row r="43" customFormat="false" ht="12.75" hidden="false" customHeight="true" outlineLevel="0" collapsed="false">
      <c r="A43" s="434" t="n">
        <v>2176</v>
      </c>
      <c r="B43" s="421" t="s">
        <v>1256</v>
      </c>
      <c r="C43" s="421" t="s">
        <v>75</v>
      </c>
      <c r="D43" s="422" t="s">
        <v>8</v>
      </c>
      <c r="E43" s="45" t="n">
        <v>42502</v>
      </c>
      <c r="F43" s="423" t="s">
        <v>34</v>
      </c>
      <c r="G43" s="424" t="n">
        <v>500</v>
      </c>
      <c r="H43" s="430"/>
      <c r="I43" s="426"/>
      <c r="J43" s="430"/>
      <c r="K43" s="426"/>
      <c r="L43" s="428"/>
      <c r="M43" s="426"/>
      <c r="N43" s="428"/>
      <c r="O43" s="426"/>
      <c r="P43" s="429" t="n">
        <f aca="false">SUM(I43:O43)</f>
        <v>0</v>
      </c>
    </row>
    <row r="44" customFormat="false" ht="12.75" hidden="false" customHeight="true" outlineLevel="0" collapsed="false">
      <c r="A44" s="434" t="n">
        <v>2177</v>
      </c>
      <c r="B44" s="421" t="s">
        <v>1321</v>
      </c>
      <c r="C44" s="421" t="s">
        <v>1322</v>
      </c>
      <c r="D44" s="422" t="s">
        <v>26</v>
      </c>
      <c r="E44" s="45" t="n">
        <v>42406</v>
      </c>
      <c r="F44" s="423" t="s">
        <v>34</v>
      </c>
      <c r="G44" s="424" t="n">
        <v>500</v>
      </c>
      <c r="H44" s="430"/>
      <c r="I44" s="426"/>
      <c r="J44" s="430"/>
      <c r="K44" s="426"/>
      <c r="L44" s="428"/>
      <c r="M44" s="426"/>
      <c r="N44" s="428"/>
      <c r="O44" s="426"/>
      <c r="P44" s="429" t="n">
        <f aca="false">SUM(I44:O44)</f>
        <v>0</v>
      </c>
    </row>
    <row r="45" customFormat="false" ht="12.75" hidden="false" customHeight="true" outlineLevel="0" collapsed="false">
      <c r="A45" s="434" t="n">
        <v>2178</v>
      </c>
      <c r="B45" s="438" t="s">
        <v>160</v>
      </c>
      <c r="C45" s="438" t="s">
        <v>161</v>
      </c>
      <c r="D45" s="422" t="s">
        <v>8</v>
      </c>
      <c r="E45" s="439" t="n">
        <v>42370</v>
      </c>
      <c r="F45" s="440" t="s">
        <v>119</v>
      </c>
      <c r="G45" s="424" t="n">
        <v>500</v>
      </c>
      <c r="H45" s="430"/>
      <c r="I45" s="426"/>
      <c r="J45" s="430"/>
      <c r="K45" s="427"/>
      <c r="L45" s="428"/>
      <c r="M45" s="426"/>
      <c r="N45" s="428"/>
      <c r="O45" s="426"/>
      <c r="P45" s="429" t="n">
        <f aca="false">SUM(I45:O45)</f>
        <v>0</v>
      </c>
    </row>
    <row r="46" customFormat="false" ht="12.75" hidden="false" customHeight="true" outlineLevel="0" collapsed="false">
      <c r="A46" s="434" t="n">
        <v>2100</v>
      </c>
      <c r="B46" s="441" t="s">
        <v>144</v>
      </c>
      <c r="C46" s="441" t="s">
        <v>132</v>
      </c>
      <c r="D46" s="36" t="s">
        <v>8</v>
      </c>
      <c r="E46" s="442" t="n">
        <v>42072</v>
      </c>
      <c r="F46" s="423" t="s">
        <v>143</v>
      </c>
      <c r="G46" s="424" t="n">
        <v>500</v>
      </c>
      <c r="H46" s="430"/>
      <c r="I46" s="426"/>
      <c r="J46" s="430"/>
      <c r="K46" s="426"/>
      <c r="L46" s="428"/>
      <c r="M46" s="426"/>
      <c r="N46" s="428"/>
      <c r="O46" s="426"/>
      <c r="P46" s="429" t="n">
        <f aca="false">SUM(I46:O46)</f>
        <v>0</v>
      </c>
    </row>
    <row r="47" customFormat="false" ht="12.75" hidden="false" customHeight="true" outlineLevel="0" collapsed="false">
      <c r="A47" s="434" t="n">
        <v>2021</v>
      </c>
      <c r="B47" s="441" t="s">
        <v>268</v>
      </c>
      <c r="C47" s="441" t="s">
        <v>269</v>
      </c>
      <c r="D47" s="36" t="s">
        <v>8</v>
      </c>
      <c r="E47" s="442" t="n">
        <v>42594</v>
      </c>
      <c r="F47" s="423" t="s">
        <v>143</v>
      </c>
      <c r="G47" s="424" t="n">
        <v>500</v>
      </c>
      <c r="H47" s="430"/>
      <c r="I47" s="426"/>
      <c r="J47" s="430"/>
      <c r="K47" s="427"/>
      <c r="L47" s="428"/>
      <c r="M47" s="426"/>
      <c r="N47" s="428"/>
      <c r="O47" s="426"/>
      <c r="P47" s="429" t="n">
        <f aca="false">SUM(I47:O47)</f>
        <v>0</v>
      </c>
    </row>
    <row r="48" customFormat="false" ht="12.75" hidden="false" customHeight="true" outlineLevel="0" collapsed="false">
      <c r="A48" s="434" t="n">
        <v>2084</v>
      </c>
      <c r="B48" s="441" t="s">
        <v>394</v>
      </c>
      <c r="C48" s="441" t="s">
        <v>214</v>
      </c>
      <c r="D48" s="36" t="s">
        <v>8</v>
      </c>
      <c r="E48" s="442" t="n">
        <v>42193</v>
      </c>
      <c r="F48" s="423" t="s">
        <v>143</v>
      </c>
      <c r="G48" s="424" t="n">
        <v>500</v>
      </c>
      <c r="H48" s="430"/>
      <c r="I48" s="426"/>
      <c r="J48" s="430"/>
      <c r="K48" s="427"/>
      <c r="L48" s="428"/>
      <c r="M48" s="426"/>
      <c r="N48" s="428"/>
      <c r="O48" s="426"/>
      <c r="P48" s="429" t="n">
        <f aca="false">SUM(I48:O48)</f>
        <v>0</v>
      </c>
    </row>
    <row r="49" customFormat="false" ht="12.75" hidden="false" customHeight="true" outlineLevel="0" collapsed="false">
      <c r="A49" s="434" t="n">
        <v>2079</v>
      </c>
      <c r="B49" s="441" t="s">
        <v>751</v>
      </c>
      <c r="C49" s="441" t="s">
        <v>290</v>
      </c>
      <c r="D49" s="36" t="s">
        <v>8</v>
      </c>
      <c r="E49" s="442" t="n">
        <v>42221</v>
      </c>
      <c r="F49" s="423" t="s">
        <v>143</v>
      </c>
      <c r="G49" s="424" t="n">
        <v>500</v>
      </c>
      <c r="H49" s="425"/>
      <c r="I49" s="426"/>
      <c r="J49" s="425"/>
      <c r="K49" s="426"/>
      <c r="L49" s="428"/>
      <c r="M49" s="426"/>
      <c r="N49" s="428"/>
      <c r="O49" s="426"/>
      <c r="P49" s="429" t="n">
        <f aca="false">SUM(I49:O49)</f>
        <v>0</v>
      </c>
    </row>
    <row r="50" customFormat="false" ht="12.75" hidden="false" customHeight="true" outlineLevel="0" collapsed="false">
      <c r="A50" s="434" t="n">
        <v>2080</v>
      </c>
      <c r="B50" s="441" t="s">
        <v>905</v>
      </c>
      <c r="C50" s="441" t="s">
        <v>906</v>
      </c>
      <c r="D50" s="36" t="s">
        <v>8</v>
      </c>
      <c r="E50" s="442" t="n">
        <v>42220</v>
      </c>
      <c r="F50" s="423" t="s">
        <v>143</v>
      </c>
      <c r="G50" s="424" t="n">
        <v>500</v>
      </c>
      <c r="H50" s="430" t="s">
        <v>1351</v>
      </c>
      <c r="I50" s="426" t="n">
        <v>3</v>
      </c>
      <c r="J50" s="430" t="s">
        <v>1351</v>
      </c>
      <c r="K50" s="427"/>
      <c r="L50" s="428"/>
      <c r="M50" s="426"/>
      <c r="N50" s="428"/>
      <c r="O50" s="426"/>
      <c r="P50" s="429" t="n">
        <f aca="false">SUM(I50:O50)</f>
        <v>3</v>
      </c>
    </row>
    <row r="51" customFormat="false" ht="12.75" hidden="false" customHeight="true" outlineLevel="0" collapsed="false">
      <c r="A51" s="434" t="n">
        <v>2066</v>
      </c>
      <c r="B51" s="441" t="s">
        <v>911</v>
      </c>
      <c r="C51" s="441" t="s">
        <v>228</v>
      </c>
      <c r="D51" s="36" t="s">
        <v>8</v>
      </c>
      <c r="E51" s="442" t="n">
        <v>42283</v>
      </c>
      <c r="F51" s="423" t="s">
        <v>143</v>
      </c>
      <c r="G51" s="424" t="n">
        <v>500</v>
      </c>
      <c r="H51" s="430"/>
      <c r="I51" s="426"/>
      <c r="J51" s="430"/>
      <c r="K51" s="426"/>
      <c r="L51" s="428"/>
      <c r="M51" s="426"/>
      <c r="N51" s="428"/>
      <c r="O51" s="426"/>
      <c r="P51" s="429" t="n">
        <f aca="false">SUM(I51:O51)</f>
        <v>0</v>
      </c>
    </row>
    <row r="52" customFormat="false" ht="12.75" hidden="false" customHeight="true" outlineLevel="0" collapsed="false">
      <c r="A52" s="434" t="n">
        <v>2107</v>
      </c>
      <c r="B52" s="441" t="s">
        <v>950</v>
      </c>
      <c r="C52" s="441" t="s">
        <v>951</v>
      </c>
      <c r="D52" s="36" t="s">
        <v>8</v>
      </c>
      <c r="E52" s="442" t="n">
        <v>42044</v>
      </c>
      <c r="F52" s="423" t="s">
        <v>143</v>
      </c>
      <c r="G52" s="424" t="n">
        <v>500</v>
      </c>
      <c r="H52" s="430"/>
      <c r="I52" s="426"/>
      <c r="J52" s="430"/>
      <c r="K52" s="427"/>
      <c r="L52" s="428"/>
      <c r="M52" s="426"/>
      <c r="N52" s="428"/>
      <c r="O52" s="426"/>
      <c r="P52" s="429" t="n">
        <f aca="false">SUM(I52:O52)</f>
        <v>0</v>
      </c>
    </row>
    <row r="53" customFormat="false" ht="12.75" hidden="false" customHeight="true" outlineLevel="0" collapsed="false">
      <c r="A53" s="434" t="n">
        <v>2098</v>
      </c>
      <c r="B53" s="441" t="s">
        <v>998</v>
      </c>
      <c r="C53" s="441" t="s">
        <v>393</v>
      </c>
      <c r="D53" s="36" t="s">
        <v>8</v>
      </c>
      <c r="E53" s="442" t="n">
        <v>42095</v>
      </c>
      <c r="F53" s="423" t="s">
        <v>143</v>
      </c>
      <c r="G53" s="424" t="n">
        <v>500</v>
      </c>
      <c r="H53" s="430"/>
      <c r="I53" s="426"/>
      <c r="J53" s="430"/>
      <c r="K53" s="426"/>
      <c r="L53" s="428"/>
      <c r="M53" s="426"/>
      <c r="N53" s="428"/>
      <c r="O53" s="426"/>
      <c r="P53" s="429" t="n">
        <f aca="false">SUM(I53:O53)</f>
        <v>0</v>
      </c>
    </row>
    <row r="54" customFormat="false" ht="12.75" hidden="false" customHeight="true" outlineLevel="0" collapsed="false">
      <c r="A54" s="434" t="n">
        <v>2073</v>
      </c>
      <c r="B54" s="441" t="s">
        <v>1060</v>
      </c>
      <c r="C54" s="441" t="s">
        <v>393</v>
      </c>
      <c r="D54" s="36" t="s">
        <v>8</v>
      </c>
      <c r="E54" s="442" t="n">
        <v>42249</v>
      </c>
      <c r="F54" s="423" t="s">
        <v>143</v>
      </c>
      <c r="G54" s="424" t="n">
        <v>500</v>
      </c>
      <c r="H54" s="430"/>
      <c r="I54" s="426"/>
      <c r="J54" s="430"/>
      <c r="K54" s="426"/>
      <c r="L54" s="428"/>
      <c r="M54" s="426"/>
      <c r="N54" s="428"/>
      <c r="O54" s="426"/>
      <c r="P54" s="429" t="n">
        <f aca="false">SUM(I54:O54)</f>
        <v>0</v>
      </c>
    </row>
    <row r="55" customFormat="false" ht="12.75" hidden="false" customHeight="true" outlineLevel="0" collapsed="false">
      <c r="A55" s="434" t="n">
        <v>2046</v>
      </c>
      <c r="B55" s="441" t="s">
        <v>1072</v>
      </c>
      <c r="C55" s="441" t="s">
        <v>78</v>
      </c>
      <c r="D55" s="36" t="s">
        <v>8</v>
      </c>
      <c r="E55" s="442" t="n">
        <v>42399</v>
      </c>
      <c r="F55" s="423" t="s">
        <v>143</v>
      </c>
      <c r="G55" s="424" t="n">
        <v>500</v>
      </c>
      <c r="H55" s="430" t="s">
        <v>1351</v>
      </c>
      <c r="I55" s="426" t="n">
        <v>3</v>
      </c>
      <c r="J55" s="430" t="s">
        <v>1351</v>
      </c>
      <c r="K55" s="427"/>
      <c r="L55" s="428"/>
      <c r="M55" s="426"/>
      <c r="N55" s="428"/>
      <c r="O55" s="426"/>
      <c r="P55" s="429" t="n">
        <f aca="false">SUM(I55:O55)</f>
        <v>3</v>
      </c>
    </row>
    <row r="56" customFormat="false" ht="12.75" hidden="false" customHeight="true" outlineLevel="0" collapsed="false">
      <c r="A56" s="434" t="n">
        <v>2041</v>
      </c>
      <c r="B56" s="441" t="s">
        <v>1081</v>
      </c>
      <c r="C56" s="441" t="s">
        <v>406</v>
      </c>
      <c r="D56" s="36" t="s">
        <v>8</v>
      </c>
      <c r="E56" s="442" t="n">
        <v>42444</v>
      </c>
      <c r="F56" s="423" t="s">
        <v>143</v>
      </c>
      <c r="G56" s="424" t="n">
        <v>500</v>
      </c>
      <c r="H56" s="430" t="s">
        <v>1351</v>
      </c>
      <c r="I56" s="426" t="n">
        <v>2</v>
      </c>
      <c r="J56" s="430" t="s">
        <v>1351</v>
      </c>
      <c r="K56" s="426"/>
      <c r="L56" s="428"/>
      <c r="M56" s="426"/>
      <c r="N56" s="428"/>
      <c r="O56" s="426"/>
      <c r="P56" s="429" t="n">
        <f aca="false">SUM(I56:O56)</f>
        <v>2</v>
      </c>
    </row>
    <row r="57" customFormat="false" ht="12.75" hidden="false" customHeight="true" outlineLevel="0" collapsed="false">
      <c r="A57" s="434" t="n">
        <v>2083</v>
      </c>
      <c r="B57" s="441" t="s">
        <v>1082</v>
      </c>
      <c r="C57" s="441" t="s">
        <v>771</v>
      </c>
      <c r="D57" s="36" t="s">
        <v>8</v>
      </c>
      <c r="E57" s="442" t="n">
        <v>42205</v>
      </c>
      <c r="F57" s="423" t="s">
        <v>143</v>
      </c>
      <c r="G57" s="424" t="n">
        <v>500</v>
      </c>
      <c r="H57" s="430" t="s">
        <v>1351</v>
      </c>
      <c r="I57" s="426" t="n">
        <v>10</v>
      </c>
      <c r="J57" s="430" t="s">
        <v>1351</v>
      </c>
      <c r="K57" s="426"/>
      <c r="L57" s="428"/>
      <c r="M57" s="426"/>
      <c r="N57" s="428"/>
      <c r="O57" s="426"/>
      <c r="P57" s="429" t="n">
        <f aca="false">SUM(I57:O57)</f>
        <v>10</v>
      </c>
    </row>
    <row r="58" customFormat="false" ht="12.75" hidden="false" customHeight="true" outlineLevel="0" collapsed="false">
      <c r="A58" s="434" t="n">
        <v>2062</v>
      </c>
      <c r="B58" s="441" t="s">
        <v>1118</v>
      </c>
      <c r="C58" s="441" t="s">
        <v>1119</v>
      </c>
      <c r="D58" s="36" t="s">
        <v>8</v>
      </c>
      <c r="E58" s="442" t="n">
        <v>42306</v>
      </c>
      <c r="F58" s="423" t="s">
        <v>143</v>
      </c>
      <c r="G58" s="424" t="n">
        <v>500</v>
      </c>
      <c r="H58" s="430" t="s">
        <v>1351</v>
      </c>
      <c r="I58" s="426" t="n">
        <v>11</v>
      </c>
      <c r="J58" s="430" t="s">
        <v>1351</v>
      </c>
      <c r="K58" s="426"/>
      <c r="L58" s="428"/>
      <c r="M58" s="426"/>
      <c r="N58" s="428"/>
      <c r="O58" s="426"/>
      <c r="P58" s="429" t="n">
        <f aca="false">SUM(I58:O58)</f>
        <v>11</v>
      </c>
    </row>
    <row r="59" customFormat="false" ht="12.75" hidden="false" customHeight="true" outlineLevel="0" collapsed="false">
      <c r="A59" s="434" t="n">
        <v>2014</v>
      </c>
      <c r="B59" s="441" t="s">
        <v>1167</v>
      </c>
      <c r="C59" s="441" t="s">
        <v>838</v>
      </c>
      <c r="D59" s="36" t="s">
        <v>8</v>
      </c>
      <c r="E59" s="442" t="n">
        <v>42660</v>
      </c>
      <c r="F59" s="423" t="s">
        <v>143</v>
      </c>
      <c r="G59" s="424" t="n">
        <v>500</v>
      </c>
      <c r="H59" s="430"/>
      <c r="I59" s="426"/>
      <c r="J59" s="430"/>
      <c r="K59" s="427"/>
      <c r="L59" s="428"/>
      <c r="M59" s="426"/>
      <c r="N59" s="428"/>
      <c r="O59" s="426"/>
      <c r="P59" s="429" t="n">
        <f aca="false">SUM(I59:O59)</f>
        <v>0</v>
      </c>
    </row>
    <row r="60" customFormat="false" ht="12.75" hidden="false" customHeight="true" outlineLevel="0" collapsed="false">
      <c r="A60" s="434" t="n">
        <v>2029</v>
      </c>
      <c r="B60" s="441" t="s">
        <v>1250</v>
      </c>
      <c r="C60" s="441" t="s">
        <v>14</v>
      </c>
      <c r="D60" s="36" t="s">
        <v>8</v>
      </c>
      <c r="E60" s="442" t="n">
        <v>42536</v>
      </c>
      <c r="F60" s="423" t="s">
        <v>143</v>
      </c>
      <c r="G60" s="424" t="n">
        <v>500</v>
      </c>
      <c r="H60" s="430"/>
      <c r="I60" s="426"/>
      <c r="J60" s="430"/>
      <c r="K60" s="426"/>
      <c r="L60" s="428"/>
      <c r="M60" s="426"/>
      <c r="N60" s="428"/>
      <c r="O60" s="426"/>
      <c r="P60" s="429" t="n">
        <f aca="false">SUM(I60:O60)</f>
        <v>0</v>
      </c>
    </row>
    <row r="61" customFormat="false" ht="12.75" hidden="false" customHeight="true" outlineLevel="0" collapsed="false">
      <c r="A61" s="434" t="n">
        <v>2036</v>
      </c>
      <c r="B61" s="229" t="s">
        <v>113</v>
      </c>
      <c r="C61" s="230" t="s">
        <v>114</v>
      </c>
      <c r="D61" s="36" t="s">
        <v>8</v>
      </c>
      <c r="E61" s="442" t="n">
        <v>42469</v>
      </c>
      <c r="F61" s="423" t="s">
        <v>12</v>
      </c>
      <c r="G61" s="424" t="n">
        <v>500</v>
      </c>
      <c r="H61" s="425" t="s">
        <v>1351</v>
      </c>
      <c r="I61" s="426" t="n">
        <v>4</v>
      </c>
      <c r="J61" s="425" t="s">
        <v>1351</v>
      </c>
      <c r="K61" s="427"/>
      <c r="L61" s="428"/>
      <c r="M61" s="426"/>
      <c r="N61" s="428"/>
      <c r="O61" s="426"/>
      <c r="P61" s="429" t="n">
        <f aca="false">SUM(I61:O61)</f>
        <v>4</v>
      </c>
    </row>
    <row r="62" customFormat="false" ht="12.75" hidden="false" customHeight="true" outlineLevel="0" collapsed="false">
      <c r="A62" s="434" t="n">
        <v>2038</v>
      </c>
      <c r="B62" s="229" t="s">
        <v>238</v>
      </c>
      <c r="C62" s="230" t="s">
        <v>239</v>
      </c>
      <c r="D62" s="36" t="s">
        <v>8</v>
      </c>
      <c r="E62" s="442" t="n">
        <v>42457</v>
      </c>
      <c r="F62" s="423" t="s">
        <v>12</v>
      </c>
      <c r="G62" s="424" t="n">
        <v>500</v>
      </c>
      <c r="H62" s="430"/>
      <c r="I62" s="426"/>
      <c r="J62" s="430"/>
      <c r="K62" s="426"/>
      <c r="L62" s="428"/>
      <c r="M62" s="426"/>
      <c r="N62" s="428"/>
      <c r="O62" s="426"/>
      <c r="P62" s="429" t="n">
        <f aca="false">SUM(I62:O62)</f>
        <v>0</v>
      </c>
    </row>
    <row r="63" customFormat="false" ht="12.75" hidden="false" customHeight="true" outlineLevel="0" collapsed="false">
      <c r="A63" s="434" t="n">
        <v>2026</v>
      </c>
      <c r="B63" s="229" t="s">
        <v>282</v>
      </c>
      <c r="C63" s="230" t="s">
        <v>283</v>
      </c>
      <c r="D63" s="36" t="s">
        <v>8</v>
      </c>
      <c r="E63" s="442" t="n">
        <v>42555</v>
      </c>
      <c r="F63" s="423" t="s">
        <v>12</v>
      </c>
      <c r="G63" s="424" t="n">
        <v>500</v>
      </c>
      <c r="H63" s="425"/>
      <c r="I63" s="426"/>
      <c r="J63" s="425"/>
      <c r="K63" s="426"/>
      <c r="L63" s="428"/>
      <c r="M63" s="426"/>
      <c r="N63" s="428"/>
      <c r="O63" s="426"/>
      <c r="P63" s="429" t="n">
        <f aca="false">SUM(I63:O63)</f>
        <v>0</v>
      </c>
    </row>
    <row r="64" customFormat="false" ht="12.75" hidden="false" customHeight="true" outlineLevel="0" collapsed="false">
      <c r="A64" s="434" t="n">
        <v>2101</v>
      </c>
      <c r="B64" s="229" t="s">
        <v>550</v>
      </c>
      <c r="C64" s="230" t="s">
        <v>551</v>
      </c>
      <c r="D64" s="36" t="s">
        <v>26</v>
      </c>
      <c r="E64" s="442" t="n">
        <v>42069</v>
      </c>
      <c r="F64" s="423" t="s">
        <v>12</v>
      </c>
      <c r="G64" s="424" t="n">
        <v>500</v>
      </c>
      <c r="H64" s="430"/>
      <c r="I64" s="426"/>
      <c r="J64" s="430"/>
      <c r="K64" s="426"/>
      <c r="L64" s="428"/>
      <c r="M64" s="426"/>
      <c r="N64" s="428"/>
      <c r="O64" s="426"/>
      <c r="P64" s="429" t="n">
        <f aca="false">SUM(I64:O64)</f>
        <v>0</v>
      </c>
      <c r="U64" s="311"/>
      <c r="V64" s="311"/>
    </row>
    <row r="65" customFormat="false" ht="12.75" hidden="false" customHeight="true" outlineLevel="0" collapsed="false">
      <c r="A65" s="434" t="n">
        <v>2025</v>
      </c>
      <c r="B65" s="229" t="s">
        <v>788</v>
      </c>
      <c r="C65" s="230" t="s">
        <v>789</v>
      </c>
      <c r="D65" s="36" t="s">
        <v>8</v>
      </c>
      <c r="E65" s="442" t="n">
        <v>42558</v>
      </c>
      <c r="F65" s="423" t="s">
        <v>12</v>
      </c>
      <c r="G65" s="424" t="n">
        <v>500</v>
      </c>
      <c r="H65" s="430"/>
      <c r="I65" s="426"/>
      <c r="J65" s="430"/>
      <c r="K65" s="427"/>
      <c r="L65" s="428"/>
      <c r="M65" s="426"/>
      <c r="N65" s="428"/>
      <c r="O65" s="426"/>
      <c r="P65" s="429" t="n">
        <f aca="false">SUM(I65:O65)</f>
        <v>0</v>
      </c>
    </row>
    <row r="66" customFormat="false" ht="12.75" hidden="false" customHeight="true" outlineLevel="0" collapsed="false">
      <c r="A66" s="434" t="n">
        <v>2060</v>
      </c>
      <c r="B66" s="229" t="s">
        <v>852</v>
      </c>
      <c r="C66" s="230" t="s">
        <v>854</v>
      </c>
      <c r="D66" s="36" t="s">
        <v>8</v>
      </c>
      <c r="E66" s="442" t="n">
        <v>42323</v>
      </c>
      <c r="F66" s="423" t="s">
        <v>12</v>
      </c>
      <c r="G66" s="424" t="n">
        <v>500</v>
      </c>
      <c r="H66" s="430"/>
      <c r="I66" s="426"/>
      <c r="J66" s="430"/>
      <c r="K66" s="427"/>
      <c r="L66" s="428"/>
      <c r="M66" s="426"/>
      <c r="N66" s="428"/>
      <c r="O66" s="426"/>
      <c r="P66" s="429" t="n">
        <f aca="false">SUM(I66:O66)</f>
        <v>0</v>
      </c>
    </row>
    <row r="67" customFormat="false" ht="12.75" hidden="false" customHeight="true" outlineLevel="0" collapsed="false">
      <c r="A67" s="434" t="n">
        <v>2048</v>
      </c>
      <c r="B67" s="229" t="s">
        <v>894</v>
      </c>
      <c r="C67" s="230" t="s">
        <v>895</v>
      </c>
      <c r="D67" s="36" t="s">
        <v>8</v>
      </c>
      <c r="E67" s="442" t="n">
        <v>42388</v>
      </c>
      <c r="F67" s="423" t="s">
        <v>12</v>
      </c>
      <c r="G67" s="424" t="n">
        <v>500</v>
      </c>
      <c r="H67" s="430" t="s">
        <v>1351</v>
      </c>
      <c r="I67" s="426" t="n">
        <v>2</v>
      </c>
      <c r="J67" s="430" t="s">
        <v>1351</v>
      </c>
      <c r="K67" s="426"/>
      <c r="L67" s="428"/>
      <c r="M67" s="426"/>
      <c r="N67" s="428"/>
      <c r="O67" s="426"/>
      <c r="P67" s="429" t="n">
        <f aca="false">SUM(I67:O67)</f>
        <v>2</v>
      </c>
    </row>
    <row r="68" customFormat="false" ht="12.75" hidden="false" customHeight="true" outlineLevel="0" collapsed="false">
      <c r="A68" s="434" t="n">
        <v>2099</v>
      </c>
      <c r="B68" s="229" t="s">
        <v>982</v>
      </c>
      <c r="C68" s="230" t="s">
        <v>945</v>
      </c>
      <c r="D68" s="36" t="s">
        <v>8</v>
      </c>
      <c r="E68" s="442" t="n">
        <v>42090</v>
      </c>
      <c r="F68" s="423" t="s">
        <v>12</v>
      </c>
      <c r="G68" s="424" t="n">
        <v>500</v>
      </c>
      <c r="H68" s="430"/>
      <c r="I68" s="426"/>
      <c r="J68" s="430"/>
      <c r="K68" s="427"/>
      <c r="L68" s="428"/>
      <c r="M68" s="426"/>
      <c r="N68" s="428"/>
      <c r="O68" s="426"/>
      <c r="P68" s="429" t="n">
        <f aca="false">SUM(I68:O68)</f>
        <v>0</v>
      </c>
    </row>
    <row r="69" customFormat="false" ht="12.75" hidden="false" customHeight="true" outlineLevel="0" collapsed="false">
      <c r="A69" s="434" t="n">
        <v>2028</v>
      </c>
      <c r="B69" s="229" t="s">
        <v>982</v>
      </c>
      <c r="C69" s="230" t="s">
        <v>983</v>
      </c>
      <c r="D69" s="36" t="s">
        <v>8</v>
      </c>
      <c r="E69" s="442" t="n">
        <v>42538</v>
      </c>
      <c r="F69" s="423" t="s">
        <v>12</v>
      </c>
      <c r="G69" s="424" t="n">
        <v>511</v>
      </c>
      <c r="H69" s="435" t="s">
        <v>1351</v>
      </c>
      <c r="I69" s="427" t="n">
        <v>4</v>
      </c>
      <c r="J69" s="435" t="s">
        <v>1351</v>
      </c>
      <c r="K69" s="427"/>
      <c r="L69" s="436"/>
      <c r="M69" s="427"/>
      <c r="N69" s="436"/>
      <c r="O69" s="427"/>
      <c r="P69" s="437" t="n">
        <f aca="false">SUM(I69:O69)</f>
        <v>4</v>
      </c>
    </row>
    <row r="70" customFormat="false" ht="12.75" hidden="false" customHeight="true" outlineLevel="0" collapsed="false">
      <c r="A70" s="434" t="n">
        <v>2002</v>
      </c>
      <c r="B70" s="229" t="s">
        <v>1076</v>
      </c>
      <c r="C70" s="230" t="s">
        <v>1077</v>
      </c>
      <c r="D70" s="36" t="s">
        <v>8</v>
      </c>
      <c r="E70" s="442" t="n">
        <v>42720</v>
      </c>
      <c r="F70" s="423" t="s">
        <v>12</v>
      </c>
      <c r="G70" s="424" t="n">
        <v>500</v>
      </c>
      <c r="H70" s="430"/>
      <c r="I70" s="426"/>
      <c r="J70" s="430"/>
      <c r="K70" s="427"/>
      <c r="L70" s="428"/>
      <c r="M70" s="426"/>
      <c r="N70" s="428"/>
      <c r="O70" s="426"/>
      <c r="P70" s="429" t="n">
        <f aca="false">SUM(I70:O70)</f>
        <v>0</v>
      </c>
    </row>
    <row r="71" customFormat="false" ht="12.75" hidden="false" customHeight="true" outlineLevel="0" collapsed="false">
      <c r="A71" s="434" t="n">
        <v>2045</v>
      </c>
      <c r="B71" s="229" t="s">
        <v>1130</v>
      </c>
      <c r="C71" s="230" t="s">
        <v>73</v>
      </c>
      <c r="D71" s="36" t="s">
        <v>8</v>
      </c>
      <c r="E71" s="442" t="n">
        <v>42408</v>
      </c>
      <c r="F71" s="423" t="s">
        <v>12</v>
      </c>
      <c r="G71" s="424" t="n">
        <v>500</v>
      </c>
      <c r="H71" s="430"/>
      <c r="I71" s="426"/>
      <c r="J71" s="430"/>
      <c r="K71" s="426"/>
      <c r="L71" s="428"/>
      <c r="M71" s="426"/>
      <c r="N71" s="428"/>
      <c r="O71" s="426"/>
      <c r="P71" s="429" t="n">
        <f aca="false">SUM(I71:O71)</f>
        <v>0</v>
      </c>
    </row>
    <row r="72" customFormat="false" ht="12.75" hidden="false" customHeight="true" outlineLevel="0" collapsed="false">
      <c r="A72" s="434" t="n">
        <v>2094</v>
      </c>
      <c r="B72" s="229" t="s">
        <v>1138</v>
      </c>
      <c r="C72" s="230" t="s">
        <v>1139</v>
      </c>
      <c r="D72" s="36" t="s">
        <v>8</v>
      </c>
      <c r="E72" s="442" t="n">
        <v>42118</v>
      </c>
      <c r="F72" s="423" t="s">
        <v>12</v>
      </c>
      <c r="G72" s="424" t="n">
        <v>500</v>
      </c>
      <c r="H72" s="435" t="s">
        <v>1351</v>
      </c>
      <c r="I72" s="427" t="n">
        <v>9</v>
      </c>
      <c r="J72" s="435" t="s">
        <v>1351</v>
      </c>
      <c r="K72" s="427"/>
      <c r="L72" s="436"/>
      <c r="M72" s="427"/>
      <c r="N72" s="436"/>
      <c r="O72" s="427"/>
      <c r="P72" s="437" t="n">
        <f aca="false">SUM(I72:O72)</f>
        <v>9</v>
      </c>
    </row>
    <row r="73" customFormat="false" ht="12.75" hidden="false" customHeight="true" outlineLevel="0" collapsed="false">
      <c r="A73" s="434" t="n">
        <v>2108</v>
      </c>
      <c r="B73" s="229" t="s">
        <v>1292</v>
      </c>
      <c r="C73" s="230" t="s">
        <v>1293</v>
      </c>
      <c r="D73" s="36" t="s">
        <v>8</v>
      </c>
      <c r="E73" s="442" t="n">
        <v>42040</v>
      </c>
      <c r="F73" s="423" t="s">
        <v>12</v>
      </c>
      <c r="G73" s="424" t="n">
        <v>500</v>
      </c>
      <c r="H73" s="430" t="s">
        <v>1351</v>
      </c>
      <c r="I73" s="426" t="n">
        <v>5</v>
      </c>
      <c r="J73" s="430" t="s">
        <v>1351</v>
      </c>
      <c r="K73" s="426"/>
      <c r="L73" s="428"/>
      <c r="M73" s="426"/>
      <c r="N73" s="428"/>
      <c r="O73" s="426"/>
      <c r="P73" s="429" t="n">
        <f aca="false">SUM(I73:O73)</f>
        <v>5</v>
      </c>
    </row>
    <row r="74" customFormat="false" ht="12.75" hidden="false" customHeight="true" outlineLevel="0" collapsed="false">
      <c r="A74" s="434" t="n">
        <v>2043</v>
      </c>
      <c r="B74" s="443" t="s">
        <v>93</v>
      </c>
      <c r="C74" s="443" t="s">
        <v>94</v>
      </c>
      <c r="D74" s="36" t="s">
        <v>8</v>
      </c>
      <c r="E74" s="442" t="n">
        <v>42411</v>
      </c>
      <c r="F74" s="423" t="s">
        <v>52</v>
      </c>
      <c r="G74" s="424" t="n">
        <v>500</v>
      </c>
      <c r="H74" s="425" t="s">
        <v>1351</v>
      </c>
      <c r="I74" s="426" t="n">
        <v>8</v>
      </c>
      <c r="J74" s="425" t="s">
        <v>1351</v>
      </c>
      <c r="K74" s="427"/>
      <c r="L74" s="428"/>
      <c r="M74" s="426"/>
      <c r="N74" s="428"/>
      <c r="O74" s="426"/>
      <c r="P74" s="429" t="n">
        <f aca="false">SUM(I74:O74)</f>
        <v>8</v>
      </c>
    </row>
    <row r="75" customFormat="false" ht="12.75" hidden="false" customHeight="true" outlineLevel="0" collapsed="false">
      <c r="A75" s="434" t="n">
        <v>2059</v>
      </c>
      <c r="B75" s="443" t="s">
        <v>101</v>
      </c>
      <c r="C75" s="443" t="s">
        <v>37</v>
      </c>
      <c r="D75" s="36" t="s">
        <v>8</v>
      </c>
      <c r="E75" s="442" t="n">
        <v>42335</v>
      </c>
      <c r="F75" s="423" t="s">
        <v>52</v>
      </c>
      <c r="G75" s="424" t="n">
        <v>500</v>
      </c>
      <c r="H75" s="430"/>
      <c r="I75" s="426"/>
      <c r="J75" s="430"/>
      <c r="K75" s="426"/>
      <c r="L75" s="428"/>
      <c r="M75" s="426"/>
      <c r="N75" s="428"/>
      <c r="O75" s="426"/>
      <c r="P75" s="429" t="n">
        <f aca="false">SUM(I75:O75)</f>
        <v>0</v>
      </c>
    </row>
    <row r="76" customFormat="false" ht="12.75" hidden="false" customHeight="true" outlineLevel="0" collapsed="false">
      <c r="A76" s="434" t="n">
        <v>2102</v>
      </c>
      <c r="B76" s="443" t="s">
        <v>120</v>
      </c>
      <c r="C76" s="443" t="s">
        <v>121</v>
      </c>
      <c r="D76" s="36" t="s">
        <v>8</v>
      </c>
      <c r="E76" s="442" t="n">
        <v>42066</v>
      </c>
      <c r="F76" s="423" t="s">
        <v>52</v>
      </c>
      <c r="G76" s="424" t="n">
        <v>500</v>
      </c>
      <c r="H76" s="430" t="s">
        <v>1351</v>
      </c>
      <c r="I76" s="426" t="n">
        <v>2</v>
      </c>
      <c r="J76" s="430" t="s">
        <v>1351</v>
      </c>
      <c r="K76" s="426"/>
      <c r="L76" s="428"/>
      <c r="M76" s="426"/>
      <c r="N76" s="428"/>
      <c r="O76" s="426"/>
      <c r="P76" s="429" t="n">
        <f aca="false">SUM(I76:O76)</f>
        <v>2</v>
      </c>
    </row>
    <row r="77" customFormat="false" ht="12.75" hidden="false" customHeight="true" outlineLevel="0" collapsed="false">
      <c r="A77" s="434" t="n">
        <v>2047</v>
      </c>
      <c r="B77" s="443" t="s">
        <v>170</v>
      </c>
      <c r="C77" s="443" t="s">
        <v>171</v>
      </c>
      <c r="D77" s="36" t="s">
        <v>8</v>
      </c>
      <c r="E77" s="442" t="n">
        <v>42393</v>
      </c>
      <c r="F77" s="423" t="s">
        <v>52</v>
      </c>
      <c r="G77" s="424" t="n">
        <v>500</v>
      </c>
      <c r="H77" s="430"/>
      <c r="I77" s="426"/>
      <c r="J77" s="430"/>
      <c r="K77" s="426"/>
      <c r="L77" s="428"/>
      <c r="M77" s="426"/>
      <c r="N77" s="428"/>
      <c r="O77" s="426"/>
      <c r="P77" s="429" t="n">
        <f aca="false">SUM(I77:O77)</f>
        <v>0</v>
      </c>
    </row>
    <row r="78" customFormat="false" ht="12.75" hidden="false" customHeight="true" outlineLevel="0" collapsed="false">
      <c r="A78" s="434" t="n">
        <v>2006</v>
      </c>
      <c r="B78" s="443" t="s">
        <v>234</v>
      </c>
      <c r="C78" s="443" t="s">
        <v>235</v>
      </c>
      <c r="D78" s="36" t="s">
        <v>8</v>
      </c>
      <c r="E78" s="442" t="n">
        <v>42692</v>
      </c>
      <c r="F78" s="423" t="s">
        <v>52</v>
      </c>
      <c r="G78" s="424" t="n">
        <v>500</v>
      </c>
      <c r="H78" s="430"/>
      <c r="I78" s="426"/>
      <c r="J78" s="430"/>
      <c r="K78" s="426"/>
      <c r="L78" s="428"/>
      <c r="M78" s="426"/>
      <c r="N78" s="428"/>
      <c r="O78" s="426"/>
      <c r="P78" s="429" t="n">
        <f aca="false">SUM(I78:O78)</f>
        <v>0</v>
      </c>
    </row>
    <row r="79" customFormat="false" ht="12.75" hidden="false" customHeight="true" outlineLevel="0" collapsed="false">
      <c r="A79" s="434" t="n">
        <v>2105</v>
      </c>
      <c r="B79" s="443" t="s">
        <v>293</v>
      </c>
      <c r="C79" s="443" t="s">
        <v>294</v>
      </c>
      <c r="D79" s="36" t="s">
        <v>8</v>
      </c>
      <c r="E79" s="442" t="n">
        <v>42059</v>
      </c>
      <c r="F79" s="423" t="s">
        <v>52</v>
      </c>
      <c r="G79" s="424" t="n">
        <v>500</v>
      </c>
      <c r="H79" s="430"/>
      <c r="I79" s="426"/>
      <c r="J79" s="430"/>
      <c r="K79" s="426"/>
      <c r="L79" s="428"/>
      <c r="M79" s="426"/>
      <c r="N79" s="428"/>
      <c r="O79" s="426"/>
      <c r="P79" s="429" t="n">
        <f aca="false">SUM(I79:O79)</f>
        <v>0</v>
      </c>
    </row>
    <row r="80" customFormat="false" ht="12.75" hidden="false" customHeight="true" outlineLevel="0" collapsed="false">
      <c r="A80" s="434" t="n">
        <v>2049</v>
      </c>
      <c r="B80" s="443" t="s">
        <v>339</v>
      </c>
      <c r="C80" s="443" t="s">
        <v>244</v>
      </c>
      <c r="D80" s="36" t="s">
        <v>8</v>
      </c>
      <c r="E80" s="442" t="n">
        <v>42384</v>
      </c>
      <c r="F80" s="423" t="s">
        <v>52</v>
      </c>
      <c r="G80" s="424" t="n">
        <v>500</v>
      </c>
      <c r="H80" s="430"/>
      <c r="I80" s="426"/>
      <c r="J80" s="430"/>
      <c r="K80" s="426"/>
      <c r="L80" s="428"/>
      <c r="M80" s="426"/>
      <c r="N80" s="428"/>
      <c r="O80" s="426"/>
      <c r="P80" s="429" t="n">
        <f aca="false">SUM(I80:O80)</f>
        <v>0</v>
      </c>
    </row>
    <row r="81" customFormat="false" ht="12.75" hidden="false" customHeight="true" outlineLevel="0" collapsed="false">
      <c r="A81" s="434" t="n">
        <v>2109</v>
      </c>
      <c r="B81" s="443" t="s">
        <v>405</v>
      </c>
      <c r="C81" s="443" t="s">
        <v>406</v>
      </c>
      <c r="D81" s="36" t="s">
        <v>8</v>
      </c>
      <c r="E81" s="442" t="n">
        <v>42031</v>
      </c>
      <c r="F81" s="423" t="s">
        <v>52</v>
      </c>
      <c r="G81" s="424" t="n">
        <v>500</v>
      </c>
      <c r="H81" s="430" t="s">
        <v>1351</v>
      </c>
      <c r="I81" s="426" t="n">
        <v>1</v>
      </c>
      <c r="J81" s="430" t="s">
        <v>1351</v>
      </c>
      <c r="K81" s="426"/>
      <c r="L81" s="428"/>
      <c r="M81" s="426"/>
      <c r="N81" s="428"/>
      <c r="O81" s="426"/>
      <c r="P81" s="429" t="n">
        <f aca="false">SUM(I81:O81)</f>
        <v>1</v>
      </c>
    </row>
    <row r="82" customFormat="false" ht="12.75" hidden="false" customHeight="true" outlineLevel="0" collapsed="false">
      <c r="A82" s="434" t="n">
        <v>2112</v>
      </c>
      <c r="B82" s="443" t="s">
        <v>434</v>
      </c>
      <c r="C82" s="443" t="s">
        <v>201</v>
      </c>
      <c r="D82" s="36" t="s">
        <v>8</v>
      </c>
      <c r="E82" s="442" t="n">
        <v>42010</v>
      </c>
      <c r="F82" s="423" t="s">
        <v>52</v>
      </c>
      <c r="G82" s="424" t="n">
        <v>500</v>
      </c>
      <c r="H82" s="425" t="s">
        <v>1351</v>
      </c>
      <c r="I82" s="426" t="n">
        <v>12</v>
      </c>
      <c r="J82" s="425" t="s">
        <v>1351</v>
      </c>
      <c r="K82" s="426"/>
      <c r="L82" s="428"/>
      <c r="M82" s="426"/>
      <c r="N82" s="428"/>
      <c r="O82" s="426"/>
      <c r="P82" s="429" t="n">
        <f aca="false">SUM(I82:O82)</f>
        <v>12</v>
      </c>
      <c r="U82" s="311"/>
      <c r="V82" s="311"/>
    </row>
    <row r="83" customFormat="false" ht="12.75" hidden="false" customHeight="true" outlineLevel="0" collapsed="false">
      <c r="A83" s="434" t="n">
        <v>2033</v>
      </c>
      <c r="B83" s="443" t="s">
        <v>452</v>
      </c>
      <c r="C83" s="443" t="s">
        <v>214</v>
      </c>
      <c r="D83" s="36" t="s">
        <v>8</v>
      </c>
      <c r="E83" s="442" t="n">
        <v>42492</v>
      </c>
      <c r="F83" s="423" t="s">
        <v>52</v>
      </c>
      <c r="G83" s="424" t="n">
        <v>500</v>
      </c>
      <c r="H83" s="430"/>
      <c r="I83" s="426"/>
      <c r="J83" s="430"/>
      <c r="K83" s="426"/>
      <c r="L83" s="428"/>
      <c r="M83" s="426"/>
      <c r="N83" s="428"/>
      <c r="O83" s="426"/>
      <c r="P83" s="429" t="n">
        <f aca="false">SUM(I83:O83)</f>
        <v>0</v>
      </c>
    </row>
    <row r="84" customFormat="false" ht="12.75" hidden="false" customHeight="true" outlineLevel="0" collapsed="false">
      <c r="A84" s="434" t="n">
        <v>2022</v>
      </c>
      <c r="B84" s="443" t="s">
        <v>479</v>
      </c>
      <c r="C84" s="443" t="s">
        <v>228</v>
      </c>
      <c r="D84" s="36" t="s">
        <v>8</v>
      </c>
      <c r="E84" s="442" t="n">
        <v>42570</v>
      </c>
      <c r="F84" s="423" t="s">
        <v>52</v>
      </c>
      <c r="G84" s="424" t="n">
        <v>500</v>
      </c>
      <c r="H84" s="430"/>
      <c r="I84" s="426"/>
      <c r="J84" s="430"/>
      <c r="K84" s="426"/>
      <c r="L84" s="428"/>
      <c r="M84" s="426"/>
      <c r="N84" s="428"/>
      <c r="O84" s="426"/>
      <c r="P84" s="429" t="n">
        <f aca="false">SUM(I84:O84)</f>
        <v>0</v>
      </c>
      <c r="U84" s="311"/>
      <c r="V84" s="311"/>
    </row>
    <row r="85" customFormat="false" ht="12.75" hidden="false" customHeight="true" outlineLevel="0" collapsed="false">
      <c r="A85" s="434" t="n">
        <v>2035</v>
      </c>
      <c r="B85" s="443" t="s">
        <v>555</v>
      </c>
      <c r="C85" s="443" t="s">
        <v>556</v>
      </c>
      <c r="D85" s="36" t="s">
        <v>8</v>
      </c>
      <c r="E85" s="442" t="n">
        <v>42474</v>
      </c>
      <c r="F85" s="423" t="s">
        <v>52</v>
      </c>
      <c r="G85" s="424" t="n">
        <v>519</v>
      </c>
      <c r="H85" s="430"/>
      <c r="I85" s="426"/>
      <c r="J85" s="430"/>
      <c r="K85" s="426"/>
      <c r="L85" s="428"/>
      <c r="M85" s="426"/>
      <c r="N85" s="428"/>
      <c r="O85" s="426"/>
      <c r="P85" s="429" t="n">
        <f aca="false">SUM(I85:O85)</f>
        <v>0</v>
      </c>
    </row>
    <row r="86" customFormat="false" ht="12.75" hidden="false" customHeight="true" outlineLevel="0" collapsed="false">
      <c r="A86" s="434" t="n">
        <v>2096</v>
      </c>
      <c r="B86" s="443" t="s">
        <v>585</v>
      </c>
      <c r="C86" s="443" t="s">
        <v>63</v>
      </c>
      <c r="D86" s="36" t="s">
        <v>8</v>
      </c>
      <c r="E86" s="442" t="n">
        <v>42112</v>
      </c>
      <c r="F86" s="423" t="s">
        <v>52</v>
      </c>
      <c r="G86" s="424" t="n">
        <v>500</v>
      </c>
      <c r="H86" s="435"/>
      <c r="I86" s="427"/>
      <c r="J86" s="435"/>
      <c r="K86" s="427"/>
      <c r="L86" s="436"/>
      <c r="M86" s="427"/>
      <c r="N86" s="436"/>
      <c r="O86" s="427"/>
      <c r="P86" s="437" t="n">
        <f aca="false">SUM(I86:O86)</f>
        <v>0</v>
      </c>
    </row>
    <row r="87" customFormat="false" ht="12.75" hidden="false" customHeight="true" outlineLevel="0" collapsed="false">
      <c r="A87" s="434" t="n">
        <v>2044</v>
      </c>
      <c r="B87" s="443" t="s">
        <v>603</v>
      </c>
      <c r="C87" s="443" t="s">
        <v>604</v>
      </c>
      <c r="D87" s="36" t="s">
        <v>8</v>
      </c>
      <c r="E87" s="442" t="n">
        <v>42411</v>
      </c>
      <c r="F87" s="423" t="s">
        <v>52</v>
      </c>
      <c r="G87" s="424" t="n">
        <v>500</v>
      </c>
      <c r="H87" s="430"/>
      <c r="I87" s="426"/>
      <c r="J87" s="430"/>
      <c r="K87" s="426"/>
      <c r="L87" s="428"/>
      <c r="M87" s="426"/>
      <c r="N87" s="428"/>
      <c r="O87" s="426"/>
      <c r="P87" s="429" t="n">
        <f aca="false">SUM(I87:O87)</f>
        <v>0</v>
      </c>
    </row>
    <row r="88" customFormat="false" ht="12.75" hidden="false" customHeight="true" outlineLevel="0" collapsed="false">
      <c r="A88" s="434" t="n">
        <v>2050</v>
      </c>
      <c r="B88" s="443" t="s">
        <v>621</v>
      </c>
      <c r="C88" s="443" t="s">
        <v>622</v>
      </c>
      <c r="D88" s="36" t="s">
        <v>26</v>
      </c>
      <c r="E88" s="442" t="n">
        <v>42384</v>
      </c>
      <c r="F88" s="423" t="s">
        <v>52</v>
      </c>
      <c r="G88" s="424" t="n">
        <v>500</v>
      </c>
      <c r="H88" s="430"/>
      <c r="I88" s="426"/>
      <c r="J88" s="430"/>
      <c r="K88" s="427"/>
      <c r="L88" s="428"/>
      <c r="M88" s="426"/>
      <c r="N88" s="428"/>
      <c r="O88" s="426"/>
      <c r="P88" s="429" t="n">
        <f aca="false">SUM(I88:O88)</f>
        <v>0</v>
      </c>
    </row>
    <row r="89" customFormat="false" ht="12.75" hidden="false" customHeight="true" outlineLevel="0" collapsed="false">
      <c r="A89" s="434" t="n">
        <v>2068</v>
      </c>
      <c r="B89" s="443" t="s">
        <v>656</v>
      </c>
      <c r="C89" s="443" t="s">
        <v>112</v>
      </c>
      <c r="D89" s="36" t="s">
        <v>8</v>
      </c>
      <c r="E89" s="442" t="n">
        <v>42266</v>
      </c>
      <c r="F89" s="423" t="s">
        <v>52</v>
      </c>
      <c r="G89" s="424" t="n">
        <v>500</v>
      </c>
      <c r="H89" s="430"/>
      <c r="I89" s="426"/>
      <c r="J89" s="430"/>
      <c r="K89" s="426"/>
      <c r="L89" s="428"/>
      <c r="M89" s="426"/>
      <c r="N89" s="428"/>
      <c r="O89" s="426"/>
      <c r="P89" s="429" t="n">
        <f aca="false">SUM(I89:O89)</f>
        <v>0</v>
      </c>
    </row>
    <row r="90" customFormat="false" ht="12.75" hidden="false" customHeight="true" outlineLevel="0" collapsed="false">
      <c r="A90" s="434" t="n">
        <v>2070</v>
      </c>
      <c r="B90" s="443" t="s">
        <v>682</v>
      </c>
      <c r="C90" s="443" t="s">
        <v>400</v>
      </c>
      <c r="D90" s="36" t="s">
        <v>8</v>
      </c>
      <c r="E90" s="442" t="n">
        <v>42261</v>
      </c>
      <c r="F90" s="423" t="s">
        <v>52</v>
      </c>
      <c r="G90" s="424" t="n">
        <v>500</v>
      </c>
      <c r="H90" s="430"/>
      <c r="I90" s="426"/>
      <c r="J90" s="430"/>
      <c r="K90" s="426"/>
      <c r="L90" s="428"/>
      <c r="M90" s="426"/>
      <c r="N90" s="428"/>
      <c r="O90" s="426"/>
      <c r="P90" s="429" t="n">
        <f aca="false">SUM(I90:O90)</f>
        <v>0</v>
      </c>
    </row>
    <row r="91" s="444" customFormat="true" ht="12.75" hidden="false" customHeight="true" outlineLevel="0" collapsed="false">
      <c r="A91" s="434" t="n">
        <v>2040</v>
      </c>
      <c r="B91" s="443" t="s">
        <v>699</v>
      </c>
      <c r="C91" s="443" t="s">
        <v>700</v>
      </c>
      <c r="D91" s="36" t="s">
        <v>8</v>
      </c>
      <c r="E91" s="442" t="n">
        <v>42454</v>
      </c>
      <c r="F91" s="423" t="s">
        <v>52</v>
      </c>
      <c r="G91" s="424" t="n">
        <v>500</v>
      </c>
      <c r="H91" s="430" t="s">
        <v>1351</v>
      </c>
      <c r="I91" s="426" t="n">
        <v>10</v>
      </c>
      <c r="J91" s="430" t="s">
        <v>1351</v>
      </c>
      <c r="K91" s="426"/>
      <c r="L91" s="428"/>
      <c r="M91" s="426"/>
      <c r="N91" s="428"/>
      <c r="O91" s="426"/>
      <c r="P91" s="429" t="n">
        <f aca="false">SUM(I91:O91)</f>
        <v>10</v>
      </c>
      <c r="Q91" s="396"/>
      <c r="R91" s="396"/>
      <c r="S91" s="396"/>
      <c r="T91" s="396"/>
      <c r="U91" s="396"/>
      <c r="V91" s="396"/>
    </row>
    <row r="92" customFormat="false" ht="12.75" hidden="false" customHeight="true" outlineLevel="0" collapsed="false">
      <c r="A92" s="434" t="n">
        <v>2010</v>
      </c>
      <c r="B92" s="443" t="s">
        <v>704</v>
      </c>
      <c r="C92" s="443" t="s">
        <v>217</v>
      </c>
      <c r="D92" s="36" t="s">
        <v>8</v>
      </c>
      <c r="E92" s="442" t="n">
        <v>42671</v>
      </c>
      <c r="F92" s="423" t="s">
        <v>52</v>
      </c>
      <c r="G92" s="424" t="n">
        <v>500</v>
      </c>
      <c r="H92" s="430" t="s">
        <v>1351</v>
      </c>
      <c r="I92" s="426" t="n">
        <v>1</v>
      </c>
      <c r="J92" s="430" t="s">
        <v>1351</v>
      </c>
      <c r="K92" s="427"/>
      <c r="L92" s="428"/>
      <c r="M92" s="426"/>
      <c r="N92" s="428"/>
      <c r="O92" s="426"/>
      <c r="P92" s="429" t="n">
        <f aca="false">SUM(I92:O92)</f>
        <v>1</v>
      </c>
    </row>
    <row r="93" customFormat="false" ht="12.75" hidden="false" customHeight="true" outlineLevel="0" collapsed="false">
      <c r="A93" s="434" t="n">
        <v>2111</v>
      </c>
      <c r="B93" s="443" t="s">
        <v>721</v>
      </c>
      <c r="C93" s="443" t="s">
        <v>723</v>
      </c>
      <c r="D93" s="36" t="s">
        <v>8</v>
      </c>
      <c r="E93" s="442" t="n">
        <v>42019</v>
      </c>
      <c r="F93" s="423" t="s">
        <v>52</v>
      </c>
      <c r="G93" s="424" t="n">
        <v>500</v>
      </c>
      <c r="H93" s="430"/>
      <c r="I93" s="426"/>
      <c r="J93" s="430"/>
      <c r="K93" s="426"/>
      <c r="L93" s="428"/>
      <c r="M93" s="426"/>
      <c r="N93" s="428"/>
      <c r="O93" s="426"/>
      <c r="P93" s="429" t="n">
        <f aca="false">SUM(I93:O93)</f>
        <v>0</v>
      </c>
    </row>
    <row r="94" customFormat="false" ht="12.75" hidden="false" customHeight="true" outlineLevel="0" collapsed="false">
      <c r="A94" s="434" t="n">
        <v>2017</v>
      </c>
      <c r="B94" s="443" t="s">
        <v>772</v>
      </c>
      <c r="C94" s="443" t="s">
        <v>774</v>
      </c>
      <c r="D94" s="36" t="s">
        <v>8</v>
      </c>
      <c r="E94" s="442" t="n">
        <v>42641</v>
      </c>
      <c r="F94" s="423" t="s">
        <v>52</v>
      </c>
      <c r="G94" s="424" t="n">
        <v>500</v>
      </c>
      <c r="H94" s="430"/>
      <c r="I94" s="426"/>
      <c r="J94" s="430"/>
      <c r="K94" s="426"/>
      <c r="L94" s="428"/>
      <c r="M94" s="426"/>
      <c r="N94" s="428"/>
      <c r="O94" s="426"/>
      <c r="P94" s="429" t="n">
        <f aca="false">SUM(I94:O94)</f>
        <v>0</v>
      </c>
      <c r="Q94" s="444"/>
      <c r="R94" s="444"/>
      <c r="S94" s="444"/>
      <c r="T94" s="444"/>
      <c r="U94" s="444"/>
      <c r="V94" s="444"/>
    </row>
    <row r="95" customFormat="false" ht="12.75" hidden="false" customHeight="true" outlineLevel="0" collapsed="false">
      <c r="A95" s="434" t="n">
        <v>2032</v>
      </c>
      <c r="B95" s="443" t="s">
        <v>775</v>
      </c>
      <c r="C95" s="443" t="s">
        <v>776</v>
      </c>
      <c r="D95" s="36" t="s">
        <v>8</v>
      </c>
      <c r="E95" s="442" t="n">
        <v>42499</v>
      </c>
      <c r="F95" s="423" t="s">
        <v>52</v>
      </c>
      <c r="G95" s="424" t="n">
        <v>500</v>
      </c>
      <c r="H95" s="430" t="s">
        <v>1351</v>
      </c>
      <c r="I95" s="426" t="n">
        <v>2</v>
      </c>
      <c r="J95" s="430" t="s">
        <v>1351</v>
      </c>
      <c r="K95" s="426"/>
      <c r="L95" s="428"/>
      <c r="M95" s="426"/>
      <c r="N95" s="428"/>
      <c r="O95" s="426"/>
      <c r="P95" s="429" t="n">
        <f aca="false">SUM(I95:O95)</f>
        <v>2</v>
      </c>
    </row>
    <row r="96" customFormat="false" ht="12.75" hidden="false" customHeight="true" outlineLevel="0" collapsed="false">
      <c r="A96" s="434" t="n">
        <v>2076</v>
      </c>
      <c r="B96" s="443" t="s">
        <v>779</v>
      </c>
      <c r="C96" s="443" t="s">
        <v>314</v>
      </c>
      <c r="D96" s="36" t="s">
        <v>8</v>
      </c>
      <c r="E96" s="442" t="n">
        <v>42230</v>
      </c>
      <c r="F96" s="423" t="s">
        <v>52</v>
      </c>
      <c r="G96" s="424" t="n">
        <v>500</v>
      </c>
      <c r="H96" s="430"/>
      <c r="I96" s="426"/>
      <c r="J96" s="430"/>
      <c r="K96" s="426"/>
      <c r="L96" s="428"/>
      <c r="M96" s="426"/>
      <c r="N96" s="428"/>
      <c r="O96" s="426"/>
      <c r="P96" s="429" t="n">
        <f aca="false">SUM(I96:O96)</f>
        <v>0</v>
      </c>
    </row>
    <row r="97" customFormat="false" ht="12.75" hidden="false" customHeight="true" outlineLevel="0" collapsed="false">
      <c r="A97" s="434" t="n">
        <v>2064</v>
      </c>
      <c r="B97" s="443" t="s">
        <v>825</v>
      </c>
      <c r="C97" s="443" t="s">
        <v>826</v>
      </c>
      <c r="D97" s="36" t="s">
        <v>8</v>
      </c>
      <c r="E97" s="442" t="n">
        <v>42290</v>
      </c>
      <c r="F97" s="423" t="s">
        <v>52</v>
      </c>
      <c r="G97" s="424" t="n">
        <v>500</v>
      </c>
      <c r="H97" s="425"/>
      <c r="I97" s="426"/>
      <c r="J97" s="425"/>
      <c r="K97" s="426"/>
      <c r="L97" s="428"/>
      <c r="M97" s="426"/>
      <c r="N97" s="428"/>
      <c r="O97" s="426"/>
      <c r="P97" s="429" t="n">
        <f aca="false">SUM(I97:O97)</f>
        <v>0</v>
      </c>
    </row>
    <row r="98" customFormat="false" ht="12.75" hidden="false" customHeight="true" outlineLevel="0" collapsed="false">
      <c r="A98" s="434" t="n">
        <v>2088</v>
      </c>
      <c r="B98" s="443" t="s">
        <v>827</v>
      </c>
      <c r="C98" s="443" t="s">
        <v>127</v>
      </c>
      <c r="D98" s="36" t="s">
        <v>8</v>
      </c>
      <c r="E98" s="442" t="n">
        <v>42163</v>
      </c>
      <c r="F98" s="423" t="s">
        <v>52</v>
      </c>
      <c r="G98" s="424" t="n">
        <v>500</v>
      </c>
      <c r="H98" s="425"/>
      <c r="I98" s="426"/>
      <c r="J98" s="425"/>
      <c r="K98" s="426"/>
      <c r="L98" s="428"/>
      <c r="M98" s="426"/>
      <c r="N98" s="428"/>
      <c r="O98" s="426"/>
      <c r="P98" s="429" t="n">
        <f aca="false">SUM(I98:O98)</f>
        <v>0</v>
      </c>
    </row>
    <row r="99" customFormat="false" ht="12.75" hidden="false" customHeight="true" outlineLevel="0" collapsed="false">
      <c r="A99" s="434" t="n">
        <v>2056</v>
      </c>
      <c r="B99" s="443" t="s">
        <v>855</v>
      </c>
      <c r="C99" s="443" t="s">
        <v>217</v>
      </c>
      <c r="D99" s="36" t="s">
        <v>8</v>
      </c>
      <c r="E99" s="442" t="n">
        <v>42350</v>
      </c>
      <c r="F99" s="423" t="s">
        <v>52</v>
      </c>
      <c r="G99" s="424" t="n">
        <v>500</v>
      </c>
      <c r="H99" s="430" t="s">
        <v>1351</v>
      </c>
      <c r="I99" s="426" t="n">
        <v>1</v>
      </c>
      <c r="J99" s="430" t="s">
        <v>1351</v>
      </c>
      <c r="K99" s="426"/>
      <c r="L99" s="428"/>
      <c r="M99" s="426"/>
      <c r="N99" s="428"/>
      <c r="O99" s="426"/>
      <c r="P99" s="429" t="n">
        <f aca="false">SUM(I99:O99)</f>
        <v>1</v>
      </c>
    </row>
    <row r="100" customFormat="false" ht="12.75" hidden="false" customHeight="true" outlineLevel="0" collapsed="false">
      <c r="A100" s="434" t="n">
        <v>2030</v>
      </c>
      <c r="B100" s="443" t="s">
        <v>898</v>
      </c>
      <c r="C100" s="443" t="s">
        <v>75</v>
      </c>
      <c r="D100" s="36" t="s">
        <v>8</v>
      </c>
      <c r="E100" s="442" t="n">
        <v>42526</v>
      </c>
      <c r="F100" s="423" t="s">
        <v>52</v>
      </c>
      <c r="G100" s="424" t="n">
        <v>500</v>
      </c>
      <c r="H100" s="430" t="s">
        <v>1351</v>
      </c>
      <c r="I100" s="426" t="n">
        <v>2</v>
      </c>
      <c r="J100" s="430" t="s">
        <v>1351</v>
      </c>
      <c r="K100" s="426"/>
      <c r="L100" s="428"/>
      <c r="M100" s="426"/>
      <c r="N100" s="428"/>
      <c r="O100" s="426"/>
      <c r="P100" s="429" t="n">
        <f aca="false">SUM(I100:O100)</f>
        <v>2</v>
      </c>
    </row>
    <row r="101" customFormat="false" ht="12.75" hidden="false" customHeight="true" outlineLevel="0" collapsed="false">
      <c r="A101" s="434" t="n">
        <v>2061</v>
      </c>
      <c r="B101" s="443" t="s">
        <v>989</v>
      </c>
      <c r="C101" s="443" t="s">
        <v>171</v>
      </c>
      <c r="D101" s="36" t="s">
        <v>8</v>
      </c>
      <c r="E101" s="442" t="n">
        <v>42322</v>
      </c>
      <c r="F101" s="423" t="s">
        <v>52</v>
      </c>
      <c r="G101" s="424" t="n">
        <v>500</v>
      </c>
      <c r="H101" s="430"/>
      <c r="I101" s="426"/>
      <c r="J101" s="430"/>
      <c r="K101" s="426"/>
      <c r="L101" s="428"/>
      <c r="M101" s="426"/>
      <c r="N101" s="428"/>
      <c r="O101" s="426"/>
      <c r="P101" s="429" t="n">
        <f aca="false">SUM(I101:O101)</f>
        <v>0</v>
      </c>
    </row>
    <row r="102" customFormat="false" ht="12.75" hidden="false" customHeight="true" outlineLevel="0" collapsed="false">
      <c r="A102" s="434" t="n">
        <v>2003</v>
      </c>
      <c r="B102" s="443" t="s">
        <v>1015</v>
      </c>
      <c r="C102" s="443" t="s">
        <v>1016</v>
      </c>
      <c r="D102" s="36" t="s">
        <v>8</v>
      </c>
      <c r="E102" s="442" t="n">
        <v>42719</v>
      </c>
      <c r="F102" s="423" t="s">
        <v>52</v>
      </c>
      <c r="G102" s="424" t="n">
        <v>500</v>
      </c>
      <c r="H102" s="430" t="s">
        <v>1351</v>
      </c>
      <c r="I102" s="426" t="n">
        <v>1</v>
      </c>
      <c r="J102" s="430" t="s">
        <v>1351</v>
      </c>
      <c r="K102" s="426"/>
      <c r="L102" s="428"/>
      <c r="M102" s="426"/>
      <c r="N102" s="428"/>
      <c r="O102" s="426"/>
      <c r="P102" s="429" t="n">
        <f aca="false">SUM(I102:O102)</f>
        <v>1</v>
      </c>
    </row>
    <row r="103" customFormat="false" ht="12.75" hidden="false" customHeight="true" outlineLevel="0" collapsed="false">
      <c r="A103" s="434" t="n">
        <v>2004</v>
      </c>
      <c r="B103" s="443" t="s">
        <v>1015</v>
      </c>
      <c r="C103" s="443" t="s">
        <v>1017</v>
      </c>
      <c r="D103" s="36" t="s">
        <v>8</v>
      </c>
      <c r="E103" s="442" t="n">
        <v>42719</v>
      </c>
      <c r="F103" s="423" t="s">
        <v>52</v>
      </c>
      <c r="G103" s="424" t="n">
        <v>500</v>
      </c>
      <c r="H103" s="430" t="s">
        <v>1351</v>
      </c>
      <c r="I103" s="426" t="n">
        <v>1</v>
      </c>
      <c r="J103" s="430" t="s">
        <v>1351</v>
      </c>
      <c r="K103" s="427"/>
      <c r="L103" s="428"/>
      <c r="M103" s="426"/>
      <c r="N103" s="428"/>
      <c r="O103" s="426"/>
      <c r="P103" s="429" t="n">
        <f aca="false">SUM(I103:O103)</f>
        <v>1</v>
      </c>
    </row>
    <row r="104" customFormat="false" ht="12.75" hidden="false" customHeight="true" outlineLevel="0" collapsed="false">
      <c r="A104" s="434" t="n">
        <v>2065</v>
      </c>
      <c r="B104" s="443" t="s">
        <v>1058</v>
      </c>
      <c r="C104" s="443" t="s">
        <v>1059</v>
      </c>
      <c r="D104" s="36" t="s">
        <v>8</v>
      </c>
      <c r="E104" s="442" t="n">
        <v>42284</v>
      </c>
      <c r="F104" s="423" t="s">
        <v>52</v>
      </c>
      <c r="G104" s="424" t="n">
        <v>500</v>
      </c>
      <c r="H104" s="430" t="s">
        <v>1351</v>
      </c>
      <c r="I104" s="426" t="n">
        <v>2</v>
      </c>
      <c r="J104" s="430" t="s">
        <v>1351</v>
      </c>
      <c r="K104" s="426"/>
      <c r="L104" s="428"/>
      <c r="M104" s="426"/>
      <c r="N104" s="428"/>
      <c r="O104" s="426"/>
      <c r="P104" s="429" t="n">
        <f aca="false">SUM(I104:O104)</f>
        <v>2</v>
      </c>
    </row>
    <row r="105" customFormat="false" ht="12.75" hidden="false" customHeight="true" outlineLevel="0" collapsed="false">
      <c r="A105" s="434" t="n">
        <v>2087</v>
      </c>
      <c r="B105" s="443" t="s">
        <v>1116</v>
      </c>
      <c r="C105" s="443" t="s">
        <v>1117</v>
      </c>
      <c r="D105" s="36" t="s">
        <v>8</v>
      </c>
      <c r="E105" s="442" t="n">
        <v>42183</v>
      </c>
      <c r="F105" s="423" t="s">
        <v>52</v>
      </c>
      <c r="G105" s="424" t="n">
        <v>500</v>
      </c>
      <c r="H105" s="430"/>
      <c r="I105" s="426"/>
      <c r="J105" s="430"/>
      <c r="K105" s="426"/>
      <c r="L105" s="428"/>
      <c r="M105" s="426"/>
      <c r="N105" s="428"/>
      <c r="O105" s="426"/>
      <c r="P105" s="429" t="n">
        <f aca="false">SUM(I105:O105)</f>
        <v>0</v>
      </c>
    </row>
    <row r="106" customFormat="false" ht="12.75" hidden="false" customHeight="true" outlineLevel="0" collapsed="false">
      <c r="A106" s="434" t="n">
        <v>2051</v>
      </c>
      <c r="B106" s="443" t="s">
        <v>1190</v>
      </c>
      <c r="C106" s="443" t="s">
        <v>406</v>
      </c>
      <c r="D106" s="36" t="s">
        <v>8</v>
      </c>
      <c r="E106" s="442" t="n">
        <v>42382</v>
      </c>
      <c r="F106" s="423" t="s">
        <v>52</v>
      </c>
      <c r="G106" s="424" t="n">
        <v>539</v>
      </c>
      <c r="H106" s="430" t="s">
        <v>1346</v>
      </c>
      <c r="I106" s="426" t="n">
        <v>13</v>
      </c>
      <c r="J106" s="430" t="s">
        <v>1346</v>
      </c>
      <c r="K106" s="426"/>
      <c r="L106" s="428"/>
      <c r="M106" s="426"/>
      <c r="N106" s="428"/>
      <c r="O106" s="426"/>
      <c r="P106" s="429" t="n">
        <f aca="false">SUM(I106:O106)</f>
        <v>13</v>
      </c>
    </row>
    <row r="107" customFormat="false" ht="12.75" hidden="false" customHeight="true" outlineLevel="0" collapsed="false">
      <c r="A107" s="434" t="n">
        <v>2077</v>
      </c>
      <c r="B107" s="443" t="s">
        <v>1197</v>
      </c>
      <c r="C107" s="443" t="s">
        <v>1198</v>
      </c>
      <c r="D107" s="36" t="s">
        <v>8</v>
      </c>
      <c r="E107" s="442" t="n">
        <v>42229</v>
      </c>
      <c r="F107" s="423" t="s">
        <v>52</v>
      </c>
      <c r="G107" s="424" t="n">
        <v>500</v>
      </c>
      <c r="H107" s="430"/>
      <c r="I107" s="426"/>
      <c r="J107" s="430"/>
      <c r="K107" s="426"/>
      <c r="L107" s="428"/>
      <c r="M107" s="426"/>
      <c r="N107" s="428"/>
      <c r="O107" s="426"/>
      <c r="P107" s="429" t="n">
        <f aca="false">SUM(I107:O107)</f>
        <v>0</v>
      </c>
    </row>
    <row r="108" customFormat="false" ht="12.75" hidden="false" customHeight="true" outlineLevel="0" collapsed="false">
      <c r="A108" s="434" t="n">
        <v>2097</v>
      </c>
      <c r="B108" s="443" t="s">
        <v>1210</v>
      </c>
      <c r="C108" s="443" t="s">
        <v>437</v>
      </c>
      <c r="D108" s="36" t="s">
        <v>8</v>
      </c>
      <c r="E108" s="442" t="n">
        <v>42104</v>
      </c>
      <c r="F108" s="423" t="s">
        <v>52</v>
      </c>
      <c r="G108" s="424" t="n">
        <v>500</v>
      </c>
      <c r="H108" s="430" t="s">
        <v>1351</v>
      </c>
      <c r="I108" s="426" t="n">
        <v>2</v>
      </c>
      <c r="J108" s="430" t="s">
        <v>1351</v>
      </c>
      <c r="K108" s="426"/>
      <c r="L108" s="428"/>
      <c r="M108" s="426"/>
      <c r="N108" s="428"/>
      <c r="O108" s="426"/>
      <c r="P108" s="429" t="n">
        <f aca="false">SUM(I108:O108)</f>
        <v>2</v>
      </c>
    </row>
    <row r="109" customFormat="false" ht="12.75" hidden="false" customHeight="true" outlineLevel="0" collapsed="false">
      <c r="A109" s="434" t="n">
        <v>2023</v>
      </c>
      <c r="B109" s="443" t="s">
        <v>1213</v>
      </c>
      <c r="C109" s="443" t="s">
        <v>1214</v>
      </c>
      <c r="D109" s="36" t="s">
        <v>8</v>
      </c>
      <c r="E109" s="442" t="n">
        <v>42570</v>
      </c>
      <c r="F109" s="423" t="s">
        <v>52</v>
      </c>
      <c r="G109" s="424" t="n">
        <v>500</v>
      </c>
      <c r="H109" s="435"/>
      <c r="I109" s="427"/>
      <c r="J109" s="435"/>
      <c r="K109" s="427"/>
      <c r="L109" s="436"/>
      <c r="M109" s="427"/>
      <c r="N109" s="436"/>
      <c r="O109" s="427"/>
      <c r="P109" s="437" t="n">
        <f aca="false">SUM(I109:O109)</f>
        <v>0</v>
      </c>
    </row>
    <row r="110" customFormat="false" ht="12.75" hidden="false" customHeight="true" outlineLevel="0" collapsed="false">
      <c r="A110" s="434" t="n">
        <v>2013</v>
      </c>
      <c r="B110" s="443" t="s">
        <v>1248</v>
      </c>
      <c r="C110" s="443" t="s">
        <v>1249</v>
      </c>
      <c r="D110" s="36" t="s">
        <v>8</v>
      </c>
      <c r="E110" s="442" t="n">
        <v>42664</v>
      </c>
      <c r="F110" s="423" t="s">
        <v>52</v>
      </c>
      <c r="G110" s="424" t="n">
        <v>500</v>
      </c>
      <c r="H110" s="430"/>
      <c r="I110" s="426"/>
      <c r="J110" s="430"/>
      <c r="K110" s="427"/>
      <c r="L110" s="428"/>
      <c r="M110" s="426"/>
      <c r="N110" s="428"/>
      <c r="O110" s="426"/>
      <c r="P110" s="429" t="n">
        <f aca="false">SUM(I110:O110)</f>
        <v>0</v>
      </c>
    </row>
    <row r="111" customFormat="false" ht="12.75" hidden="false" customHeight="true" outlineLevel="0" collapsed="false">
      <c r="A111" s="434" t="n">
        <v>2071</v>
      </c>
      <c r="B111" s="443" t="s">
        <v>1262</v>
      </c>
      <c r="C111" s="443" t="s">
        <v>527</v>
      </c>
      <c r="D111" s="36" t="s">
        <v>8</v>
      </c>
      <c r="E111" s="442" t="n">
        <v>42258</v>
      </c>
      <c r="F111" s="423" t="s">
        <v>52</v>
      </c>
      <c r="G111" s="424" t="n">
        <v>500</v>
      </c>
      <c r="H111" s="430"/>
      <c r="I111" s="426"/>
      <c r="J111" s="430"/>
      <c r="K111" s="426"/>
      <c r="L111" s="428"/>
      <c r="M111" s="426"/>
      <c r="N111" s="428"/>
      <c r="O111" s="426"/>
      <c r="P111" s="429" t="n">
        <f aca="false">SUM(I111:O111)</f>
        <v>0</v>
      </c>
    </row>
    <row r="112" customFormat="false" ht="12.75" hidden="false" customHeight="true" outlineLevel="0" collapsed="false">
      <c r="A112" s="434" t="n">
        <v>2104</v>
      </c>
      <c r="B112" s="443" t="s">
        <v>1263</v>
      </c>
      <c r="C112" s="443" t="s">
        <v>1264</v>
      </c>
      <c r="D112" s="36" t="s">
        <v>8</v>
      </c>
      <c r="E112" s="442" t="n">
        <v>42065</v>
      </c>
      <c r="F112" s="423" t="s">
        <v>52</v>
      </c>
      <c r="G112" s="424" t="n">
        <v>500</v>
      </c>
      <c r="H112" s="430" t="s">
        <v>1351</v>
      </c>
      <c r="I112" s="426" t="n">
        <v>10</v>
      </c>
      <c r="J112" s="430" t="s">
        <v>1351</v>
      </c>
      <c r="K112" s="426"/>
      <c r="L112" s="428"/>
      <c r="M112" s="426"/>
      <c r="N112" s="428"/>
      <c r="O112" s="426"/>
      <c r="P112" s="429" t="n">
        <f aca="false">SUM(I112:O112)</f>
        <v>10</v>
      </c>
    </row>
    <row r="113" customFormat="false" ht="12.75" hidden="false" customHeight="true" outlineLevel="0" collapsed="false">
      <c r="A113" s="434" t="n">
        <v>2072</v>
      </c>
      <c r="B113" s="443" t="s">
        <v>1283</v>
      </c>
      <c r="C113" s="443" t="s">
        <v>639</v>
      </c>
      <c r="D113" s="36" t="s">
        <v>8</v>
      </c>
      <c r="E113" s="442" t="n">
        <v>42253</v>
      </c>
      <c r="F113" s="423" t="s">
        <v>52</v>
      </c>
      <c r="G113" s="424" t="n">
        <v>500</v>
      </c>
      <c r="H113" s="435"/>
      <c r="I113" s="427"/>
      <c r="J113" s="435"/>
      <c r="K113" s="427"/>
      <c r="L113" s="436"/>
      <c r="M113" s="427"/>
      <c r="N113" s="436"/>
      <c r="O113" s="427"/>
      <c r="P113" s="437" t="n">
        <f aca="false">SUM(I113:O113)</f>
        <v>0</v>
      </c>
    </row>
    <row r="114" customFormat="false" ht="12.75" hidden="false" customHeight="true" outlineLevel="0" collapsed="false">
      <c r="A114" s="434" t="n">
        <v>2054</v>
      </c>
      <c r="B114" s="443" t="s">
        <v>1286</v>
      </c>
      <c r="C114" s="443" t="s">
        <v>214</v>
      </c>
      <c r="D114" s="36" t="s">
        <v>8</v>
      </c>
      <c r="E114" s="442" t="n">
        <v>42358</v>
      </c>
      <c r="F114" s="423" t="s">
        <v>52</v>
      </c>
      <c r="G114" s="424" t="n">
        <v>500</v>
      </c>
      <c r="H114" s="430"/>
      <c r="I114" s="426"/>
      <c r="J114" s="430"/>
      <c r="K114" s="426"/>
      <c r="L114" s="428"/>
      <c r="M114" s="426"/>
      <c r="N114" s="428"/>
      <c r="O114" s="426"/>
      <c r="P114" s="429" t="n">
        <f aca="false">SUM(I114:O114)</f>
        <v>0</v>
      </c>
    </row>
    <row r="115" customFormat="false" ht="12.75" hidden="false" customHeight="true" outlineLevel="0" collapsed="false">
      <c r="A115" s="434" t="n">
        <v>2078</v>
      </c>
      <c r="B115" s="441" t="s">
        <v>661</v>
      </c>
      <c r="C115" s="441" t="s">
        <v>662</v>
      </c>
      <c r="D115" s="36" t="s">
        <v>8</v>
      </c>
      <c r="E115" s="442" t="n">
        <v>42227</v>
      </c>
      <c r="F115" s="423" t="s">
        <v>197</v>
      </c>
      <c r="G115" s="424" t="n">
        <v>500</v>
      </c>
      <c r="H115" s="430"/>
      <c r="I115" s="426"/>
      <c r="J115" s="430"/>
      <c r="K115" s="426"/>
      <c r="L115" s="428"/>
      <c r="M115" s="426"/>
      <c r="N115" s="428"/>
      <c r="O115" s="426"/>
      <c r="P115" s="429" t="n">
        <f aca="false">SUM(I115:O115)</f>
        <v>0</v>
      </c>
    </row>
    <row r="116" customFormat="false" ht="12.75" hidden="false" customHeight="true" outlineLevel="0" collapsed="false">
      <c r="A116" s="434" t="n">
        <v>2093</v>
      </c>
      <c r="B116" s="441" t="s">
        <v>735</v>
      </c>
      <c r="C116" s="441" t="s">
        <v>736</v>
      </c>
      <c r="D116" s="36" t="s">
        <v>8</v>
      </c>
      <c r="E116" s="442" t="n">
        <v>42118</v>
      </c>
      <c r="F116" s="423" t="s">
        <v>197</v>
      </c>
      <c r="G116" s="424" t="n">
        <v>500</v>
      </c>
      <c r="H116" s="430"/>
      <c r="I116" s="426"/>
      <c r="J116" s="430"/>
      <c r="K116" s="426"/>
      <c r="L116" s="428"/>
      <c r="M116" s="426"/>
      <c r="N116" s="428"/>
      <c r="O116" s="426"/>
      <c r="P116" s="429" t="n">
        <f aca="false">SUM(I116:O116)</f>
        <v>0</v>
      </c>
    </row>
    <row r="117" customFormat="false" ht="12.75" hidden="false" customHeight="true" outlineLevel="0" collapsed="false">
      <c r="A117" s="434" t="n">
        <v>2074</v>
      </c>
      <c r="B117" s="441" t="s">
        <v>828</v>
      </c>
      <c r="C117" s="441" t="s">
        <v>132</v>
      </c>
      <c r="D117" s="36" t="s">
        <v>8</v>
      </c>
      <c r="E117" s="442" t="n">
        <v>42242</v>
      </c>
      <c r="F117" s="423" t="s">
        <v>197</v>
      </c>
      <c r="G117" s="424" t="n">
        <v>500</v>
      </c>
      <c r="H117" s="425" t="s">
        <v>1351</v>
      </c>
      <c r="I117" s="426" t="n">
        <v>8</v>
      </c>
      <c r="J117" s="425" t="s">
        <v>1351</v>
      </c>
      <c r="K117" s="426"/>
      <c r="L117" s="428"/>
      <c r="M117" s="426"/>
      <c r="N117" s="428"/>
      <c r="O117" s="426"/>
      <c r="P117" s="429" t="n">
        <f aca="false">SUM(I117:O117)</f>
        <v>8</v>
      </c>
    </row>
    <row r="118" customFormat="false" ht="12.75" hidden="false" customHeight="true" outlineLevel="0" collapsed="false">
      <c r="A118" s="434" t="n">
        <v>2005</v>
      </c>
      <c r="B118" s="441" t="s">
        <v>939</v>
      </c>
      <c r="C118" s="441" t="s">
        <v>629</v>
      </c>
      <c r="D118" s="36" t="s">
        <v>8</v>
      </c>
      <c r="E118" s="442" t="n">
        <v>42710</v>
      </c>
      <c r="F118" s="423" t="s">
        <v>197</v>
      </c>
      <c r="G118" s="424" t="n">
        <v>500</v>
      </c>
      <c r="H118" s="430"/>
      <c r="I118" s="426"/>
      <c r="J118" s="430"/>
      <c r="K118" s="426"/>
      <c r="L118" s="428"/>
      <c r="M118" s="426"/>
      <c r="N118" s="428"/>
      <c r="O118" s="426"/>
      <c r="P118" s="429" t="n">
        <f aca="false">SUM(I118:O118)</f>
        <v>0</v>
      </c>
    </row>
    <row r="119" customFormat="false" ht="12.75" hidden="false" customHeight="true" outlineLevel="0" collapsed="false">
      <c r="A119" s="434" t="n">
        <v>2075</v>
      </c>
      <c r="B119" s="441" t="s">
        <v>1003</v>
      </c>
      <c r="C119" s="441" t="s">
        <v>736</v>
      </c>
      <c r="D119" s="36" t="s">
        <v>8</v>
      </c>
      <c r="E119" s="442" t="n">
        <v>42239</v>
      </c>
      <c r="F119" s="423" t="s">
        <v>197</v>
      </c>
      <c r="G119" s="424" t="n">
        <v>500</v>
      </c>
      <c r="H119" s="430"/>
      <c r="I119" s="426"/>
      <c r="J119" s="430"/>
      <c r="K119" s="426"/>
      <c r="L119" s="428"/>
      <c r="M119" s="426"/>
      <c r="N119" s="428"/>
      <c r="O119" s="426"/>
      <c r="P119" s="429" t="n">
        <f aca="false">SUM(I119:O119)</f>
        <v>0</v>
      </c>
    </row>
    <row r="120" customFormat="false" ht="12.75" hidden="false" customHeight="true" outlineLevel="0" collapsed="false">
      <c r="A120" s="434" t="n">
        <v>2085</v>
      </c>
      <c r="B120" s="441" t="s">
        <v>64</v>
      </c>
      <c r="C120" s="441" t="s">
        <v>65</v>
      </c>
      <c r="D120" s="36" t="s">
        <v>8</v>
      </c>
      <c r="E120" s="445" t="n">
        <v>42192</v>
      </c>
      <c r="F120" s="423" t="s">
        <v>20</v>
      </c>
      <c r="G120" s="424" t="n">
        <v>500</v>
      </c>
      <c r="H120" s="430"/>
      <c r="I120" s="426"/>
      <c r="J120" s="430"/>
      <c r="K120" s="426"/>
      <c r="L120" s="428"/>
      <c r="M120" s="426"/>
      <c r="N120" s="428"/>
      <c r="O120" s="426"/>
      <c r="P120" s="429" t="n">
        <f aca="false">SUM(I120:O120)</f>
        <v>0</v>
      </c>
    </row>
    <row r="121" customFormat="false" ht="12.75" hidden="false" customHeight="true" outlineLevel="0" collapsed="false">
      <c r="A121" s="446" t="n">
        <v>2053</v>
      </c>
      <c r="B121" s="441" t="s">
        <v>213</v>
      </c>
      <c r="C121" s="441" t="s">
        <v>215</v>
      </c>
      <c r="D121" s="36" t="s">
        <v>8</v>
      </c>
      <c r="E121" s="445" t="n">
        <v>42376</v>
      </c>
      <c r="F121" s="423" t="s">
        <v>20</v>
      </c>
      <c r="G121" s="424" t="n">
        <v>500</v>
      </c>
      <c r="H121" s="430"/>
      <c r="I121" s="426"/>
      <c r="J121" s="430"/>
      <c r="K121" s="426"/>
      <c r="L121" s="428"/>
      <c r="M121" s="426"/>
      <c r="N121" s="428"/>
      <c r="O121" s="426"/>
      <c r="P121" s="429" t="n">
        <f aca="false">SUM(I121:O121)</f>
        <v>0</v>
      </c>
    </row>
    <row r="122" customFormat="false" ht="12.75" hidden="false" customHeight="true" outlineLevel="0" collapsed="false">
      <c r="A122" s="434" t="n">
        <v>2020</v>
      </c>
      <c r="B122" s="441" t="s">
        <v>331</v>
      </c>
      <c r="C122" s="441" t="s">
        <v>37</v>
      </c>
      <c r="D122" s="36" t="s">
        <v>8</v>
      </c>
      <c r="E122" s="445" t="n">
        <v>42597</v>
      </c>
      <c r="F122" s="423" t="s">
        <v>20</v>
      </c>
      <c r="G122" s="424" t="n">
        <v>500</v>
      </c>
      <c r="H122" s="430" t="s">
        <v>1351</v>
      </c>
      <c r="I122" s="426" t="n">
        <v>3</v>
      </c>
      <c r="J122" s="430" t="s">
        <v>1351</v>
      </c>
      <c r="K122" s="426"/>
      <c r="L122" s="428"/>
      <c r="M122" s="426"/>
      <c r="N122" s="428"/>
      <c r="O122" s="426"/>
      <c r="P122" s="429" t="n">
        <f aca="false">SUM(I122:O122)</f>
        <v>3</v>
      </c>
    </row>
    <row r="123" customFormat="false" ht="12.75" hidden="false" customHeight="true" outlineLevel="0" collapsed="false">
      <c r="A123" s="434" t="n">
        <v>2016</v>
      </c>
      <c r="B123" s="441" t="s">
        <v>377</v>
      </c>
      <c r="C123" s="441" t="s">
        <v>378</v>
      </c>
      <c r="D123" s="36" t="s">
        <v>8</v>
      </c>
      <c r="E123" s="445" t="n">
        <v>42644</v>
      </c>
      <c r="F123" s="423" t="s">
        <v>20</v>
      </c>
      <c r="G123" s="424" t="n">
        <v>500</v>
      </c>
      <c r="H123" s="430" t="s">
        <v>1351</v>
      </c>
      <c r="I123" s="426" t="n">
        <v>1</v>
      </c>
      <c r="J123" s="430" t="s">
        <v>1351</v>
      </c>
      <c r="K123" s="426"/>
      <c r="L123" s="428"/>
      <c r="M123" s="426"/>
      <c r="N123" s="428"/>
      <c r="O123" s="426"/>
      <c r="P123" s="429" t="n">
        <f aca="false">SUM(I123:O123)</f>
        <v>1</v>
      </c>
    </row>
    <row r="124" customFormat="false" ht="12.75" hidden="false" customHeight="true" outlineLevel="0" collapsed="false">
      <c r="A124" s="434" t="n">
        <v>2031</v>
      </c>
      <c r="B124" s="441" t="s">
        <v>496</v>
      </c>
      <c r="C124" s="441" t="s">
        <v>497</v>
      </c>
      <c r="D124" s="36" t="s">
        <v>8</v>
      </c>
      <c r="E124" s="445" t="n">
        <v>42499</v>
      </c>
      <c r="F124" s="423" t="s">
        <v>20</v>
      </c>
      <c r="G124" s="424" t="n">
        <v>500</v>
      </c>
      <c r="H124" s="430" t="s">
        <v>1351</v>
      </c>
      <c r="I124" s="426" t="n">
        <v>2</v>
      </c>
      <c r="J124" s="430" t="s">
        <v>1351</v>
      </c>
      <c r="K124" s="426"/>
      <c r="L124" s="428"/>
      <c r="M124" s="426"/>
      <c r="N124" s="428"/>
      <c r="O124" s="426"/>
      <c r="P124" s="429" t="n">
        <f aca="false">SUM(I124:O124)</f>
        <v>2</v>
      </c>
    </row>
    <row r="125" customFormat="false" ht="12.75" hidden="false" customHeight="true" outlineLevel="0" collapsed="false">
      <c r="A125" s="434" t="n">
        <v>2110</v>
      </c>
      <c r="B125" s="441" t="s">
        <v>498</v>
      </c>
      <c r="C125" s="441" t="s">
        <v>499</v>
      </c>
      <c r="D125" s="36" t="s">
        <v>8</v>
      </c>
      <c r="E125" s="445" t="n">
        <v>42026</v>
      </c>
      <c r="F125" s="423" t="s">
        <v>20</v>
      </c>
      <c r="G125" s="424" t="n">
        <v>500</v>
      </c>
      <c r="H125" s="430" t="s">
        <v>1351</v>
      </c>
      <c r="I125" s="426" t="n">
        <v>1</v>
      </c>
      <c r="J125" s="430" t="s">
        <v>1351</v>
      </c>
      <c r="K125" s="426"/>
      <c r="L125" s="428"/>
      <c r="M125" s="426"/>
      <c r="N125" s="428"/>
      <c r="O125" s="426"/>
      <c r="P125" s="429" t="n">
        <f aca="false">SUM(I125:O125)</f>
        <v>1</v>
      </c>
    </row>
    <row r="126" customFormat="false" ht="12.75" hidden="false" customHeight="true" outlineLevel="0" collapsed="false">
      <c r="A126" s="434" t="n">
        <v>2039</v>
      </c>
      <c r="B126" s="441" t="s">
        <v>638</v>
      </c>
      <c r="C126" s="441" t="s">
        <v>639</v>
      </c>
      <c r="D126" s="36" t="s">
        <v>8</v>
      </c>
      <c r="E126" s="445" t="n">
        <v>42456</v>
      </c>
      <c r="F126" s="423" t="s">
        <v>20</v>
      </c>
      <c r="G126" s="424" t="n">
        <v>500</v>
      </c>
      <c r="H126" s="430" t="s">
        <v>1351</v>
      </c>
      <c r="I126" s="426" t="n">
        <v>10</v>
      </c>
      <c r="J126" s="430" t="s">
        <v>1351</v>
      </c>
      <c r="K126" s="426"/>
      <c r="L126" s="428"/>
      <c r="M126" s="426"/>
      <c r="N126" s="428"/>
      <c r="O126" s="426"/>
      <c r="P126" s="429" t="n">
        <f aca="false">SUM(I126:O126)</f>
        <v>10</v>
      </c>
    </row>
    <row r="127" customFormat="false" ht="12.75" hidden="false" customHeight="true" outlineLevel="0" collapsed="false">
      <c r="A127" s="434" t="n">
        <v>2103</v>
      </c>
      <c r="B127" s="441" t="s">
        <v>945</v>
      </c>
      <c r="C127" s="441" t="s">
        <v>946</v>
      </c>
      <c r="D127" s="36" t="s">
        <v>8</v>
      </c>
      <c r="E127" s="445" t="n">
        <v>42065</v>
      </c>
      <c r="F127" s="423" t="s">
        <v>20</v>
      </c>
      <c r="G127" s="424" t="n">
        <v>500</v>
      </c>
      <c r="H127" s="430" t="s">
        <v>1351</v>
      </c>
      <c r="I127" s="426" t="n">
        <v>4</v>
      </c>
      <c r="J127" s="430" t="s">
        <v>1351</v>
      </c>
      <c r="K127" s="426"/>
      <c r="L127" s="428"/>
      <c r="M127" s="426"/>
      <c r="N127" s="428"/>
      <c r="O127" s="426"/>
      <c r="P127" s="429" t="n">
        <f aca="false">SUM(I127:O127)</f>
        <v>4</v>
      </c>
    </row>
    <row r="128" customFormat="false" ht="12.75" hidden="false" customHeight="true" outlineLevel="0" collapsed="false">
      <c r="A128" s="434" t="n">
        <v>2037</v>
      </c>
      <c r="B128" s="441" t="s">
        <v>953</v>
      </c>
      <c r="C128" s="441" t="s">
        <v>193</v>
      </c>
      <c r="D128" s="36" t="s">
        <v>8</v>
      </c>
      <c r="E128" s="445" t="n">
        <v>42468</v>
      </c>
      <c r="F128" s="423" t="s">
        <v>20</v>
      </c>
      <c r="G128" s="424" t="n">
        <v>500</v>
      </c>
      <c r="H128" s="430" t="s">
        <v>1351</v>
      </c>
      <c r="I128" s="426" t="n">
        <v>1</v>
      </c>
      <c r="J128" s="430" t="s">
        <v>1351</v>
      </c>
      <c r="K128" s="426"/>
      <c r="L128" s="428"/>
      <c r="M128" s="426"/>
      <c r="N128" s="428"/>
      <c r="O128" s="426"/>
      <c r="P128" s="429" t="n">
        <f aca="false">SUM(I128:O128)</f>
        <v>1</v>
      </c>
    </row>
    <row r="129" customFormat="false" ht="12.75" hidden="false" customHeight="true" outlineLevel="0" collapsed="false">
      <c r="A129" s="434" t="n">
        <v>2058</v>
      </c>
      <c r="B129" s="441" t="s">
        <v>959</v>
      </c>
      <c r="C129" s="441" t="s">
        <v>559</v>
      </c>
      <c r="D129" s="36" t="s">
        <v>8</v>
      </c>
      <c r="E129" s="445" t="n">
        <v>42344</v>
      </c>
      <c r="F129" s="423" t="s">
        <v>20</v>
      </c>
      <c r="G129" s="424" t="n">
        <v>500</v>
      </c>
      <c r="H129" s="430" t="s">
        <v>1351</v>
      </c>
      <c r="I129" s="426" t="n">
        <v>2</v>
      </c>
      <c r="J129" s="430" t="s">
        <v>1351</v>
      </c>
      <c r="K129" s="426"/>
      <c r="L129" s="428"/>
      <c r="M129" s="426"/>
      <c r="N129" s="428"/>
      <c r="O129" s="426"/>
      <c r="P129" s="429" t="n">
        <f aca="false">SUM(I129:O129)</f>
        <v>2</v>
      </c>
    </row>
    <row r="130" customFormat="false" ht="12.75" hidden="false" customHeight="true" outlineLevel="0" collapsed="false">
      <c r="A130" s="434" t="n">
        <v>2015</v>
      </c>
      <c r="B130" s="441" t="s">
        <v>971</v>
      </c>
      <c r="C130" s="441" t="s">
        <v>54</v>
      </c>
      <c r="D130" s="36" t="s">
        <v>8</v>
      </c>
      <c r="E130" s="445" t="n">
        <v>42656</v>
      </c>
      <c r="F130" s="423" t="s">
        <v>20</v>
      </c>
      <c r="G130" s="424" t="n">
        <v>500</v>
      </c>
      <c r="H130" s="435"/>
      <c r="I130" s="427"/>
      <c r="J130" s="435"/>
      <c r="K130" s="427"/>
      <c r="L130" s="436"/>
      <c r="M130" s="427"/>
      <c r="N130" s="436"/>
      <c r="O130" s="427"/>
      <c r="P130" s="437" t="n">
        <f aca="false">SUM(I130:O130)</f>
        <v>0</v>
      </c>
    </row>
    <row r="131" customFormat="false" ht="12.75" hidden="false" customHeight="true" outlineLevel="0" collapsed="false">
      <c r="A131" s="434" t="n">
        <v>2007</v>
      </c>
      <c r="B131" s="441" t="s">
        <v>1004</v>
      </c>
      <c r="C131" s="441" t="s">
        <v>214</v>
      </c>
      <c r="D131" s="36" t="s">
        <v>8</v>
      </c>
      <c r="E131" s="445" t="n">
        <v>42688</v>
      </c>
      <c r="F131" s="423" t="s">
        <v>20</v>
      </c>
      <c r="G131" s="424" t="n">
        <v>500</v>
      </c>
      <c r="H131" s="430" t="s">
        <v>1346</v>
      </c>
      <c r="I131" s="426" t="n">
        <v>2</v>
      </c>
      <c r="J131" s="430" t="s">
        <v>1346</v>
      </c>
      <c r="K131" s="426"/>
      <c r="L131" s="428"/>
      <c r="M131" s="426"/>
      <c r="N131" s="428"/>
      <c r="O131" s="426"/>
      <c r="P131" s="429" t="n">
        <f aca="false">SUM(I131:O131)</f>
        <v>2</v>
      </c>
    </row>
    <row r="132" customFormat="false" ht="12.75" hidden="false" customHeight="true" outlineLevel="0" collapsed="false">
      <c r="A132" s="434" t="n">
        <v>2090</v>
      </c>
      <c r="B132" s="441" t="s">
        <v>1061</v>
      </c>
      <c r="C132" s="441" t="s">
        <v>1062</v>
      </c>
      <c r="D132" s="36" t="s">
        <v>8</v>
      </c>
      <c r="E132" s="445" t="n">
        <v>42154</v>
      </c>
      <c r="F132" s="423" t="s">
        <v>20</v>
      </c>
      <c r="G132" s="424" t="n">
        <v>500</v>
      </c>
      <c r="H132" s="430"/>
      <c r="I132" s="426"/>
      <c r="J132" s="430"/>
      <c r="K132" s="426"/>
      <c r="L132" s="428"/>
      <c r="M132" s="426"/>
      <c r="N132" s="428"/>
      <c r="O132" s="426"/>
      <c r="P132" s="429" t="n">
        <f aca="false">SUM(I132:O132)</f>
        <v>0</v>
      </c>
    </row>
    <row r="133" customFormat="false" ht="12.75" hidden="false" customHeight="true" outlineLevel="0" collapsed="false">
      <c r="A133" s="434" t="n">
        <v>2008</v>
      </c>
      <c r="B133" s="441" t="s">
        <v>1203</v>
      </c>
      <c r="C133" s="441" t="s">
        <v>574</v>
      </c>
      <c r="D133" s="36" t="s">
        <v>8</v>
      </c>
      <c r="E133" s="445" t="n">
        <v>42688</v>
      </c>
      <c r="F133" s="423" t="s">
        <v>20</v>
      </c>
      <c r="G133" s="424" t="n">
        <v>500</v>
      </c>
      <c r="H133" s="425" t="s">
        <v>1351</v>
      </c>
      <c r="I133" s="426" t="n">
        <v>9</v>
      </c>
      <c r="J133" s="425" t="s">
        <v>1351</v>
      </c>
      <c r="K133" s="426"/>
      <c r="L133" s="428"/>
      <c r="M133" s="426"/>
      <c r="N133" s="428"/>
      <c r="O133" s="426"/>
      <c r="P133" s="429" t="n">
        <f aca="false">SUM(I133:O133)</f>
        <v>9</v>
      </c>
    </row>
    <row r="134" customFormat="false" ht="12.75" hidden="false" customHeight="true" outlineLevel="0" collapsed="false">
      <c r="A134" s="434" t="n">
        <v>2012</v>
      </c>
      <c r="B134" s="447" t="s">
        <v>68</v>
      </c>
      <c r="C134" s="447" t="s">
        <v>69</v>
      </c>
      <c r="D134" s="36" t="s">
        <v>26</v>
      </c>
      <c r="E134" s="442" t="n">
        <v>42666</v>
      </c>
      <c r="F134" s="423" t="s">
        <v>29</v>
      </c>
      <c r="G134" s="424" t="n">
        <v>500</v>
      </c>
      <c r="H134" s="430"/>
      <c r="I134" s="426"/>
      <c r="J134" s="430"/>
      <c r="K134" s="426"/>
      <c r="L134" s="428"/>
      <c r="M134" s="426"/>
      <c r="N134" s="428"/>
      <c r="O134" s="426"/>
      <c r="P134" s="429" t="n">
        <f aca="false">SUM(I134:O134)</f>
        <v>0</v>
      </c>
    </row>
    <row r="135" customFormat="false" ht="12.75" hidden="false" customHeight="true" outlineLevel="0" collapsed="false">
      <c r="A135" s="434" t="n">
        <v>2052</v>
      </c>
      <c r="B135" s="448" t="s">
        <v>188</v>
      </c>
      <c r="C135" s="449" t="s">
        <v>189</v>
      </c>
      <c r="D135" s="36" t="s">
        <v>8</v>
      </c>
      <c r="E135" s="442" t="n">
        <v>42377</v>
      </c>
      <c r="F135" s="423" t="s">
        <v>29</v>
      </c>
      <c r="G135" s="424" t="n">
        <v>500</v>
      </c>
      <c r="H135" s="430" t="s">
        <v>1351</v>
      </c>
      <c r="I135" s="426" t="n">
        <v>5</v>
      </c>
      <c r="J135" s="430" t="s">
        <v>1351</v>
      </c>
      <c r="K135" s="426"/>
      <c r="L135" s="428"/>
      <c r="M135" s="426"/>
      <c r="N135" s="428"/>
      <c r="O135" s="426"/>
      <c r="P135" s="429" t="n">
        <f aca="false">SUM(I135:O135)</f>
        <v>5</v>
      </c>
    </row>
    <row r="136" customFormat="false" ht="12.75" hidden="false" customHeight="true" outlineLevel="0" collapsed="false">
      <c r="A136" s="434" t="n">
        <v>2086</v>
      </c>
      <c r="B136" s="448" t="s">
        <v>200</v>
      </c>
      <c r="C136" s="449" t="s">
        <v>201</v>
      </c>
      <c r="D136" s="36" t="s">
        <v>8</v>
      </c>
      <c r="E136" s="442" t="n">
        <v>42185</v>
      </c>
      <c r="F136" s="423" t="s">
        <v>29</v>
      </c>
      <c r="G136" s="424" t="n">
        <v>500</v>
      </c>
      <c r="H136" s="430" t="s">
        <v>1351</v>
      </c>
      <c r="I136" s="426" t="n">
        <v>2</v>
      </c>
      <c r="J136" s="430" t="s">
        <v>1351</v>
      </c>
      <c r="K136" s="426"/>
      <c r="L136" s="428"/>
      <c r="M136" s="426"/>
      <c r="N136" s="428"/>
      <c r="O136" s="426"/>
      <c r="P136" s="429" t="n">
        <f aca="false">SUM(I136:O136)</f>
        <v>2</v>
      </c>
    </row>
    <row r="137" customFormat="false" ht="12.75" hidden="false" customHeight="true" outlineLevel="0" collapsed="false">
      <c r="A137" s="434" t="n">
        <v>2009</v>
      </c>
      <c r="B137" s="448" t="s">
        <v>204</v>
      </c>
      <c r="C137" s="449" t="s">
        <v>205</v>
      </c>
      <c r="D137" s="36" t="s">
        <v>8</v>
      </c>
      <c r="E137" s="442" t="n">
        <v>42674</v>
      </c>
      <c r="F137" s="423" t="s">
        <v>29</v>
      </c>
      <c r="G137" s="424" t="n">
        <v>500</v>
      </c>
      <c r="H137" s="430"/>
      <c r="I137" s="426"/>
      <c r="J137" s="430"/>
      <c r="K137" s="426"/>
      <c r="L137" s="428"/>
      <c r="M137" s="426"/>
      <c r="N137" s="428"/>
      <c r="O137" s="426"/>
      <c r="P137" s="429" t="n">
        <f aca="false">SUM(I137:O137)</f>
        <v>0</v>
      </c>
    </row>
    <row r="138" customFormat="false" ht="12.75" hidden="false" customHeight="true" outlineLevel="0" collapsed="false">
      <c r="A138" s="434" t="n">
        <v>2042</v>
      </c>
      <c r="B138" s="447" t="s">
        <v>279</v>
      </c>
      <c r="C138" s="447" t="s">
        <v>280</v>
      </c>
      <c r="D138" s="36" t="s">
        <v>26</v>
      </c>
      <c r="E138" s="442" t="n">
        <v>42416</v>
      </c>
      <c r="F138" s="423" t="s">
        <v>29</v>
      </c>
      <c r="G138" s="424" t="n">
        <v>500</v>
      </c>
      <c r="H138" s="425"/>
      <c r="I138" s="426"/>
      <c r="J138" s="425"/>
      <c r="K138" s="426"/>
      <c r="L138" s="428"/>
      <c r="M138" s="426"/>
      <c r="N138" s="428"/>
      <c r="O138" s="426"/>
      <c r="P138" s="429" t="n">
        <f aca="false">SUM(I138:O138)</f>
        <v>0</v>
      </c>
    </row>
    <row r="139" customFormat="false" ht="12.75" hidden="false" customHeight="true" outlineLevel="0" collapsed="false">
      <c r="A139" s="434" t="n">
        <v>2095</v>
      </c>
      <c r="B139" s="448" t="s">
        <v>367</v>
      </c>
      <c r="C139" s="449" t="s">
        <v>368</v>
      </c>
      <c r="D139" s="36" t="s">
        <v>8</v>
      </c>
      <c r="E139" s="442" t="n">
        <v>42114</v>
      </c>
      <c r="F139" s="423" t="s">
        <v>29</v>
      </c>
      <c r="G139" s="424" t="n">
        <v>500</v>
      </c>
      <c r="H139" s="430"/>
      <c r="I139" s="426"/>
      <c r="J139" s="430"/>
      <c r="K139" s="426"/>
      <c r="L139" s="428"/>
      <c r="M139" s="426"/>
      <c r="N139" s="428"/>
      <c r="O139" s="426"/>
      <c r="P139" s="429" t="n">
        <f aca="false">SUM(I139:O139)</f>
        <v>0</v>
      </c>
    </row>
    <row r="140" customFormat="false" ht="12.75" hidden="false" customHeight="true" outlineLevel="0" collapsed="false">
      <c r="A140" s="434" t="n">
        <v>2089</v>
      </c>
      <c r="B140" s="448" t="s">
        <v>449</v>
      </c>
      <c r="C140" s="449" t="s">
        <v>450</v>
      </c>
      <c r="D140" s="36" t="s">
        <v>8</v>
      </c>
      <c r="E140" s="442" t="n">
        <v>42161</v>
      </c>
      <c r="F140" s="423" t="s">
        <v>29</v>
      </c>
      <c r="G140" s="424" t="n">
        <v>500</v>
      </c>
      <c r="H140" s="430" t="s">
        <v>1351</v>
      </c>
      <c r="I140" s="426" t="n">
        <v>2</v>
      </c>
      <c r="J140" s="430" t="s">
        <v>1351</v>
      </c>
      <c r="K140" s="426"/>
      <c r="L140" s="428"/>
      <c r="M140" s="426"/>
      <c r="N140" s="428"/>
      <c r="O140" s="426"/>
      <c r="P140" s="429" t="n">
        <f aca="false">SUM(I140:O140)</f>
        <v>2</v>
      </c>
    </row>
    <row r="141" customFormat="false" ht="12.75" hidden="false" customHeight="true" outlineLevel="0" collapsed="false">
      <c r="A141" s="434" t="n">
        <v>2024</v>
      </c>
      <c r="B141" s="447" t="s">
        <v>472</v>
      </c>
      <c r="C141" s="447" t="s">
        <v>337</v>
      </c>
      <c r="D141" s="36" t="s">
        <v>26</v>
      </c>
      <c r="E141" s="442" t="n">
        <v>42568</v>
      </c>
      <c r="F141" s="423" t="s">
        <v>29</v>
      </c>
      <c r="G141" s="424" t="n">
        <v>500</v>
      </c>
      <c r="H141" s="430"/>
      <c r="I141" s="426"/>
      <c r="J141" s="430"/>
      <c r="K141" s="426"/>
      <c r="L141" s="428"/>
      <c r="M141" s="426"/>
      <c r="N141" s="428"/>
      <c r="O141" s="426"/>
      <c r="P141" s="429" t="n">
        <f aca="false">SUM(I141:O141)</f>
        <v>0</v>
      </c>
    </row>
    <row r="142" customFormat="false" ht="12.75" hidden="false" customHeight="true" outlineLevel="0" collapsed="false">
      <c r="A142" s="434" t="n">
        <v>2082</v>
      </c>
      <c r="B142" s="448" t="s">
        <v>628</v>
      </c>
      <c r="C142" s="449" t="s">
        <v>629</v>
      </c>
      <c r="D142" s="36" t="s">
        <v>8</v>
      </c>
      <c r="E142" s="442" t="n">
        <v>42208</v>
      </c>
      <c r="F142" s="423" t="s">
        <v>29</v>
      </c>
      <c r="G142" s="424" t="n">
        <v>500</v>
      </c>
      <c r="H142" s="430" t="s">
        <v>1351</v>
      </c>
      <c r="I142" s="426" t="n">
        <v>9</v>
      </c>
      <c r="J142" s="430" t="s">
        <v>1351</v>
      </c>
      <c r="K142" s="426"/>
      <c r="L142" s="428"/>
      <c r="M142" s="426"/>
      <c r="N142" s="428"/>
      <c r="O142" s="426"/>
      <c r="P142" s="429" t="n">
        <f aca="false">SUM(I142:O142)</f>
        <v>9</v>
      </c>
    </row>
    <row r="143" customFormat="false" ht="12.75" hidden="false" customHeight="true" outlineLevel="0" collapsed="false">
      <c r="A143" s="434" t="n">
        <v>2018</v>
      </c>
      <c r="B143" s="448" t="s">
        <v>666</v>
      </c>
      <c r="C143" s="449" t="s">
        <v>667</v>
      </c>
      <c r="D143" s="36" t="s">
        <v>8</v>
      </c>
      <c r="E143" s="442" t="n">
        <v>42637</v>
      </c>
      <c r="F143" s="423" t="s">
        <v>29</v>
      </c>
      <c r="G143" s="424" t="n">
        <v>500</v>
      </c>
      <c r="H143" s="430"/>
      <c r="I143" s="426"/>
      <c r="J143" s="430"/>
      <c r="K143" s="426"/>
      <c r="L143" s="428"/>
      <c r="M143" s="426"/>
      <c r="N143" s="428"/>
      <c r="O143" s="426"/>
      <c r="P143" s="429" t="n">
        <f aca="false">SUM(I143:O143)</f>
        <v>0</v>
      </c>
    </row>
    <row r="144" customFormat="false" ht="12.75" hidden="false" customHeight="true" outlineLevel="0" collapsed="false">
      <c r="A144" s="434" t="n">
        <v>2063</v>
      </c>
      <c r="B144" s="448" t="s">
        <v>741</v>
      </c>
      <c r="C144" s="449" t="s">
        <v>743</v>
      </c>
      <c r="D144" s="36" t="s">
        <v>8</v>
      </c>
      <c r="E144" s="442" t="n">
        <v>42304</v>
      </c>
      <c r="F144" s="423" t="s">
        <v>29</v>
      </c>
      <c r="G144" s="424" t="n">
        <v>500</v>
      </c>
      <c r="H144" s="430"/>
      <c r="I144" s="426"/>
      <c r="J144" s="430"/>
      <c r="K144" s="426"/>
      <c r="L144" s="428"/>
      <c r="M144" s="426"/>
      <c r="N144" s="428"/>
      <c r="O144" s="426"/>
      <c r="P144" s="429" t="n">
        <f aca="false">SUM(I144:O144)</f>
        <v>0</v>
      </c>
    </row>
    <row r="145" customFormat="false" ht="12.75" hidden="false" customHeight="true" outlineLevel="0" collapsed="false">
      <c r="A145" s="434" t="n">
        <v>2067</v>
      </c>
      <c r="B145" s="448" t="s">
        <v>773</v>
      </c>
      <c r="C145" s="449" t="s">
        <v>797</v>
      </c>
      <c r="D145" s="36" t="s">
        <v>8</v>
      </c>
      <c r="E145" s="442" t="n">
        <v>42282</v>
      </c>
      <c r="F145" s="423" t="s">
        <v>29</v>
      </c>
      <c r="G145" s="424" t="n">
        <v>500</v>
      </c>
      <c r="H145" s="430"/>
      <c r="I145" s="426"/>
      <c r="J145" s="430"/>
      <c r="K145" s="426"/>
      <c r="L145" s="428"/>
      <c r="M145" s="426"/>
      <c r="N145" s="428"/>
      <c r="O145" s="426"/>
      <c r="P145" s="429" t="n">
        <f aca="false">SUM(I145:O145)</f>
        <v>0</v>
      </c>
    </row>
    <row r="146" customFormat="false" ht="12.75" hidden="false" customHeight="true" outlineLevel="0" collapsed="false">
      <c r="A146" s="434" t="n">
        <v>2081</v>
      </c>
      <c r="B146" s="448" t="s">
        <v>841</v>
      </c>
      <c r="C146" s="449" t="s">
        <v>171</v>
      </c>
      <c r="D146" s="36" t="s">
        <v>8</v>
      </c>
      <c r="E146" s="442" t="n">
        <v>42213</v>
      </c>
      <c r="F146" s="423" t="s">
        <v>29</v>
      </c>
      <c r="G146" s="424" t="n">
        <v>500</v>
      </c>
      <c r="H146" s="430"/>
      <c r="I146" s="426"/>
      <c r="J146" s="430"/>
      <c r="K146" s="426"/>
      <c r="L146" s="428"/>
      <c r="M146" s="426"/>
      <c r="N146" s="428"/>
      <c r="O146" s="426"/>
      <c r="P146" s="429" t="n">
        <f aca="false">SUM(I146:O146)</f>
        <v>0</v>
      </c>
    </row>
    <row r="147" customFormat="false" ht="12.75" hidden="false" customHeight="true" outlineLevel="0" collapsed="false">
      <c r="A147" s="434" t="n">
        <v>2069</v>
      </c>
      <c r="B147" s="448" t="s">
        <v>846</v>
      </c>
      <c r="C147" s="449" t="s">
        <v>406</v>
      </c>
      <c r="D147" s="36" t="s">
        <v>8</v>
      </c>
      <c r="E147" s="442" t="n">
        <v>42262</v>
      </c>
      <c r="F147" s="423" t="s">
        <v>29</v>
      </c>
      <c r="G147" s="424" t="n">
        <v>500</v>
      </c>
      <c r="H147" s="430"/>
      <c r="I147" s="426"/>
      <c r="J147" s="430"/>
      <c r="K147" s="426"/>
      <c r="L147" s="428"/>
      <c r="M147" s="426"/>
      <c r="N147" s="428"/>
      <c r="O147" s="426"/>
      <c r="P147" s="429" t="n">
        <f aca="false">SUM(I147:O147)</f>
        <v>0</v>
      </c>
    </row>
    <row r="148" customFormat="false" ht="12.75" hidden="false" customHeight="true" outlineLevel="0" collapsed="false">
      <c r="A148" s="434" t="n">
        <v>2000</v>
      </c>
      <c r="B148" s="447" t="s">
        <v>1025</v>
      </c>
      <c r="C148" s="447" t="s">
        <v>875</v>
      </c>
      <c r="D148" s="36" t="s">
        <v>26</v>
      </c>
      <c r="E148" s="442" t="n">
        <v>42731</v>
      </c>
      <c r="F148" s="423" t="s">
        <v>29</v>
      </c>
      <c r="G148" s="424" t="n">
        <v>500</v>
      </c>
      <c r="H148" s="430"/>
      <c r="I148" s="426"/>
      <c r="J148" s="430"/>
      <c r="K148" s="426"/>
      <c r="L148" s="428"/>
      <c r="M148" s="426"/>
      <c r="N148" s="428"/>
      <c r="O148" s="426"/>
      <c r="P148" s="429" t="n">
        <f aca="false">SUM(I148:O148)</f>
        <v>0</v>
      </c>
    </row>
    <row r="149" customFormat="false" ht="12.75" hidden="false" customHeight="true" outlineLevel="0" collapsed="false">
      <c r="A149" s="434" t="n">
        <v>2057</v>
      </c>
      <c r="B149" s="448" t="s">
        <v>1047</v>
      </c>
      <c r="C149" s="449" t="s">
        <v>1048</v>
      </c>
      <c r="D149" s="36" t="s">
        <v>8</v>
      </c>
      <c r="E149" s="442" t="n">
        <v>42350</v>
      </c>
      <c r="F149" s="423" t="s">
        <v>29</v>
      </c>
      <c r="G149" s="424" t="n">
        <v>500</v>
      </c>
      <c r="H149" s="430"/>
      <c r="I149" s="426"/>
      <c r="J149" s="430"/>
      <c r="K149" s="426"/>
      <c r="L149" s="428"/>
      <c r="M149" s="426"/>
      <c r="N149" s="428"/>
      <c r="O149" s="426"/>
      <c r="P149" s="429" t="n">
        <f aca="false">SUM(I149:O149)</f>
        <v>0</v>
      </c>
    </row>
    <row r="150" customFormat="false" ht="12.75" hidden="false" customHeight="true" outlineLevel="0" collapsed="false">
      <c r="A150" s="434" t="n">
        <v>2055</v>
      </c>
      <c r="B150" s="448" t="s">
        <v>1087</v>
      </c>
      <c r="C150" s="449" t="s">
        <v>75</v>
      </c>
      <c r="D150" s="36" t="s">
        <v>8</v>
      </c>
      <c r="E150" s="442" t="n">
        <v>42351</v>
      </c>
      <c r="F150" s="423" t="s">
        <v>29</v>
      </c>
      <c r="G150" s="424" t="n">
        <v>500</v>
      </c>
      <c r="H150" s="430"/>
      <c r="I150" s="426"/>
      <c r="J150" s="430"/>
      <c r="K150" s="426"/>
      <c r="L150" s="428"/>
      <c r="M150" s="426"/>
      <c r="N150" s="428"/>
      <c r="O150" s="426"/>
      <c r="P150" s="429" t="n">
        <f aca="false">SUM(I150:O150)</f>
        <v>0</v>
      </c>
    </row>
    <row r="151" customFormat="false" ht="12.75" hidden="false" customHeight="true" outlineLevel="0" collapsed="false">
      <c r="A151" s="434" t="n">
        <v>2027</v>
      </c>
      <c r="B151" s="448" t="s">
        <v>1122</v>
      </c>
      <c r="C151" s="449" t="s">
        <v>246</v>
      </c>
      <c r="D151" s="36" t="s">
        <v>8</v>
      </c>
      <c r="E151" s="442" t="n">
        <v>42550</v>
      </c>
      <c r="F151" s="423" t="s">
        <v>29</v>
      </c>
      <c r="G151" s="424" t="n">
        <v>500</v>
      </c>
      <c r="H151" s="430"/>
      <c r="I151" s="426"/>
      <c r="J151" s="430"/>
      <c r="K151" s="426"/>
      <c r="L151" s="428"/>
      <c r="M151" s="426"/>
      <c r="N151" s="428"/>
      <c r="O151" s="426"/>
      <c r="P151" s="429" t="n">
        <f aca="false">SUM(I151:O151)</f>
        <v>0</v>
      </c>
    </row>
    <row r="152" customFormat="false" ht="12.75" hidden="false" customHeight="true" outlineLevel="0" collapsed="false">
      <c r="A152" s="434" t="n">
        <v>2106</v>
      </c>
      <c r="B152" s="448" t="s">
        <v>453</v>
      </c>
      <c r="C152" s="448" t="s">
        <v>455</v>
      </c>
      <c r="D152" s="36" t="s">
        <v>8</v>
      </c>
      <c r="E152" s="442" t="n">
        <v>42052</v>
      </c>
      <c r="F152" s="423" t="s">
        <v>129</v>
      </c>
      <c r="G152" s="424" t="n">
        <v>500</v>
      </c>
      <c r="H152" s="425" t="s">
        <v>1351</v>
      </c>
      <c r="I152" s="426" t="n">
        <v>3</v>
      </c>
      <c r="J152" s="425" t="s">
        <v>1351</v>
      </c>
      <c r="K152" s="426"/>
      <c r="L152" s="428"/>
      <c r="M152" s="426"/>
      <c r="N152" s="428"/>
      <c r="O152" s="426"/>
      <c r="P152" s="429" t="n">
        <f aca="false">SUM(I152:O152)</f>
        <v>3</v>
      </c>
    </row>
    <row r="153" customFormat="false" ht="12.75" hidden="false" customHeight="true" outlineLevel="0" collapsed="false">
      <c r="A153" s="434" t="n">
        <v>2019</v>
      </c>
      <c r="B153" s="448" t="s">
        <v>460</v>
      </c>
      <c r="C153" s="448" t="s">
        <v>461</v>
      </c>
      <c r="D153" s="36" t="s">
        <v>8</v>
      </c>
      <c r="E153" s="442" t="n">
        <v>42633</v>
      </c>
      <c r="F153" s="423" t="s">
        <v>129</v>
      </c>
      <c r="G153" s="424" t="n">
        <v>500</v>
      </c>
      <c r="H153" s="425" t="s">
        <v>1351</v>
      </c>
      <c r="I153" s="426" t="n">
        <v>9</v>
      </c>
      <c r="J153" s="425" t="s">
        <v>1351</v>
      </c>
      <c r="K153" s="426"/>
      <c r="L153" s="428"/>
      <c r="M153" s="426"/>
      <c r="N153" s="428"/>
      <c r="O153" s="426"/>
      <c r="P153" s="429" t="n">
        <f aca="false">SUM(I153:O153)</f>
        <v>9</v>
      </c>
    </row>
    <row r="154" customFormat="false" ht="12.75" hidden="false" customHeight="true" outlineLevel="0" collapsed="false">
      <c r="A154" s="434" t="n">
        <v>2034</v>
      </c>
      <c r="B154" s="448" t="s">
        <v>544</v>
      </c>
      <c r="C154" s="448" t="s">
        <v>545</v>
      </c>
      <c r="D154" s="36" t="s">
        <v>8</v>
      </c>
      <c r="E154" s="442" t="n">
        <v>42474</v>
      </c>
      <c r="F154" s="423" t="s">
        <v>129</v>
      </c>
      <c r="G154" s="424" t="n">
        <v>500</v>
      </c>
      <c r="H154" s="425" t="s">
        <v>1351</v>
      </c>
      <c r="I154" s="426" t="n">
        <v>8</v>
      </c>
      <c r="J154" s="425" t="s">
        <v>1351</v>
      </c>
      <c r="K154" s="426"/>
      <c r="L154" s="428"/>
      <c r="M154" s="426"/>
      <c r="N154" s="428"/>
      <c r="O154" s="426"/>
      <c r="P154" s="429" t="n">
        <f aca="false">SUM(I154:O154)</f>
        <v>8</v>
      </c>
    </row>
    <row r="155" customFormat="false" ht="12.75" hidden="false" customHeight="true" outlineLevel="0" collapsed="false">
      <c r="A155" s="434" t="n">
        <v>2001</v>
      </c>
      <c r="B155" s="448" t="s">
        <v>739</v>
      </c>
      <c r="C155" s="448" t="s">
        <v>740</v>
      </c>
      <c r="D155" s="36" t="s">
        <v>8</v>
      </c>
      <c r="E155" s="442" t="n">
        <v>42722</v>
      </c>
      <c r="F155" s="423" t="s">
        <v>129</v>
      </c>
      <c r="G155" s="424" t="n">
        <v>500</v>
      </c>
      <c r="H155" s="430" t="s">
        <v>1351</v>
      </c>
      <c r="I155" s="426" t="n">
        <v>8</v>
      </c>
      <c r="J155" s="430" t="s">
        <v>1351</v>
      </c>
      <c r="K155" s="426"/>
      <c r="L155" s="428"/>
      <c r="M155" s="426"/>
      <c r="N155" s="428"/>
      <c r="O155" s="426"/>
      <c r="P155" s="429" t="n">
        <f aca="false">SUM(I155:O155)</f>
        <v>8</v>
      </c>
    </row>
    <row r="156" customFormat="false" ht="12.75" hidden="false" customHeight="true" outlineLevel="0" collapsed="false">
      <c r="A156" s="434" t="n">
        <v>2091</v>
      </c>
      <c r="B156" s="448" t="s">
        <v>903</v>
      </c>
      <c r="C156" s="448" t="s">
        <v>904</v>
      </c>
      <c r="D156" s="36" t="s">
        <v>8</v>
      </c>
      <c r="E156" s="442" t="n">
        <v>42125</v>
      </c>
      <c r="F156" s="423" t="s">
        <v>129</v>
      </c>
      <c r="G156" s="424" t="n">
        <v>500</v>
      </c>
      <c r="H156" s="430" t="s">
        <v>1351</v>
      </c>
      <c r="I156" s="426" t="n">
        <v>9</v>
      </c>
      <c r="J156" s="430" t="s">
        <v>1351</v>
      </c>
      <c r="K156" s="426"/>
      <c r="L156" s="428"/>
      <c r="M156" s="426"/>
      <c r="N156" s="428"/>
      <c r="O156" s="426"/>
      <c r="P156" s="429" t="n">
        <f aca="false">SUM(I156:O156)</f>
        <v>9</v>
      </c>
    </row>
    <row r="157" customFormat="false" ht="12.75" hidden="false" customHeight="true" outlineLevel="0" collapsed="false">
      <c r="A157" s="434" t="n">
        <v>2092</v>
      </c>
      <c r="B157" s="448" t="s">
        <v>903</v>
      </c>
      <c r="C157" s="448" t="s">
        <v>83</v>
      </c>
      <c r="D157" s="36" t="s">
        <v>8</v>
      </c>
      <c r="E157" s="442" t="n">
        <v>42125</v>
      </c>
      <c r="F157" s="423" t="s">
        <v>129</v>
      </c>
      <c r="G157" s="424" t="n">
        <v>500</v>
      </c>
      <c r="H157" s="430" t="s">
        <v>1351</v>
      </c>
      <c r="I157" s="426" t="n">
        <v>10</v>
      </c>
      <c r="J157" s="430" t="s">
        <v>1351</v>
      </c>
      <c r="K157" s="426"/>
      <c r="L157" s="428"/>
      <c r="M157" s="426"/>
      <c r="N157" s="428"/>
      <c r="O157" s="426"/>
      <c r="P157" s="429" t="n">
        <f aca="false">SUM(I157:O157)</f>
        <v>10</v>
      </c>
    </row>
    <row r="158" customFormat="false" ht="12.75" hidden="false" customHeight="true" outlineLevel="0" collapsed="false">
      <c r="A158" s="434" t="n">
        <v>2011</v>
      </c>
      <c r="B158" s="448" t="s">
        <v>1151</v>
      </c>
      <c r="C158" s="448" t="s">
        <v>43</v>
      </c>
      <c r="D158" s="36" t="s">
        <v>8</v>
      </c>
      <c r="E158" s="442" t="n">
        <v>42669</v>
      </c>
      <c r="F158" s="423" t="s">
        <v>129</v>
      </c>
      <c r="G158" s="424" t="n">
        <v>500</v>
      </c>
      <c r="H158" s="430" t="s">
        <v>1351</v>
      </c>
      <c r="I158" s="426" t="n">
        <v>8</v>
      </c>
      <c r="J158" s="430" t="s">
        <v>1351</v>
      </c>
      <c r="K158" s="426"/>
      <c r="L158" s="428"/>
      <c r="M158" s="426"/>
      <c r="N158" s="428"/>
      <c r="O158" s="426"/>
      <c r="P158" s="429" t="n">
        <f aca="false">SUM(I158:O158)</f>
        <v>8</v>
      </c>
    </row>
    <row r="159" customFormat="false" ht="12.75" hidden="false" customHeight="true" outlineLevel="0" collapsed="false">
      <c r="A159" s="434" t="n">
        <v>2132</v>
      </c>
      <c r="B159" s="450" t="s">
        <v>95</v>
      </c>
      <c r="C159" s="450" t="s">
        <v>47</v>
      </c>
      <c r="D159" s="422" t="s">
        <v>8</v>
      </c>
      <c r="E159" s="451" t="n">
        <v>42334</v>
      </c>
      <c r="F159" s="423" t="s">
        <v>9</v>
      </c>
      <c r="G159" s="424" t="n">
        <v>500</v>
      </c>
      <c r="H159" s="430" t="s">
        <v>1346</v>
      </c>
      <c r="I159" s="426" t="n">
        <v>9</v>
      </c>
      <c r="J159" s="430" t="s">
        <v>1346</v>
      </c>
      <c r="K159" s="426"/>
      <c r="L159" s="428"/>
      <c r="M159" s="426"/>
      <c r="N159" s="428"/>
      <c r="O159" s="426"/>
      <c r="P159" s="429" t="n">
        <f aca="false">SUM(I159:O159)</f>
        <v>9</v>
      </c>
    </row>
    <row r="160" customFormat="false" ht="12.75" hidden="false" customHeight="true" outlineLevel="0" collapsed="false">
      <c r="A160" s="434" t="n">
        <v>2139</v>
      </c>
      <c r="B160" s="450" t="s">
        <v>310</v>
      </c>
      <c r="C160" s="450" t="s">
        <v>311</v>
      </c>
      <c r="D160" s="422" t="s">
        <v>8</v>
      </c>
      <c r="E160" s="451" t="n">
        <v>42239</v>
      </c>
      <c r="F160" s="423" t="s">
        <v>9</v>
      </c>
      <c r="G160" s="424" t="n">
        <v>500</v>
      </c>
      <c r="H160" s="430" t="s">
        <v>1351</v>
      </c>
      <c r="I160" s="426" t="n">
        <v>12</v>
      </c>
      <c r="J160" s="430" t="s">
        <v>1351</v>
      </c>
      <c r="K160" s="426"/>
      <c r="L160" s="428"/>
      <c r="M160" s="426"/>
      <c r="N160" s="428"/>
      <c r="O160" s="426"/>
      <c r="P160" s="429" t="n">
        <f aca="false">SUM(I160:O160)</f>
        <v>12</v>
      </c>
    </row>
    <row r="161" customFormat="false" ht="12.75" hidden="false" customHeight="true" outlineLevel="0" collapsed="false">
      <c r="A161" s="434" t="n">
        <v>2138</v>
      </c>
      <c r="B161" s="450" t="s">
        <v>379</v>
      </c>
      <c r="C161" s="450" t="s">
        <v>380</v>
      </c>
      <c r="D161" s="422" t="s">
        <v>8</v>
      </c>
      <c r="E161" s="451" t="n">
        <v>42601</v>
      </c>
      <c r="F161" s="423" t="s">
        <v>9</v>
      </c>
      <c r="G161" s="424" t="n">
        <v>500</v>
      </c>
      <c r="H161" s="430" t="s">
        <v>1351</v>
      </c>
      <c r="I161" s="426" t="n">
        <v>6</v>
      </c>
      <c r="J161" s="430" t="s">
        <v>1351</v>
      </c>
      <c r="K161" s="426"/>
      <c r="L161" s="428"/>
      <c r="M161" s="426"/>
      <c r="N161" s="428"/>
      <c r="O161" s="426"/>
      <c r="P161" s="429" t="n">
        <f aca="false">SUM(I161:O161)</f>
        <v>6</v>
      </c>
      <c r="Q161" s="311"/>
    </row>
    <row r="162" customFormat="false" ht="12.75" hidden="false" customHeight="true" outlineLevel="0" collapsed="false">
      <c r="A162" s="434" t="n">
        <v>2128</v>
      </c>
      <c r="B162" s="450" t="s">
        <v>415</v>
      </c>
      <c r="C162" s="450" t="s">
        <v>107</v>
      </c>
      <c r="D162" s="422" t="s">
        <v>8</v>
      </c>
      <c r="E162" s="451" t="n">
        <v>42691</v>
      </c>
      <c r="F162" s="423" t="s">
        <v>9</v>
      </c>
      <c r="G162" s="424" t="n">
        <v>500</v>
      </c>
      <c r="H162" s="430"/>
      <c r="I162" s="426"/>
      <c r="J162" s="430"/>
      <c r="K162" s="426"/>
      <c r="L162" s="428"/>
      <c r="M162" s="426"/>
      <c r="N162" s="428"/>
      <c r="O162" s="426"/>
      <c r="P162" s="429" t="n">
        <f aca="false">SUM(I162:O162)</f>
        <v>0</v>
      </c>
    </row>
    <row r="163" customFormat="false" ht="12.75" hidden="false" customHeight="true" outlineLevel="0" collapsed="false">
      <c r="A163" s="434" t="n">
        <v>2130</v>
      </c>
      <c r="B163" s="450" t="s">
        <v>645</v>
      </c>
      <c r="C163" s="450" t="s">
        <v>639</v>
      </c>
      <c r="D163" s="422" t="s">
        <v>8</v>
      </c>
      <c r="E163" s="451" t="n">
        <v>42030</v>
      </c>
      <c r="F163" s="423" t="s">
        <v>9</v>
      </c>
      <c r="G163" s="424" t="n">
        <v>500</v>
      </c>
      <c r="H163" s="430" t="s">
        <v>1351</v>
      </c>
      <c r="I163" s="426" t="n">
        <v>3</v>
      </c>
      <c r="J163" s="430" t="s">
        <v>1351</v>
      </c>
      <c r="K163" s="426"/>
      <c r="L163" s="428"/>
      <c r="M163" s="426"/>
      <c r="N163" s="428"/>
      <c r="O163" s="426"/>
      <c r="P163" s="429" t="n">
        <f aca="false">SUM(I163:O163)</f>
        <v>3</v>
      </c>
    </row>
    <row r="164" customFormat="false" ht="12.75" hidden="false" customHeight="true" outlineLevel="0" collapsed="false">
      <c r="A164" s="434" t="n">
        <v>2137</v>
      </c>
      <c r="B164" s="450" t="s">
        <v>725</v>
      </c>
      <c r="C164" s="450" t="s">
        <v>726</v>
      </c>
      <c r="D164" s="422" t="s">
        <v>8</v>
      </c>
      <c r="E164" s="451" t="n">
        <v>42011</v>
      </c>
      <c r="F164" s="423" t="s">
        <v>9</v>
      </c>
      <c r="G164" s="424" t="n">
        <v>500</v>
      </c>
      <c r="H164" s="430" t="s">
        <v>1351</v>
      </c>
      <c r="I164" s="426" t="n">
        <v>9</v>
      </c>
      <c r="J164" s="430" t="s">
        <v>1351</v>
      </c>
      <c r="K164" s="426"/>
      <c r="L164" s="428"/>
      <c r="M164" s="426"/>
      <c r="N164" s="428"/>
      <c r="O164" s="426"/>
      <c r="P164" s="429" t="n">
        <f aca="false">SUM(I164:O164)</f>
        <v>9</v>
      </c>
    </row>
    <row r="165" customFormat="false" ht="12.75" hidden="false" customHeight="true" outlineLevel="0" collapsed="false">
      <c r="A165" s="434" t="n">
        <v>2136</v>
      </c>
      <c r="B165" s="450" t="s">
        <v>924</v>
      </c>
      <c r="C165" s="450" t="s">
        <v>244</v>
      </c>
      <c r="D165" s="422" t="s">
        <v>8</v>
      </c>
      <c r="E165" s="451" t="n">
        <v>42057</v>
      </c>
      <c r="F165" s="423" t="s">
        <v>9</v>
      </c>
      <c r="G165" s="424" t="n">
        <v>500</v>
      </c>
      <c r="H165" s="430"/>
      <c r="I165" s="426"/>
      <c r="J165" s="430"/>
      <c r="K165" s="426"/>
      <c r="L165" s="428"/>
      <c r="M165" s="426"/>
      <c r="N165" s="428"/>
      <c r="O165" s="426"/>
      <c r="P165" s="429" t="n">
        <f aca="false">SUM(I165:O165)</f>
        <v>0</v>
      </c>
    </row>
    <row r="166" customFormat="false" ht="12.75" hidden="false" customHeight="true" outlineLevel="0" collapsed="false">
      <c r="A166" s="434" t="n">
        <v>2135</v>
      </c>
      <c r="B166" s="450" t="s">
        <v>1043</v>
      </c>
      <c r="C166" s="450" t="s">
        <v>1044</v>
      </c>
      <c r="D166" s="422" t="s">
        <v>8</v>
      </c>
      <c r="E166" s="451" t="n">
        <v>42183</v>
      </c>
      <c r="F166" s="423" t="s">
        <v>9</v>
      </c>
      <c r="G166" s="424" t="n">
        <v>500</v>
      </c>
      <c r="H166" s="430"/>
      <c r="I166" s="426"/>
      <c r="J166" s="430"/>
      <c r="K166" s="426"/>
      <c r="L166" s="428"/>
      <c r="M166" s="426"/>
      <c r="N166" s="428"/>
      <c r="O166" s="426"/>
      <c r="P166" s="429" t="n">
        <f aca="false">SUM(I166:O166)</f>
        <v>0</v>
      </c>
    </row>
    <row r="167" customFormat="false" ht="12.75" hidden="false" customHeight="true" outlineLevel="0" collapsed="false">
      <c r="A167" s="434" t="n">
        <v>2140</v>
      </c>
      <c r="B167" s="450" t="s">
        <v>1085</v>
      </c>
      <c r="C167" s="450" t="s">
        <v>246</v>
      </c>
      <c r="D167" s="422" t="s">
        <v>8</v>
      </c>
      <c r="E167" s="451" t="n">
        <v>42072</v>
      </c>
      <c r="F167" s="423" t="s">
        <v>9</v>
      </c>
      <c r="G167" s="424" t="n">
        <v>500</v>
      </c>
      <c r="H167" s="430" t="s">
        <v>1351</v>
      </c>
      <c r="I167" s="426" t="n">
        <v>8</v>
      </c>
      <c r="J167" s="430" t="s">
        <v>1351</v>
      </c>
      <c r="K167" s="426"/>
      <c r="L167" s="428"/>
      <c r="M167" s="426"/>
      <c r="N167" s="428"/>
      <c r="O167" s="426"/>
      <c r="P167" s="429" t="n">
        <f aca="false">SUM(I167:O167)</f>
        <v>8</v>
      </c>
    </row>
    <row r="168" customFormat="false" ht="12.75" hidden="false" customHeight="true" outlineLevel="0" collapsed="false">
      <c r="A168" s="434" t="n">
        <v>2133</v>
      </c>
      <c r="B168" s="450" t="s">
        <v>1172</v>
      </c>
      <c r="C168" s="450" t="s">
        <v>459</v>
      </c>
      <c r="D168" s="422" t="s">
        <v>8</v>
      </c>
      <c r="E168" s="451" t="n">
        <v>42141</v>
      </c>
      <c r="F168" s="423" t="s">
        <v>9</v>
      </c>
      <c r="G168" s="424" t="n">
        <v>500</v>
      </c>
      <c r="H168" s="430"/>
      <c r="I168" s="426"/>
      <c r="J168" s="430"/>
      <c r="K168" s="426"/>
      <c r="L168" s="428"/>
      <c r="M168" s="426"/>
      <c r="N168" s="428"/>
      <c r="O168" s="426"/>
      <c r="P168" s="429" t="n">
        <f aca="false">SUM(I168:O168)</f>
        <v>0</v>
      </c>
    </row>
    <row r="169" customFormat="false" ht="12.75" hidden="false" customHeight="true" outlineLevel="0" collapsed="false">
      <c r="A169" s="434" t="n">
        <v>2131</v>
      </c>
      <c r="B169" s="450" t="s">
        <v>1229</v>
      </c>
      <c r="C169" s="450" t="s">
        <v>1230</v>
      </c>
      <c r="D169" s="422" t="s">
        <v>8</v>
      </c>
      <c r="E169" s="451" t="n">
        <v>42033</v>
      </c>
      <c r="F169" s="423" t="s">
        <v>9</v>
      </c>
      <c r="G169" s="424" t="n">
        <v>500</v>
      </c>
      <c r="H169" s="430"/>
      <c r="I169" s="426"/>
      <c r="J169" s="430"/>
      <c r="K169" s="426"/>
      <c r="L169" s="428"/>
      <c r="M169" s="426"/>
      <c r="N169" s="428"/>
      <c r="O169" s="426"/>
      <c r="P169" s="429" t="n">
        <f aca="false">SUM(I169:O169)</f>
        <v>0</v>
      </c>
    </row>
    <row r="170" customFormat="false" ht="12.75" hidden="false" customHeight="true" outlineLevel="0" collapsed="false">
      <c r="A170" s="434" t="n">
        <v>2134</v>
      </c>
      <c r="B170" s="450" t="s">
        <v>1232</v>
      </c>
      <c r="C170" s="450" t="s">
        <v>250</v>
      </c>
      <c r="D170" s="422" t="s">
        <v>8</v>
      </c>
      <c r="E170" s="451" t="n">
        <v>42095</v>
      </c>
      <c r="F170" s="423" t="s">
        <v>9</v>
      </c>
      <c r="G170" s="424" t="n">
        <v>500</v>
      </c>
      <c r="H170" s="425" t="s">
        <v>1346</v>
      </c>
      <c r="I170" s="426" t="n">
        <v>11</v>
      </c>
      <c r="J170" s="425" t="s">
        <v>1346</v>
      </c>
      <c r="K170" s="426"/>
      <c r="L170" s="428"/>
      <c r="M170" s="426"/>
      <c r="N170" s="428"/>
      <c r="O170" s="426"/>
      <c r="P170" s="429" t="n">
        <f aca="false">SUM(I170:O170)</f>
        <v>11</v>
      </c>
    </row>
    <row r="171" customFormat="false" ht="12.75" hidden="false" customHeight="true" outlineLevel="0" collapsed="false">
      <c r="A171" s="434" t="n">
        <v>2129</v>
      </c>
      <c r="B171" s="450" t="s">
        <v>1284</v>
      </c>
      <c r="C171" s="450" t="s">
        <v>136</v>
      </c>
      <c r="D171" s="422" t="s">
        <v>8</v>
      </c>
      <c r="E171" s="451" t="n">
        <v>42217</v>
      </c>
      <c r="F171" s="423" t="s">
        <v>9</v>
      </c>
      <c r="G171" s="424" t="n">
        <v>500</v>
      </c>
      <c r="H171" s="430"/>
      <c r="I171" s="426"/>
      <c r="J171" s="430"/>
      <c r="K171" s="426"/>
      <c r="L171" s="428"/>
      <c r="M171" s="426"/>
      <c r="N171" s="428"/>
      <c r="O171" s="426"/>
      <c r="P171" s="429" t="n">
        <f aca="false">SUM(I171:O171)</f>
        <v>0</v>
      </c>
    </row>
    <row r="172" customFormat="false" ht="12.75" hidden="false" customHeight="true" outlineLevel="0" collapsed="false">
      <c r="A172" s="434" t="n">
        <v>2113</v>
      </c>
      <c r="B172" s="421" t="s">
        <v>154</v>
      </c>
      <c r="C172" s="421" t="s">
        <v>155</v>
      </c>
      <c r="D172" s="422" t="s">
        <v>8</v>
      </c>
      <c r="E172" s="104" t="n">
        <v>42617</v>
      </c>
      <c r="F172" s="423" t="s">
        <v>17</v>
      </c>
      <c r="G172" s="424" t="n">
        <v>500</v>
      </c>
      <c r="H172" s="430"/>
      <c r="I172" s="426"/>
      <c r="J172" s="430"/>
      <c r="K172" s="426"/>
      <c r="L172" s="428"/>
      <c r="M172" s="426"/>
      <c r="N172" s="428"/>
      <c r="O172" s="426"/>
      <c r="P172" s="429" t="n">
        <f aca="false">SUM(I172:O172)</f>
        <v>0</v>
      </c>
    </row>
    <row r="173" customFormat="false" ht="12.75" hidden="false" customHeight="true" outlineLevel="0" collapsed="false">
      <c r="A173" s="434" t="n">
        <v>2114</v>
      </c>
      <c r="B173" s="421" t="s">
        <v>225</v>
      </c>
      <c r="C173" s="421" t="s">
        <v>226</v>
      </c>
      <c r="D173" s="422" t="s">
        <v>8</v>
      </c>
      <c r="E173" s="452" t="n">
        <v>42157</v>
      </c>
      <c r="F173" s="423" t="s">
        <v>17</v>
      </c>
      <c r="G173" s="424" t="n">
        <v>500</v>
      </c>
      <c r="H173" s="430"/>
      <c r="I173" s="426"/>
      <c r="J173" s="430"/>
      <c r="K173" s="426"/>
      <c r="L173" s="428"/>
      <c r="M173" s="426"/>
      <c r="N173" s="428"/>
      <c r="O173" s="426"/>
      <c r="P173" s="429" t="n">
        <f aca="false">SUM(I173:O173)</f>
        <v>0</v>
      </c>
    </row>
    <row r="174" customFormat="false" ht="12.75" hidden="false" customHeight="true" outlineLevel="0" collapsed="false">
      <c r="A174" s="434" t="n">
        <v>2115</v>
      </c>
      <c r="B174" s="421" t="s">
        <v>229</v>
      </c>
      <c r="C174" s="421" t="s">
        <v>127</v>
      </c>
      <c r="D174" s="422" t="s">
        <v>8</v>
      </c>
      <c r="E174" s="452" t="n">
        <v>42056</v>
      </c>
      <c r="F174" s="423" t="s">
        <v>17</v>
      </c>
      <c r="G174" s="424" t="n">
        <v>500</v>
      </c>
      <c r="H174" s="430"/>
      <c r="I174" s="426"/>
      <c r="J174" s="430"/>
      <c r="K174" s="426"/>
      <c r="L174" s="428"/>
      <c r="M174" s="426"/>
      <c r="N174" s="428"/>
      <c r="O174" s="426"/>
      <c r="P174" s="429" t="n">
        <f aca="false">SUM(I174:O174)</f>
        <v>0</v>
      </c>
    </row>
    <row r="175" customFormat="false" ht="12.75" hidden="false" customHeight="true" outlineLevel="0" collapsed="false">
      <c r="A175" s="434" t="n">
        <v>2116</v>
      </c>
      <c r="B175" s="421" t="s">
        <v>338</v>
      </c>
      <c r="C175" s="421" t="s">
        <v>318</v>
      </c>
      <c r="D175" s="422" t="s">
        <v>8</v>
      </c>
      <c r="E175" s="104" t="n">
        <v>42410</v>
      </c>
      <c r="F175" s="423" t="s">
        <v>17</v>
      </c>
      <c r="G175" s="424" t="n">
        <v>500</v>
      </c>
      <c r="H175" s="430"/>
      <c r="I175" s="426"/>
      <c r="J175" s="430"/>
      <c r="K175" s="426"/>
      <c r="L175" s="428"/>
      <c r="M175" s="426"/>
      <c r="N175" s="428"/>
      <c r="O175" s="426"/>
      <c r="P175" s="429" t="n">
        <f aca="false">SUM(I175:O175)</f>
        <v>0</v>
      </c>
    </row>
    <row r="176" customFormat="false" ht="12.75" hidden="false" customHeight="true" outlineLevel="0" collapsed="false">
      <c r="A176" s="434" t="n">
        <v>2117</v>
      </c>
      <c r="B176" s="421" t="s">
        <v>431</v>
      </c>
      <c r="C176" s="421" t="s">
        <v>112</v>
      </c>
      <c r="D176" s="422" t="s">
        <v>8</v>
      </c>
      <c r="E176" s="452" t="n">
        <v>42604</v>
      </c>
      <c r="F176" s="423" t="s">
        <v>17</v>
      </c>
      <c r="G176" s="424" t="n">
        <v>500</v>
      </c>
      <c r="H176" s="430"/>
      <c r="I176" s="426"/>
      <c r="J176" s="430"/>
      <c r="K176" s="426"/>
      <c r="L176" s="428"/>
      <c r="M176" s="426"/>
      <c r="N176" s="428"/>
      <c r="O176" s="426"/>
      <c r="P176" s="429" t="n">
        <f aca="false">SUM(I176:O176)</f>
        <v>0</v>
      </c>
    </row>
    <row r="177" customFormat="false" ht="12.75" hidden="false" customHeight="true" outlineLevel="0" collapsed="false">
      <c r="A177" s="434" t="n">
        <v>2118</v>
      </c>
      <c r="B177" s="421" t="s">
        <v>463</v>
      </c>
      <c r="C177" s="421" t="s">
        <v>464</v>
      </c>
      <c r="D177" s="422" t="s">
        <v>8</v>
      </c>
      <c r="E177" s="452" t="n">
        <v>42433</v>
      </c>
      <c r="F177" s="423" t="s">
        <v>17</v>
      </c>
      <c r="G177" s="424" t="n">
        <v>500</v>
      </c>
      <c r="H177" s="430"/>
      <c r="I177" s="426"/>
      <c r="J177" s="430"/>
      <c r="K177" s="426"/>
      <c r="L177" s="428"/>
      <c r="M177" s="426"/>
      <c r="N177" s="428"/>
      <c r="O177" s="426"/>
      <c r="P177" s="429" t="n">
        <f aca="false">SUM(I177:O177)</f>
        <v>0</v>
      </c>
    </row>
    <row r="178" customFormat="false" ht="12.75" hidden="false" customHeight="true" outlineLevel="0" collapsed="false">
      <c r="A178" s="434" t="n">
        <v>2119</v>
      </c>
      <c r="B178" s="421" t="s">
        <v>547</v>
      </c>
      <c r="C178" s="421" t="s">
        <v>217</v>
      </c>
      <c r="D178" s="422" t="s">
        <v>8</v>
      </c>
      <c r="E178" s="104" t="n">
        <v>42616</v>
      </c>
      <c r="F178" s="423" t="s">
        <v>17</v>
      </c>
      <c r="G178" s="424" t="n">
        <v>500</v>
      </c>
      <c r="H178" s="430" t="s">
        <v>1351</v>
      </c>
      <c r="I178" s="426" t="n">
        <v>2</v>
      </c>
      <c r="J178" s="430" t="s">
        <v>1351</v>
      </c>
      <c r="K178" s="426"/>
      <c r="L178" s="428"/>
      <c r="M178" s="426"/>
      <c r="N178" s="428"/>
      <c r="O178" s="426"/>
      <c r="P178" s="429" t="n">
        <f aca="false">SUM(I178:O178)</f>
        <v>2</v>
      </c>
    </row>
    <row r="179" customFormat="false" ht="12.75" hidden="false" customHeight="true" outlineLevel="0" collapsed="false">
      <c r="A179" s="434" t="n">
        <v>2120</v>
      </c>
      <c r="B179" s="450" t="s">
        <v>570</v>
      </c>
      <c r="C179" s="450" t="s">
        <v>571</v>
      </c>
      <c r="D179" s="422" t="s">
        <v>8</v>
      </c>
      <c r="E179" s="104" t="n">
        <v>42361</v>
      </c>
      <c r="F179" s="423" t="s">
        <v>17</v>
      </c>
      <c r="G179" s="424" t="n">
        <v>500</v>
      </c>
      <c r="H179" s="430" t="s">
        <v>1351</v>
      </c>
      <c r="I179" s="426" t="n">
        <v>9</v>
      </c>
      <c r="J179" s="430" t="s">
        <v>1351</v>
      </c>
      <c r="K179" s="426"/>
      <c r="L179" s="428"/>
      <c r="M179" s="426"/>
      <c r="N179" s="428"/>
      <c r="O179" s="426"/>
      <c r="P179" s="429" t="n">
        <f aca="false">SUM(I179:O179)</f>
        <v>9</v>
      </c>
    </row>
    <row r="180" customFormat="false" ht="12.75" hidden="false" customHeight="true" outlineLevel="0" collapsed="false">
      <c r="A180" s="434" t="n">
        <v>2121</v>
      </c>
      <c r="B180" s="450" t="s">
        <v>728</v>
      </c>
      <c r="C180" s="450" t="s">
        <v>729</v>
      </c>
      <c r="D180" s="422" t="s">
        <v>8</v>
      </c>
      <c r="E180" s="104" t="n">
        <v>42478</v>
      </c>
      <c r="F180" s="423" t="s">
        <v>17</v>
      </c>
      <c r="G180" s="424" t="n">
        <v>500</v>
      </c>
      <c r="H180" s="430" t="s">
        <v>1351</v>
      </c>
      <c r="I180" s="426" t="n">
        <v>2</v>
      </c>
      <c r="J180" s="430" t="s">
        <v>1351</v>
      </c>
      <c r="K180" s="426"/>
      <c r="L180" s="428"/>
      <c r="M180" s="426"/>
      <c r="N180" s="428"/>
      <c r="O180" s="426"/>
      <c r="P180" s="429" t="n">
        <f aca="false">SUM(I180:O180)</f>
        <v>2</v>
      </c>
    </row>
    <row r="181" customFormat="false" ht="13.5" hidden="false" customHeight="true" outlineLevel="0" collapsed="false">
      <c r="A181" s="434" t="n">
        <v>2123</v>
      </c>
      <c r="B181" s="450" t="s">
        <v>813</v>
      </c>
      <c r="C181" s="450" t="s">
        <v>814</v>
      </c>
      <c r="D181" s="422" t="s">
        <v>8</v>
      </c>
      <c r="E181" s="453" t="n">
        <v>42106</v>
      </c>
      <c r="F181" s="423" t="s">
        <v>17</v>
      </c>
      <c r="G181" s="424" t="n">
        <v>500</v>
      </c>
      <c r="H181" s="430"/>
      <c r="I181" s="426"/>
      <c r="J181" s="430"/>
      <c r="K181" s="426"/>
      <c r="L181" s="428"/>
      <c r="M181" s="426"/>
      <c r="N181" s="428"/>
      <c r="O181" s="426"/>
      <c r="P181" s="429" t="n">
        <f aca="false">SUM(I181:O181)</f>
        <v>0</v>
      </c>
    </row>
    <row r="182" customFormat="false" ht="12.75" hidden="false" customHeight="true" outlineLevel="0" collapsed="false">
      <c r="A182" s="434" t="n">
        <v>2122</v>
      </c>
      <c r="B182" s="450" t="s">
        <v>836</v>
      </c>
      <c r="C182" s="450" t="s">
        <v>75</v>
      </c>
      <c r="D182" s="422" t="s">
        <v>8</v>
      </c>
      <c r="E182" s="104" t="n">
        <v>42437</v>
      </c>
      <c r="F182" s="423" t="s">
        <v>17</v>
      </c>
      <c r="G182" s="424" t="n">
        <v>500</v>
      </c>
      <c r="H182" s="430" t="s">
        <v>1351</v>
      </c>
      <c r="I182" s="426" t="n">
        <v>9</v>
      </c>
      <c r="J182" s="430" t="s">
        <v>1351</v>
      </c>
      <c r="K182" s="426"/>
      <c r="L182" s="428"/>
      <c r="M182" s="426"/>
      <c r="N182" s="428"/>
      <c r="O182" s="426"/>
      <c r="P182" s="429" t="n">
        <f aca="false">SUM(I182:O182)</f>
        <v>9</v>
      </c>
    </row>
    <row r="183" customFormat="false" ht="12.75" hidden="false" customHeight="true" outlineLevel="0" collapsed="false">
      <c r="A183" s="434" t="n">
        <v>2124</v>
      </c>
      <c r="B183" s="450" t="s">
        <v>873</v>
      </c>
      <c r="C183" s="450" t="s">
        <v>814</v>
      </c>
      <c r="D183" s="422" t="s">
        <v>8</v>
      </c>
      <c r="E183" s="454" t="n">
        <v>42116</v>
      </c>
      <c r="F183" s="423" t="s">
        <v>17</v>
      </c>
      <c r="G183" s="424" t="n">
        <v>500</v>
      </c>
      <c r="H183" s="430"/>
      <c r="I183" s="426"/>
      <c r="J183" s="430"/>
      <c r="K183" s="426"/>
      <c r="L183" s="428"/>
      <c r="M183" s="426"/>
      <c r="N183" s="428"/>
      <c r="O183" s="426"/>
      <c r="P183" s="429" t="n">
        <f aca="false">SUM(I183:O183)</f>
        <v>0</v>
      </c>
    </row>
    <row r="184" customFormat="false" ht="12.75" hidden="false" customHeight="true" outlineLevel="0" collapsed="false">
      <c r="A184" s="434" t="n">
        <v>2126</v>
      </c>
      <c r="B184" s="450" t="s">
        <v>881</v>
      </c>
      <c r="C184" s="450" t="s">
        <v>882</v>
      </c>
      <c r="D184" s="422" t="s">
        <v>26</v>
      </c>
      <c r="E184" s="454" t="n">
        <v>42371</v>
      </c>
      <c r="F184" s="423" t="s">
        <v>17</v>
      </c>
      <c r="G184" s="424" t="n">
        <v>500</v>
      </c>
      <c r="H184" s="430"/>
      <c r="I184" s="426"/>
      <c r="J184" s="430"/>
      <c r="K184" s="426"/>
      <c r="L184" s="428"/>
      <c r="M184" s="426"/>
      <c r="N184" s="428"/>
      <c r="O184" s="426"/>
      <c r="P184" s="429" t="n">
        <f aca="false">SUM(I184:O184)</f>
        <v>0</v>
      </c>
    </row>
    <row r="185" customFormat="false" ht="12.75" hidden="false" customHeight="true" outlineLevel="0" collapsed="false">
      <c r="A185" s="434" t="n">
        <v>2125</v>
      </c>
      <c r="B185" s="450" t="s">
        <v>920</v>
      </c>
      <c r="C185" s="450" t="s">
        <v>14</v>
      </c>
      <c r="D185" s="422" t="s">
        <v>8</v>
      </c>
      <c r="E185" s="454" t="n">
        <v>42579</v>
      </c>
      <c r="F185" s="423" t="s">
        <v>17</v>
      </c>
      <c r="G185" s="424" t="n">
        <v>500</v>
      </c>
      <c r="H185" s="430"/>
      <c r="I185" s="426"/>
      <c r="J185" s="430"/>
      <c r="K185" s="426"/>
      <c r="L185" s="428"/>
      <c r="M185" s="426"/>
      <c r="N185" s="428"/>
      <c r="O185" s="426"/>
      <c r="P185" s="429" t="n">
        <f aca="false">SUM(I185:O185)</f>
        <v>0</v>
      </c>
    </row>
    <row r="186" customFormat="false" ht="12.75" hidden="false" customHeight="true" outlineLevel="0" collapsed="false">
      <c r="A186" s="434" t="n">
        <v>2127</v>
      </c>
      <c r="B186" s="450" t="s">
        <v>1018</v>
      </c>
      <c r="C186" s="450" t="s">
        <v>1019</v>
      </c>
      <c r="D186" s="422" t="s">
        <v>26</v>
      </c>
      <c r="E186" s="454" t="n">
        <v>42411</v>
      </c>
      <c r="F186" s="423" t="s">
        <v>17</v>
      </c>
      <c r="G186" s="424" t="n">
        <v>500</v>
      </c>
      <c r="H186" s="430"/>
      <c r="I186" s="426"/>
      <c r="J186" s="430"/>
      <c r="K186" s="426"/>
      <c r="L186" s="428"/>
      <c r="M186" s="426"/>
      <c r="N186" s="428"/>
      <c r="O186" s="426"/>
      <c r="P186" s="429" t="n">
        <f aca="false">SUM(I186:O186)</f>
        <v>0</v>
      </c>
    </row>
    <row r="187" customFormat="false" ht="15" hidden="false" customHeight="true" outlineLevel="0" collapsed="false">
      <c r="A187" s="396" t="n">
        <v>2179</v>
      </c>
      <c r="B187" s="208" t="s">
        <v>630</v>
      </c>
      <c r="C187" s="39" t="s">
        <v>76</v>
      </c>
      <c r="D187" s="14" t="s">
        <v>8</v>
      </c>
      <c r="E187" s="226"/>
      <c r="F187" s="16" t="s">
        <v>29</v>
      </c>
      <c r="G187" s="424" t="n">
        <v>500</v>
      </c>
      <c r="H187" s="430" t="s">
        <v>1351</v>
      </c>
      <c r="I187" s="426" t="n">
        <v>8</v>
      </c>
      <c r="J187" s="430" t="s">
        <v>1351</v>
      </c>
      <c r="K187" s="426"/>
      <c r="L187" s="428"/>
      <c r="M187" s="426"/>
      <c r="N187" s="428"/>
      <c r="O187" s="426"/>
      <c r="P187" s="429" t="n">
        <f aca="false">SUM(I187:O187)</f>
        <v>8</v>
      </c>
    </row>
    <row r="188" customFormat="false" ht="12.75" hidden="false" customHeight="true" outlineLevel="0" collapsed="false">
      <c r="A188" s="455" t="n">
        <v>2180</v>
      </c>
      <c r="B188" s="82" t="s">
        <v>365</v>
      </c>
      <c r="C188" s="40" t="s">
        <v>738</v>
      </c>
      <c r="D188" s="14" t="s">
        <v>8</v>
      </c>
      <c r="E188" s="59" t="n">
        <v>42008</v>
      </c>
      <c r="F188" s="423" t="s">
        <v>9</v>
      </c>
      <c r="G188" s="424" t="n">
        <v>500</v>
      </c>
      <c r="H188" s="425" t="s">
        <v>1346</v>
      </c>
      <c r="I188" s="426" t="n">
        <v>10</v>
      </c>
      <c r="J188" s="425" t="s">
        <v>1346</v>
      </c>
      <c r="K188" s="426"/>
      <c r="L188" s="428"/>
      <c r="M188" s="426"/>
      <c r="N188" s="428"/>
      <c r="O188" s="426"/>
      <c r="P188" s="429" t="n">
        <f aca="false">SUM(I188:O188)</f>
        <v>10</v>
      </c>
    </row>
    <row r="189" customFormat="false" ht="12.75" hidden="false" customHeight="true" outlineLevel="0" collapsed="false">
      <c r="A189" s="455" t="n">
        <v>2181</v>
      </c>
      <c r="B189" s="82" t="s">
        <v>1352</v>
      </c>
      <c r="C189" s="40" t="s">
        <v>838</v>
      </c>
      <c r="D189" s="14" t="s">
        <v>8</v>
      </c>
      <c r="E189" s="59" t="n">
        <v>42637</v>
      </c>
      <c r="F189" s="423" t="s">
        <v>129</v>
      </c>
      <c r="G189" s="424" t="n">
        <v>500</v>
      </c>
      <c r="H189" s="430" t="s">
        <v>1346</v>
      </c>
      <c r="I189" s="426" t="n">
        <v>9</v>
      </c>
      <c r="J189" s="430" t="s">
        <v>1346</v>
      </c>
      <c r="K189" s="426"/>
      <c r="L189" s="428"/>
      <c r="M189" s="426"/>
      <c r="N189" s="428"/>
      <c r="O189" s="426"/>
      <c r="P189" s="429" t="n">
        <f aca="false">SUM(I189:O189)</f>
        <v>9</v>
      </c>
    </row>
    <row r="190" customFormat="false" ht="12.75" hidden="false" customHeight="true" outlineLevel="0" collapsed="false">
      <c r="A190" s="455" t="n">
        <v>2182</v>
      </c>
      <c r="B190" s="12" t="s">
        <v>1353</v>
      </c>
      <c r="C190" s="13" t="s">
        <v>400</v>
      </c>
      <c r="D190" s="14" t="s">
        <v>8</v>
      </c>
      <c r="E190" s="439" t="n">
        <v>42498</v>
      </c>
      <c r="F190" s="423" t="s">
        <v>129</v>
      </c>
      <c r="G190" s="424" t="n">
        <v>500</v>
      </c>
      <c r="H190" s="430" t="s">
        <v>1346</v>
      </c>
      <c r="I190" s="426" t="n">
        <v>9</v>
      </c>
      <c r="J190" s="430" t="s">
        <v>1346</v>
      </c>
      <c r="K190" s="426"/>
      <c r="L190" s="428"/>
      <c r="M190" s="426"/>
      <c r="N190" s="428"/>
      <c r="O190" s="426"/>
      <c r="P190" s="429" t="n">
        <f aca="false">SUM(I190:O190)</f>
        <v>9</v>
      </c>
    </row>
    <row r="191" customFormat="false" ht="12.75" hidden="false" customHeight="true" outlineLevel="0" collapsed="false">
      <c r="A191" s="455" t="n">
        <v>2183</v>
      </c>
      <c r="B191" s="12" t="s">
        <v>115</v>
      </c>
      <c r="C191" s="13" t="s">
        <v>116</v>
      </c>
      <c r="D191" s="14" t="s">
        <v>8</v>
      </c>
      <c r="E191" s="439" t="n">
        <v>42367</v>
      </c>
      <c r="F191" s="423" t="s">
        <v>9</v>
      </c>
      <c r="G191" s="424" t="n">
        <v>500</v>
      </c>
      <c r="H191" s="430" t="s">
        <v>1346</v>
      </c>
      <c r="I191" s="426" t="n">
        <v>9</v>
      </c>
      <c r="J191" s="430" t="s">
        <v>1346</v>
      </c>
      <c r="K191" s="426"/>
      <c r="L191" s="428"/>
      <c r="M191" s="426"/>
      <c r="N191" s="428"/>
      <c r="O191" s="426"/>
      <c r="P191" s="429" t="n">
        <f aca="false">SUM(I191:O191)</f>
        <v>9</v>
      </c>
    </row>
    <row r="192" customFormat="false" ht="12.75" hidden="false" customHeight="true" outlineLevel="0" collapsed="false">
      <c r="A192" s="455"/>
      <c r="B192" s="12"/>
      <c r="C192" s="13"/>
      <c r="D192" s="14"/>
      <c r="E192" s="439"/>
      <c r="F192" s="423"/>
      <c r="G192" s="456"/>
      <c r="H192" s="430"/>
      <c r="I192" s="426"/>
      <c r="J192" s="428"/>
      <c r="K192" s="426"/>
      <c r="L192" s="428"/>
      <c r="M192" s="426"/>
      <c r="N192" s="428"/>
      <c r="O192" s="426"/>
      <c r="P192" s="429" t="n">
        <f aca="false">SUM(I192:O192)</f>
        <v>0</v>
      </c>
    </row>
    <row r="193" customFormat="false" ht="12.75" hidden="false" customHeight="true" outlineLevel="0" collapsed="false">
      <c r="A193" s="455"/>
      <c r="B193" s="12"/>
      <c r="C193" s="13"/>
      <c r="D193" s="14"/>
      <c r="E193" s="439"/>
      <c r="F193" s="423"/>
      <c r="G193" s="456"/>
      <c r="H193" s="430"/>
      <c r="I193" s="426"/>
      <c r="J193" s="428"/>
      <c r="K193" s="426"/>
      <c r="L193" s="428"/>
      <c r="M193" s="426"/>
      <c r="N193" s="428"/>
      <c r="O193" s="426"/>
      <c r="P193" s="429" t="n">
        <f aca="false">SUM(I193:O193)</f>
        <v>0</v>
      </c>
    </row>
    <row r="194" customFormat="false" ht="12.75" hidden="false" customHeight="true" outlineLevel="0" collapsed="false">
      <c r="A194" s="455"/>
      <c r="B194" s="12"/>
      <c r="C194" s="13"/>
      <c r="D194" s="14"/>
      <c r="E194" s="439"/>
      <c r="F194" s="423"/>
      <c r="G194" s="456"/>
      <c r="H194" s="430"/>
      <c r="I194" s="426"/>
      <c r="J194" s="428"/>
      <c r="K194" s="426"/>
      <c r="L194" s="428"/>
      <c r="M194" s="426"/>
      <c r="N194" s="428"/>
      <c r="O194" s="426"/>
      <c r="P194" s="429" t="n">
        <f aca="false">SUM(I194:O194)</f>
        <v>0</v>
      </c>
    </row>
    <row r="195" customFormat="false" ht="12.75" hidden="false" customHeight="true" outlineLevel="0" collapsed="false">
      <c r="A195" s="455"/>
      <c r="B195" s="12"/>
      <c r="C195" s="13"/>
      <c r="D195" s="14"/>
      <c r="E195" s="439"/>
      <c r="F195" s="423"/>
      <c r="G195" s="456"/>
      <c r="H195" s="430"/>
      <c r="I195" s="426"/>
      <c r="J195" s="428"/>
      <c r="K195" s="426"/>
      <c r="L195" s="428"/>
      <c r="M195" s="426"/>
      <c r="N195" s="428"/>
      <c r="O195" s="426"/>
      <c r="P195" s="429" t="n">
        <f aca="false">SUM(I195:O195)</f>
        <v>0</v>
      </c>
    </row>
    <row r="196" customFormat="false" ht="12.75" hidden="false" customHeight="true" outlineLevel="0" collapsed="false">
      <c r="A196" s="455"/>
      <c r="B196" s="12"/>
      <c r="C196" s="13"/>
      <c r="D196" s="14"/>
      <c r="E196" s="439"/>
      <c r="F196" s="423"/>
      <c r="G196" s="456"/>
      <c r="H196" s="430"/>
      <c r="I196" s="426"/>
      <c r="J196" s="428"/>
      <c r="K196" s="426"/>
      <c r="L196" s="428"/>
      <c r="M196" s="426"/>
      <c r="N196" s="428"/>
      <c r="O196" s="426"/>
      <c r="P196" s="429" t="n">
        <f aca="false">SUM(I196:O196)</f>
        <v>0</v>
      </c>
    </row>
    <row r="197" customFormat="false" ht="12.75" hidden="false" customHeight="true" outlineLevel="0" collapsed="false">
      <c r="A197" s="455"/>
      <c r="B197" s="12"/>
      <c r="C197" s="13"/>
      <c r="D197" s="14"/>
      <c r="E197" s="439"/>
      <c r="F197" s="423"/>
      <c r="G197" s="456"/>
      <c r="H197" s="430"/>
      <c r="I197" s="426"/>
      <c r="J197" s="428"/>
      <c r="K197" s="426"/>
      <c r="L197" s="428"/>
      <c r="M197" s="426"/>
      <c r="N197" s="428"/>
      <c r="O197" s="426"/>
      <c r="P197" s="429" t="n">
        <f aca="false">SUM(I197:O197)</f>
        <v>0</v>
      </c>
    </row>
    <row r="198" customFormat="false" ht="12.75" hidden="false" customHeight="true" outlineLevel="0" collapsed="false">
      <c r="A198" s="455"/>
      <c r="B198" s="12"/>
      <c r="C198" s="13"/>
      <c r="D198" s="14"/>
      <c r="E198" s="439"/>
      <c r="F198" s="423"/>
      <c r="G198" s="456"/>
      <c r="H198" s="430"/>
      <c r="I198" s="426"/>
      <c r="J198" s="428"/>
      <c r="K198" s="426"/>
      <c r="L198" s="428"/>
      <c r="M198" s="426"/>
      <c r="N198" s="428"/>
      <c r="O198" s="426"/>
      <c r="P198" s="429" t="n">
        <f aca="false">SUM(I198:O198)</f>
        <v>0</v>
      </c>
    </row>
    <row r="199" customFormat="false" ht="12.75" hidden="false" customHeight="true" outlineLevel="0" collapsed="false">
      <c r="A199" s="455"/>
      <c r="B199" s="12"/>
      <c r="C199" s="13"/>
      <c r="D199" s="14"/>
      <c r="E199" s="439"/>
      <c r="F199" s="423"/>
      <c r="G199" s="456"/>
      <c r="H199" s="430"/>
      <c r="I199" s="426"/>
      <c r="J199" s="428"/>
      <c r="K199" s="426"/>
      <c r="L199" s="428"/>
      <c r="M199" s="426"/>
      <c r="N199" s="428"/>
      <c r="O199" s="426"/>
      <c r="P199" s="429" t="n">
        <f aca="false">SUM(I199:O199)</f>
        <v>0</v>
      </c>
    </row>
    <row r="200" customFormat="false" ht="12.75" hidden="false" customHeight="true" outlineLevel="0" collapsed="false">
      <c r="A200" s="455"/>
      <c r="B200" s="12"/>
      <c r="C200" s="13"/>
      <c r="D200" s="14"/>
      <c r="E200" s="439"/>
      <c r="F200" s="423"/>
      <c r="G200" s="456"/>
      <c r="H200" s="430"/>
      <c r="I200" s="426"/>
      <c r="J200" s="428"/>
      <c r="K200" s="426"/>
      <c r="L200" s="428"/>
      <c r="M200" s="426"/>
      <c r="N200" s="428"/>
      <c r="O200" s="426"/>
      <c r="P200" s="429" t="n">
        <f aca="false">SUM(I200:O200)</f>
        <v>0</v>
      </c>
    </row>
    <row r="201" customFormat="false" ht="12.75" hidden="false" customHeight="true" outlineLevel="0" collapsed="false">
      <c r="A201" s="455"/>
      <c r="B201" s="12"/>
      <c r="C201" s="13"/>
      <c r="D201" s="14"/>
      <c r="E201" s="439"/>
      <c r="F201" s="423"/>
      <c r="G201" s="456"/>
      <c r="H201" s="430"/>
      <c r="I201" s="426"/>
      <c r="J201" s="428"/>
      <c r="K201" s="426"/>
      <c r="L201" s="428"/>
      <c r="M201" s="426"/>
      <c r="N201" s="428"/>
      <c r="O201" s="426"/>
      <c r="P201" s="429" t="n">
        <f aca="false">SUM(I201:O201)</f>
        <v>0</v>
      </c>
    </row>
    <row r="202" customFormat="false" ht="12.75" hidden="false" customHeight="true" outlineLevel="0" collapsed="false">
      <c r="A202" s="455"/>
      <c r="B202" s="457"/>
      <c r="C202" s="458"/>
      <c r="D202" s="14"/>
      <c r="E202" s="459"/>
      <c r="F202" s="423"/>
      <c r="G202" s="456"/>
      <c r="H202" s="435"/>
      <c r="I202" s="427"/>
      <c r="J202" s="436"/>
      <c r="K202" s="427"/>
      <c r="L202" s="436"/>
      <c r="M202" s="427"/>
      <c r="N202" s="436"/>
      <c r="O202" s="427"/>
      <c r="P202" s="437" t="n">
        <f aca="false">SUM(I202:O202)</f>
        <v>0</v>
      </c>
    </row>
    <row r="203" customFormat="false" ht="12.75" hidden="false" customHeight="true" outlineLevel="0" collapsed="false">
      <c r="A203" s="421"/>
      <c r="B203" s="460"/>
      <c r="C203" s="461"/>
      <c r="D203" s="14"/>
      <c r="E203" s="462"/>
      <c r="F203" s="423"/>
      <c r="G203" s="456"/>
      <c r="H203" s="430"/>
      <c r="I203" s="426"/>
      <c r="J203" s="428"/>
      <c r="K203" s="426"/>
      <c r="L203" s="428"/>
      <c r="M203" s="426"/>
      <c r="N203" s="428"/>
      <c r="O203" s="426"/>
      <c r="P203" s="429" t="n">
        <f aca="false">SUM(I203:O203)</f>
        <v>0</v>
      </c>
    </row>
    <row r="204" customFormat="false" ht="12.75" hidden="false" customHeight="true" outlineLevel="0" collapsed="false">
      <c r="A204" s="421"/>
      <c r="B204" s="460"/>
      <c r="C204" s="461"/>
      <c r="D204" s="14"/>
      <c r="E204" s="462"/>
      <c r="F204" s="423"/>
      <c r="G204" s="456"/>
      <c r="H204" s="430"/>
      <c r="I204" s="426"/>
      <c r="J204" s="428"/>
      <c r="K204" s="426"/>
      <c r="L204" s="428"/>
      <c r="M204" s="426"/>
      <c r="N204" s="428"/>
      <c r="O204" s="426"/>
      <c r="P204" s="429" t="n">
        <f aca="false">SUM(I204:O204)</f>
        <v>0</v>
      </c>
    </row>
    <row r="205" customFormat="false" ht="12.75" hidden="false" customHeight="true" outlineLevel="0" collapsed="false">
      <c r="A205" s="421"/>
      <c r="B205" s="461"/>
      <c r="C205" s="461"/>
      <c r="D205" s="423"/>
      <c r="E205" s="462"/>
      <c r="F205" s="422"/>
      <c r="G205" s="463"/>
      <c r="H205" s="430"/>
      <c r="I205" s="426"/>
      <c r="J205" s="428"/>
      <c r="K205" s="426"/>
      <c r="L205" s="428"/>
      <c r="M205" s="426"/>
      <c r="N205" s="428"/>
      <c r="O205" s="426"/>
      <c r="P205" s="429" t="n">
        <f aca="false">SUM(I205:O205)</f>
        <v>0</v>
      </c>
    </row>
    <row r="206" customFormat="false" ht="12.75" hidden="false" customHeight="true" outlineLevel="0" collapsed="false">
      <c r="A206" s="421"/>
      <c r="B206" s="461"/>
      <c r="C206" s="461"/>
      <c r="D206" s="423"/>
      <c r="E206" s="462"/>
      <c r="F206" s="422"/>
      <c r="G206" s="463"/>
      <c r="H206" s="430"/>
      <c r="I206" s="426"/>
      <c r="J206" s="428"/>
      <c r="K206" s="426"/>
      <c r="L206" s="428"/>
      <c r="M206" s="426"/>
      <c r="N206" s="428"/>
      <c r="O206" s="426"/>
      <c r="P206" s="429" t="n">
        <f aca="false">SUM(I206:O206)</f>
        <v>0</v>
      </c>
    </row>
    <row r="207" customFormat="false" ht="12.75" hidden="false" customHeight="true" outlineLevel="0" collapsed="false">
      <c r="A207" s="421"/>
      <c r="B207" s="461"/>
      <c r="C207" s="461"/>
      <c r="D207" s="423"/>
      <c r="E207" s="462"/>
      <c r="F207" s="422"/>
      <c r="G207" s="463"/>
      <c r="H207" s="430"/>
      <c r="I207" s="426"/>
      <c r="J207" s="428"/>
      <c r="K207" s="426"/>
      <c r="L207" s="428"/>
      <c r="M207" s="426"/>
      <c r="N207" s="428"/>
      <c r="O207" s="426"/>
      <c r="P207" s="429" t="n">
        <f aca="false">SUM(I207:O207)</f>
        <v>0</v>
      </c>
    </row>
    <row r="208" customFormat="false" ht="12.75" hidden="false" customHeight="true" outlineLevel="0" collapsed="false">
      <c r="A208" s="421"/>
      <c r="B208" s="464"/>
      <c r="C208" s="461"/>
      <c r="D208" s="423"/>
      <c r="E208" s="462"/>
      <c r="F208" s="422"/>
      <c r="G208" s="463"/>
      <c r="H208" s="430"/>
      <c r="I208" s="426"/>
      <c r="J208" s="428"/>
      <c r="K208" s="426"/>
      <c r="L208" s="428"/>
      <c r="M208" s="426"/>
      <c r="N208" s="428"/>
      <c r="O208" s="426"/>
      <c r="P208" s="429" t="n">
        <f aca="false">SUM(I208:O208)</f>
        <v>0</v>
      </c>
    </row>
    <row r="209" customFormat="false" ht="12.75" hidden="false" customHeight="true" outlineLevel="0" collapsed="false">
      <c r="A209" s="421"/>
      <c r="B209" s="465"/>
      <c r="C209" s="466"/>
      <c r="D209" s="467"/>
      <c r="E209" s="468"/>
      <c r="F209" s="469"/>
      <c r="G209" s="381"/>
      <c r="H209" s="428"/>
      <c r="I209" s="426"/>
      <c r="J209" s="428"/>
      <c r="K209" s="426"/>
      <c r="L209" s="428"/>
      <c r="M209" s="426"/>
      <c r="N209" s="428"/>
      <c r="O209" s="426"/>
      <c r="P209" s="429" t="n">
        <f aca="false">SUM(I209:O209)</f>
        <v>0</v>
      </c>
    </row>
    <row r="210" customFormat="false" ht="12.75" hidden="false" customHeight="true" outlineLevel="0" collapsed="false">
      <c r="A210" s="421"/>
      <c r="B210" s="464"/>
      <c r="C210" s="461"/>
      <c r="D210" s="423"/>
      <c r="E210" s="468"/>
      <c r="F210" s="422"/>
      <c r="G210" s="367"/>
      <c r="H210" s="428"/>
      <c r="I210" s="426"/>
      <c r="J210" s="428"/>
      <c r="K210" s="426"/>
      <c r="L210" s="428"/>
      <c r="M210" s="426"/>
      <c r="N210" s="428"/>
      <c r="O210" s="426"/>
      <c r="P210" s="429" t="n">
        <f aca="false">SUM(I210:O210)</f>
        <v>0</v>
      </c>
    </row>
    <row r="211" customFormat="false" ht="12.75" hidden="false" customHeight="true" outlineLevel="0" collapsed="false">
      <c r="A211" s="421"/>
      <c r="B211" s="464"/>
      <c r="C211" s="461"/>
      <c r="D211" s="423"/>
      <c r="E211" s="462"/>
      <c r="F211" s="422"/>
      <c r="G211" s="367"/>
      <c r="H211" s="428"/>
      <c r="I211" s="426"/>
      <c r="J211" s="428"/>
      <c r="K211" s="426"/>
      <c r="L211" s="428"/>
      <c r="M211" s="426"/>
      <c r="N211" s="428"/>
      <c r="O211" s="426"/>
      <c r="P211" s="429" t="n">
        <f aca="false">SUM(I211:O211)</f>
        <v>0</v>
      </c>
    </row>
    <row r="212" customFormat="false" ht="15" hidden="false" customHeight="true" outlineLevel="0" collapsed="false">
      <c r="A212" s="421"/>
      <c r="B212" s="464"/>
      <c r="C212" s="461"/>
      <c r="D212" s="461"/>
      <c r="E212" s="470"/>
      <c r="F212" s="471"/>
      <c r="G212" s="472" t="s">
        <v>1348</v>
      </c>
      <c r="H212" s="473" t="n">
        <f aca="false">COUNTA(H8:H211)</f>
        <v>86</v>
      </c>
      <c r="I212" s="473"/>
      <c r="J212" s="473" t="n">
        <f aca="false">COUNTA(J8:J211)</f>
        <v>86</v>
      </c>
      <c r="K212" s="473"/>
      <c r="L212" s="473" t="n">
        <f aca="false">COUNTA(L8:L211)</f>
        <v>0</v>
      </c>
      <c r="M212" s="473"/>
      <c r="N212" s="473" t="n">
        <f aca="false">COUNTA(N8:N211)</f>
        <v>0</v>
      </c>
      <c r="O212" s="473"/>
      <c r="P212" s="474" t="n">
        <f aca="false">COUNTIF(P8:P211,"&gt;0")</f>
        <v>86</v>
      </c>
    </row>
    <row r="213" customFormat="false" ht="12.75" hidden="false" customHeight="true" outlineLevel="0" collapsed="false">
      <c r="B213" s="311"/>
      <c r="C213" s="311"/>
      <c r="D213" s="311"/>
      <c r="E213" s="475"/>
      <c r="F213" s="476"/>
      <c r="G213" s="477"/>
      <c r="H213" s="403"/>
      <c r="I213" s="476"/>
      <c r="J213" s="403"/>
      <c r="K213" s="476"/>
      <c r="L213" s="403"/>
      <c r="M213" s="476"/>
      <c r="N213" s="403"/>
      <c r="O213" s="476"/>
      <c r="P213" s="476"/>
    </row>
    <row r="214" customFormat="false" ht="12.75" hidden="false" customHeight="true" outlineLevel="0" collapsed="false">
      <c r="B214" s="311"/>
      <c r="C214" s="311"/>
      <c r="D214" s="311"/>
      <c r="E214" s="476"/>
      <c r="F214" s="476"/>
    </row>
    <row r="215" customFormat="false" ht="12.75" hidden="false" customHeight="true" outlineLevel="0" collapsed="false">
      <c r="B215" s="311"/>
      <c r="C215" s="311"/>
      <c r="D215" s="311"/>
      <c r="E215" s="476"/>
      <c r="F215" s="476"/>
    </row>
    <row r="216" customFormat="false" ht="12.75" hidden="false" customHeight="true" outlineLevel="0" collapsed="false">
      <c r="B216" s="311"/>
      <c r="C216" s="311"/>
      <c r="D216" s="311"/>
      <c r="E216" s="476"/>
      <c r="F216" s="476"/>
    </row>
    <row r="217" customFormat="false" ht="12.75" hidden="false" customHeight="false" outlineLevel="0" collapsed="false"/>
    <row r="218" customFormat="false" ht="12.75" hidden="false" customHeight="true" outlineLevel="0" collapsed="false">
      <c r="B218" s="311"/>
      <c r="C218" s="311"/>
      <c r="D218" s="311"/>
      <c r="E218" s="476"/>
      <c r="F218" s="476"/>
    </row>
    <row r="219" customFormat="false" ht="12.75" hidden="false" customHeight="true" outlineLevel="0" collapsed="false">
      <c r="B219" s="311"/>
      <c r="C219" s="311"/>
      <c r="D219" s="311"/>
      <c r="E219" s="476"/>
      <c r="F219" s="476"/>
    </row>
    <row r="220" customFormat="false" ht="12.75" hidden="false" customHeight="true" outlineLevel="0" collapsed="false">
      <c r="B220" s="311"/>
      <c r="C220" s="311"/>
      <c r="D220" s="311"/>
      <c r="E220" s="476"/>
      <c r="F220" s="476"/>
    </row>
    <row r="221" customFormat="false" ht="12.75" hidden="false" customHeight="true" outlineLevel="0" collapsed="false">
      <c r="B221" s="311"/>
      <c r="C221" s="311"/>
      <c r="D221" s="311"/>
      <c r="E221" s="476"/>
      <c r="F221" s="476"/>
    </row>
    <row r="222" customFormat="false" ht="12.75" hidden="false" customHeight="true" outlineLevel="0" collapsed="false">
      <c r="B222" s="311"/>
      <c r="C222" s="311"/>
      <c r="D222" s="311"/>
      <c r="E222" s="476"/>
      <c r="F222" s="476"/>
    </row>
    <row r="223" customFormat="false" ht="12.75" hidden="false" customHeight="true" outlineLevel="0" collapsed="false">
      <c r="B223" s="311"/>
      <c r="C223" s="311"/>
      <c r="D223" s="311"/>
      <c r="E223" s="476"/>
      <c r="F223" s="476"/>
    </row>
    <row r="224" customFormat="false" ht="12.75" hidden="false" customHeight="true" outlineLevel="0" collapsed="false">
      <c r="B224" s="311"/>
      <c r="C224" s="311"/>
      <c r="D224" s="311"/>
      <c r="E224" s="476"/>
      <c r="F224" s="476"/>
    </row>
    <row r="225" customFormat="false" ht="12.75" hidden="false" customHeight="true" outlineLevel="0" collapsed="false">
      <c r="B225" s="311"/>
      <c r="C225" s="311"/>
      <c r="D225" s="311"/>
      <c r="E225" s="476"/>
      <c r="F225" s="476"/>
    </row>
    <row r="226" customFormat="false" ht="12.75" hidden="false" customHeight="true" outlineLevel="0" collapsed="false">
      <c r="B226" s="311"/>
      <c r="C226" s="311"/>
      <c r="D226" s="311"/>
      <c r="E226" s="476"/>
      <c r="F226" s="476"/>
    </row>
    <row r="227" customFormat="false" ht="12.75" hidden="false" customHeight="true" outlineLevel="0" collapsed="false">
      <c r="B227" s="311"/>
      <c r="C227" s="311"/>
      <c r="D227" s="311"/>
      <c r="E227" s="476"/>
      <c r="F227" s="476"/>
    </row>
    <row r="228" customFormat="false" ht="12.75" hidden="false" customHeight="true" outlineLevel="0" collapsed="false">
      <c r="B228" s="311"/>
      <c r="C228" s="311"/>
      <c r="D228" s="311"/>
      <c r="E228" s="476"/>
      <c r="F228" s="476"/>
    </row>
    <row r="229" customFormat="false" ht="12.75" hidden="false" customHeight="true" outlineLevel="0" collapsed="false">
      <c r="B229" s="311"/>
      <c r="C229" s="311"/>
      <c r="D229" s="311"/>
      <c r="E229" s="476"/>
      <c r="F229" s="476"/>
    </row>
    <row r="230" customFormat="false" ht="12.75" hidden="false" customHeight="true" outlineLevel="0" collapsed="false">
      <c r="B230" s="311"/>
      <c r="C230" s="311"/>
      <c r="D230" s="311"/>
      <c r="E230" s="476"/>
      <c r="F230" s="476"/>
    </row>
    <row r="231" customFormat="false" ht="12.75" hidden="false" customHeight="true" outlineLevel="0" collapsed="false">
      <c r="B231" s="311"/>
      <c r="C231" s="311"/>
      <c r="D231" s="311"/>
      <c r="E231" s="476"/>
      <c r="F231" s="476"/>
    </row>
    <row r="232" customFormat="false" ht="12.75" hidden="false" customHeight="true" outlineLevel="0" collapsed="false">
      <c r="B232" s="311"/>
      <c r="C232" s="311"/>
      <c r="D232" s="311"/>
      <c r="E232" s="476"/>
      <c r="F232" s="476"/>
    </row>
    <row r="233" customFormat="false" ht="12.75" hidden="false" customHeight="true" outlineLevel="0" collapsed="false">
      <c r="B233" s="311"/>
      <c r="C233" s="311"/>
      <c r="D233" s="311"/>
      <c r="E233" s="476"/>
      <c r="F233" s="476"/>
    </row>
    <row r="234" customFormat="false" ht="12.75" hidden="false" customHeight="true" outlineLevel="0" collapsed="false">
      <c r="B234" s="311"/>
      <c r="C234" s="311"/>
      <c r="D234" s="311"/>
      <c r="E234" s="476"/>
      <c r="F234" s="476"/>
    </row>
    <row r="235" customFormat="false" ht="12.75" hidden="false" customHeight="true" outlineLevel="0" collapsed="false">
      <c r="B235" s="311"/>
      <c r="C235" s="311"/>
      <c r="D235" s="311"/>
      <c r="E235" s="476"/>
      <c r="F235" s="476"/>
    </row>
    <row r="236" customFormat="false" ht="12.75" hidden="false" customHeight="true" outlineLevel="0" collapsed="false">
      <c r="B236" s="311"/>
      <c r="C236" s="311"/>
      <c r="D236" s="311"/>
      <c r="E236" s="476"/>
      <c r="F236" s="476"/>
    </row>
    <row r="237" customFormat="false" ht="12.75" hidden="false" customHeight="true" outlineLevel="0" collapsed="false">
      <c r="B237" s="311"/>
      <c r="C237" s="311"/>
      <c r="D237" s="311"/>
      <c r="E237" s="476"/>
      <c r="F237" s="476"/>
    </row>
    <row r="238" customFormat="false" ht="12.75" hidden="false" customHeight="true" outlineLevel="0" collapsed="false">
      <c r="B238" s="311"/>
      <c r="C238" s="311"/>
      <c r="D238" s="311"/>
      <c r="E238" s="476"/>
      <c r="F238" s="476"/>
    </row>
    <row r="239" customFormat="false" ht="12.75" hidden="false" customHeight="true" outlineLevel="0" collapsed="false">
      <c r="B239" s="311"/>
      <c r="C239" s="311"/>
      <c r="D239" s="311"/>
      <c r="E239" s="476"/>
      <c r="F239" s="476"/>
    </row>
    <row r="240" customFormat="false" ht="12.75" hidden="false" customHeight="true" outlineLevel="0" collapsed="false">
      <c r="B240" s="311"/>
      <c r="C240" s="311"/>
      <c r="D240" s="311"/>
      <c r="E240" s="476"/>
      <c r="F240" s="476"/>
    </row>
    <row r="241" customFormat="false" ht="12.75" hidden="false" customHeight="true" outlineLevel="0" collapsed="false">
      <c r="B241" s="311"/>
      <c r="C241" s="311"/>
      <c r="D241" s="311"/>
      <c r="E241" s="476"/>
      <c r="F241" s="476"/>
    </row>
    <row r="242" customFormat="false" ht="12.75" hidden="false" customHeight="true" outlineLevel="0" collapsed="false">
      <c r="B242" s="311"/>
      <c r="C242" s="311"/>
      <c r="D242" s="311"/>
      <c r="E242" s="476"/>
      <c r="F242" s="476"/>
    </row>
    <row r="243" customFormat="false" ht="12.75" hidden="false" customHeight="true" outlineLevel="0" collapsed="false">
      <c r="B243" s="311"/>
      <c r="C243" s="311"/>
      <c r="D243" s="311"/>
      <c r="E243" s="476"/>
      <c r="F243" s="476"/>
    </row>
    <row r="244" customFormat="false" ht="12.75" hidden="false" customHeight="true" outlineLevel="0" collapsed="false">
      <c r="B244" s="311"/>
      <c r="C244" s="311"/>
      <c r="D244" s="311"/>
      <c r="E244" s="476"/>
      <c r="F244" s="476"/>
    </row>
    <row r="245" customFormat="false" ht="12.75" hidden="false" customHeight="true" outlineLevel="0" collapsed="false">
      <c r="B245" s="311"/>
      <c r="C245" s="311"/>
      <c r="D245" s="311"/>
      <c r="E245" s="476"/>
      <c r="F245" s="476"/>
    </row>
    <row r="246" customFormat="false" ht="12.75" hidden="false" customHeight="true" outlineLevel="0" collapsed="false">
      <c r="B246" s="311"/>
      <c r="C246" s="311"/>
      <c r="D246" s="311"/>
      <c r="E246" s="476"/>
      <c r="F246" s="476"/>
    </row>
    <row r="247" customFormat="false" ht="12.75" hidden="false" customHeight="true" outlineLevel="0" collapsed="false">
      <c r="B247" s="311"/>
      <c r="C247" s="311"/>
      <c r="D247" s="311"/>
      <c r="E247" s="476"/>
      <c r="F247" s="476"/>
    </row>
    <row r="248" customFormat="false" ht="12.75" hidden="false" customHeight="true" outlineLevel="0" collapsed="false">
      <c r="B248" s="311"/>
      <c r="C248" s="311"/>
      <c r="D248" s="311"/>
      <c r="E248" s="476"/>
      <c r="F248" s="476"/>
    </row>
    <row r="249" customFormat="false" ht="12.75" hidden="false" customHeight="true" outlineLevel="0" collapsed="false">
      <c r="B249" s="311"/>
      <c r="C249" s="311"/>
      <c r="D249" s="311"/>
      <c r="E249" s="476"/>
      <c r="F249" s="476"/>
    </row>
    <row r="250" customFormat="false" ht="12.75" hidden="false" customHeight="true" outlineLevel="0" collapsed="false">
      <c r="B250" s="311"/>
      <c r="C250" s="311"/>
      <c r="D250" s="311"/>
      <c r="E250" s="476"/>
      <c r="F250" s="476"/>
    </row>
    <row r="251" customFormat="false" ht="12.75" hidden="false" customHeight="true" outlineLevel="0" collapsed="false">
      <c r="B251" s="311"/>
      <c r="C251" s="311"/>
      <c r="D251" s="311"/>
      <c r="E251" s="476"/>
      <c r="F251" s="476"/>
    </row>
    <row r="252" customFormat="false" ht="12.75" hidden="false" customHeight="true" outlineLevel="0" collapsed="false">
      <c r="B252" s="311"/>
      <c r="C252" s="311"/>
      <c r="D252" s="311"/>
      <c r="E252" s="476"/>
      <c r="F252" s="476"/>
    </row>
    <row r="253" customFormat="false" ht="12.75" hidden="false" customHeight="true" outlineLevel="0" collapsed="false">
      <c r="B253" s="311"/>
      <c r="C253" s="311"/>
      <c r="D253" s="311"/>
      <c r="E253" s="476"/>
      <c r="F253" s="476"/>
    </row>
    <row r="254" customFormat="false" ht="12.75" hidden="false" customHeight="true" outlineLevel="0" collapsed="false">
      <c r="B254" s="311"/>
      <c r="C254" s="311"/>
      <c r="D254" s="311"/>
      <c r="E254" s="476"/>
      <c r="F254" s="476"/>
    </row>
    <row r="255" customFormat="false" ht="12.75" hidden="false" customHeight="true" outlineLevel="0" collapsed="false">
      <c r="B255" s="311"/>
      <c r="C255" s="311"/>
      <c r="D255" s="311"/>
      <c r="E255" s="476"/>
      <c r="F255" s="476"/>
    </row>
    <row r="256" customFormat="false" ht="12.75" hidden="false" customHeight="true" outlineLevel="0" collapsed="false">
      <c r="B256" s="311"/>
      <c r="C256" s="311"/>
      <c r="D256" s="311"/>
      <c r="E256" s="476"/>
      <c r="F256" s="476"/>
    </row>
    <row r="257" customFormat="false" ht="12.75" hidden="false" customHeight="true" outlineLevel="0" collapsed="false">
      <c r="B257" s="311"/>
      <c r="C257" s="311"/>
      <c r="D257" s="311"/>
      <c r="E257" s="476"/>
      <c r="F257" s="476"/>
    </row>
    <row r="258" customFormat="false" ht="12.75" hidden="false" customHeight="true" outlineLevel="0" collapsed="false">
      <c r="B258" s="311"/>
      <c r="C258" s="311"/>
      <c r="D258" s="311"/>
      <c r="E258" s="476"/>
      <c r="F258" s="476"/>
    </row>
    <row r="259" customFormat="false" ht="12.75" hidden="false" customHeight="true" outlineLevel="0" collapsed="false">
      <c r="B259" s="311"/>
      <c r="C259" s="311"/>
      <c r="D259" s="311"/>
      <c r="E259" s="476"/>
      <c r="F259" s="476"/>
    </row>
    <row r="260" customFormat="false" ht="12.75" hidden="false" customHeight="true" outlineLevel="0" collapsed="false">
      <c r="B260" s="311"/>
      <c r="C260" s="311"/>
      <c r="D260" s="311"/>
      <c r="E260" s="476"/>
      <c r="F260" s="476"/>
    </row>
    <row r="261" customFormat="false" ht="12.75" hidden="false" customHeight="true" outlineLevel="0" collapsed="false">
      <c r="B261" s="311"/>
      <c r="C261" s="311"/>
      <c r="D261" s="311"/>
      <c r="E261" s="476"/>
      <c r="F261" s="476"/>
    </row>
    <row r="262" customFormat="false" ht="12.75" hidden="false" customHeight="true" outlineLevel="0" collapsed="false">
      <c r="B262" s="311"/>
      <c r="C262" s="311"/>
      <c r="D262" s="311"/>
      <c r="E262" s="476"/>
      <c r="F262" s="476"/>
    </row>
    <row r="263" customFormat="false" ht="12.75" hidden="false" customHeight="true" outlineLevel="0" collapsed="false">
      <c r="B263" s="311"/>
      <c r="C263" s="311"/>
      <c r="D263" s="311"/>
      <c r="E263" s="476"/>
      <c r="F263" s="476"/>
    </row>
    <row r="264" customFormat="false" ht="12.75" hidden="false" customHeight="true" outlineLevel="0" collapsed="false">
      <c r="B264" s="311"/>
      <c r="C264" s="311"/>
      <c r="D264" s="311"/>
      <c r="E264" s="476"/>
      <c r="F264" s="476"/>
    </row>
    <row r="265" customFormat="false" ht="12.75" hidden="false" customHeight="true" outlineLevel="0" collapsed="false">
      <c r="B265" s="311"/>
      <c r="C265" s="311"/>
      <c r="D265" s="311"/>
      <c r="E265" s="476"/>
      <c r="F265" s="476"/>
    </row>
    <row r="266" customFormat="false" ht="12.75" hidden="false" customHeight="true" outlineLevel="0" collapsed="false">
      <c r="B266" s="311"/>
      <c r="C266" s="311"/>
      <c r="D266" s="311"/>
      <c r="E266" s="476"/>
      <c r="F266" s="476"/>
    </row>
    <row r="267" customFormat="false" ht="12.75" hidden="false" customHeight="true" outlineLevel="0" collapsed="false">
      <c r="B267" s="311"/>
      <c r="C267" s="311"/>
      <c r="D267" s="311"/>
      <c r="E267" s="476"/>
      <c r="F267" s="476"/>
    </row>
    <row r="268" customFormat="false" ht="12.75" hidden="false" customHeight="true" outlineLevel="0" collapsed="false">
      <c r="B268" s="311"/>
      <c r="C268" s="311"/>
      <c r="D268" s="311"/>
      <c r="E268" s="476"/>
      <c r="F268" s="476"/>
    </row>
    <row r="269" customFormat="false" ht="12.75" hidden="false" customHeight="true" outlineLevel="0" collapsed="false">
      <c r="B269" s="311"/>
      <c r="C269" s="311"/>
      <c r="D269" s="311"/>
      <c r="E269" s="476"/>
      <c r="F269" s="476"/>
    </row>
    <row r="270" customFormat="false" ht="12.75" hidden="false" customHeight="true" outlineLevel="0" collapsed="false">
      <c r="B270" s="311"/>
      <c r="C270" s="311"/>
      <c r="D270" s="311"/>
      <c r="E270" s="476"/>
      <c r="F270" s="476"/>
    </row>
    <row r="271" customFormat="false" ht="12.75" hidden="false" customHeight="true" outlineLevel="0" collapsed="false">
      <c r="B271" s="311"/>
      <c r="C271" s="311"/>
      <c r="D271" s="311"/>
      <c r="E271" s="476"/>
      <c r="F271" s="476"/>
    </row>
    <row r="272" customFormat="false" ht="12.75" hidden="false" customHeight="true" outlineLevel="0" collapsed="false">
      <c r="B272" s="311"/>
      <c r="C272" s="311"/>
      <c r="D272" s="311"/>
      <c r="E272" s="476"/>
      <c r="F272" s="476"/>
    </row>
    <row r="273" customFormat="false" ht="12.75" hidden="false" customHeight="true" outlineLevel="0" collapsed="false">
      <c r="B273" s="311"/>
      <c r="C273" s="311"/>
      <c r="D273" s="311"/>
      <c r="E273" s="476"/>
      <c r="F273" s="476"/>
    </row>
    <row r="274" customFormat="false" ht="12.75" hidden="false" customHeight="true" outlineLevel="0" collapsed="false">
      <c r="B274" s="311"/>
      <c r="C274" s="311"/>
      <c r="D274" s="311"/>
      <c r="E274" s="476"/>
      <c r="F274" s="476"/>
    </row>
    <row r="275" customFormat="false" ht="12.75" hidden="false" customHeight="true" outlineLevel="0" collapsed="false">
      <c r="B275" s="311"/>
      <c r="C275" s="311"/>
      <c r="D275" s="311"/>
      <c r="E275" s="476"/>
      <c r="F275" s="476"/>
    </row>
    <row r="276" customFormat="false" ht="12.75" hidden="false" customHeight="true" outlineLevel="0" collapsed="false">
      <c r="B276" s="311"/>
      <c r="C276" s="311"/>
      <c r="D276" s="311"/>
      <c r="E276" s="476"/>
      <c r="F276" s="476"/>
    </row>
    <row r="277" customFormat="false" ht="12.75" hidden="false" customHeight="true" outlineLevel="0" collapsed="false">
      <c r="B277" s="311"/>
      <c r="C277" s="311"/>
      <c r="D277" s="311"/>
      <c r="E277" s="476"/>
      <c r="F277" s="476"/>
    </row>
    <row r="278" customFormat="false" ht="12.75" hidden="false" customHeight="true" outlineLevel="0" collapsed="false">
      <c r="B278" s="311"/>
      <c r="C278" s="311"/>
      <c r="D278" s="311"/>
      <c r="E278" s="476"/>
      <c r="F278" s="476"/>
    </row>
    <row r="279" customFormat="false" ht="12.75" hidden="false" customHeight="true" outlineLevel="0" collapsed="false">
      <c r="B279" s="311"/>
      <c r="C279" s="311"/>
      <c r="D279" s="311"/>
      <c r="E279" s="476"/>
      <c r="F279" s="476"/>
    </row>
    <row r="280" customFormat="false" ht="12.75" hidden="false" customHeight="true" outlineLevel="0" collapsed="false">
      <c r="B280" s="311"/>
      <c r="C280" s="311"/>
      <c r="D280" s="311"/>
      <c r="E280" s="476"/>
      <c r="F280" s="476"/>
    </row>
    <row r="281" customFormat="false" ht="12.75" hidden="false" customHeight="true" outlineLevel="0" collapsed="false">
      <c r="B281" s="311"/>
      <c r="C281" s="311"/>
      <c r="D281" s="311"/>
      <c r="E281" s="476"/>
      <c r="F281" s="476"/>
    </row>
    <row r="282" customFormat="false" ht="12.75" hidden="false" customHeight="true" outlineLevel="0" collapsed="false">
      <c r="B282" s="311"/>
      <c r="C282" s="311"/>
      <c r="D282" s="311"/>
      <c r="E282" s="476"/>
      <c r="F282" s="476"/>
    </row>
    <row r="283" customFormat="false" ht="12.75" hidden="false" customHeight="true" outlineLevel="0" collapsed="false">
      <c r="B283" s="311"/>
      <c r="C283" s="311"/>
      <c r="D283" s="311"/>
      <c r="E283" s="476"/>
      <c r="F283" s="476"/>
    </row>
    <row r="284" customFormat="false" ht="12.75" hidden="false" customHeight="true" outlineLevel="0" collapsed="false">
      <c r="B284" s="311"/>
      <c r="C284" s="311"/>
      <c r="D284" s="311"/>
      <c r="E284" s="476"/>
      <c r="F284" s="476"/>
    </row>
    <row r="285" customFormat="false" ht="12.75" hidden="false" customHeight="true" outlineLevel="0" collapsed="false">
      <c r="B285" s="311"/>
      <c r="C285" s="311"/>
      <c r="D285" s="311"/>
      <c r="E285" s="476"/>
      <c r="F285" s="476"/>
    </row>
    <row r="286" customFormat="false" ht="12.75" hidden="false" customHeight="true" outlineLevel="0" collapsed="false">
      <c r="B286" s="311"/>
      <c r="C286" s="311"/>
      <c r="D286" s="311"/>
      <c r="E286" s="476"/>
      <c r="F286" s="476"/>
    </row>
    <row r="287" customFormat="false" ht="12.75" hidden="false" customHeight="true" outlineLevel="0" collapsed="false">
      <c r="B287" s="311"/>
      <c r="C287" s="311"/>
      <c r="D287" s="311"/>
      <c r="E287" s="476"/>
      <c r="F287" s="476"/>
    </row>
    <row r="288" customFormat="false" ht="12.75" hidden="false" customHeight="true" outlineLevel="0" collapsed="false">
      <c r="B288" s="311"/>
      <c r="C288" s="311"/>
      <c r="D288" s="311"/>
      <c r="E288" s="476"/>
      <c r="F288" s="476"/>
    </row>
    <row r="289" customFormat="false" ht="12.75" hidden="false" customHeight="true" outlineLevel="0" collapsed="false">
      <c r="B289" s="311"/>
      <c r="C289" s="311"/>
      <c r="D289" s="311"/>
      <c r="E289" s="476"/>
      <c r="F289" s="476"/>
    </row>
    <row r="290" customFormat="false" ht="12.75" hidden="false" customHeight="true" outlineLevel="0" collapsed="false">
      <c r="B290" s="311"/>
      <c r="C290" s="311"/>
      <c r="D290" s="311"/>
      <c r="E290" s="476"/>
      <c r="F290" s="476"/>
    </row>
    <row r="291" customFormat="false" ht="12.75" hidden="false" customHeight="true" outlineLevel="0" collapsed="false">
      <c r="B291" s="311"/>
      <c r="C291" s="311"/>
      <c r="D291" s="311"/>
      <c r="E291" s="476"/>
      <c r="F291" s="476"/>
    </row>
    <row r="292" customFormat="false" ht="12.75" hidden="false" customHeight="true" outlineLevel="0" collapsed="false">
      <c r="B292" s="311"/>
      <c r="C292" s="311"/>
      <c r="D292" s="311"/>
      <c r="E292" s="476"/>
      <c r="F292" s="476"/>
    </row>
    <row r="293" customFormat="false" ht="12.75" hidden="false" customHeight="true" outlineLevel="0" collapsed="false">
      <c r="B293" s="311"/>
      <c r="C293" s="311"/>
      <c r="D293" s="311"/>
      <c r="E293" s="476"/>
      <c r="F293" s="476"/>
    </row>
    <row r="294" customFormat="false" ht="12.75" hidden="false" customHeight="true" outlineLevel="0" collapsed="false">
      <c r="B294" s="311"/>
      <c r="C294" s="311"/>
      <c r="D294" s="311"/>
      <c r="E294" s="476"/>
      <c r="F294" s="476"/>
    </row>
    <row r="295" customFormat="false" ht="12.75" hidden="false" customHeight="true" outlineLevel="0" collapsed="false">
      <c r="B295" s="311"/>
      <c r="C295" s="311"/>
      <c r="D295" s="311"/>
      <c r="E295" s="476"/>
      <c r="F295" s="476"/>
    </row>
    <row r="296" customFormat="false" ht="12.75" hidden="false" customHeight="true" outlineLevel="0" collapsed="false">
      <c r="B296" s="311"/>
      <c r="C296" s="311"/>
      <c r="D296" s="311"/>
      <c r="E296" s="476"/>
      <c r="F296" s="476"/>
    </row>
    <row r="297" customFormat="false" ht="12.75" hidden="false" customHeight="true" outlineLevel="0" collapsed="false">
      <c r="B297" s="311"/>
      <c r="C297" s="311"/>
      <c r="D297" s="311"/>
      <c r="E297" s="476"/>
      <c r="F297" s="476"/>
    </row>
    <row r="298" customFormat="false" ht="12.75" hidden="false" customHeight="true" outlineLevel="0" collapsed="false">
      <c r="B298" s="311"/>
      <c r="C298" s="311"/>
      <c r="D298" s="311"/>
      <c r="E298" s="476"/>
      <c r="F298" s="476"/>
    </row>
    <row r="299" customFormat="false" ht="12.75" hidden="false" customHeight="true" outlineLevel="0" collapsed="false">
      <c r="B299" s="311"/>
      <c r="C299" s="311"/>
      <c r="D299" s="311"/>
      <c r="E299" s="476"/>
      <c r="F299" s="476"/>
    </row>
    <row r="300" customFormat="false" ht="12.75" hidden="false" customHeight="true" outlineLevel="0" collapsed="false">
      <c r="B300" s="311"/>
      <c r="C300" s="311"/>
      <c r="D300" s="311"/>
      <c r="E300" s="476"/>
      <c r="F300" s="476"/>
    </row>
    <row r="301" customFormat="false" ht="12.75" hidden="false" customHeight="true" outlineLevel="0" collapsed="false">
      <c r="B301" s="311"/>
      <c r="C301" s="311"/>
      <c r="D301" s="311"/>
      <c r="E301" s="476"/>
      <c r="F301" s="476"/>
    </row>
    <row r="302" customFormat="false" ht="12.75" hidden="false" customHeight="true" outlineLevel="0" collapsed="false">
      <c r="B302" s="311"/>
      <c r="C302" s="311"/>
      <c r="D302" s="311"/>
      <c r="E302" s="476"/>
      <c r="F302" s="476"/>
    </row>
    <row r="303" customFormat="false" ht="12.75" hidden="false" customHeight="true" outlineLevel="0" collapsed="false">
      <c r="B303" s="311"/>
      <c r="C303" s="311"/>
      <c r="D303" s="311"/>
      <c r="E303" s="476"/>
      <c r="F303" s="476"/>
    </row>
    <row r="304" customFormat="false" ht="12.75" hidden="false" customHeight="true" outlineLevel="0" collapsed="false">
      <c r="B304" s="311"/>
      <c r="C304" s="311"/>
      <c r="D304" s="311"/>
      <c r="E304" s="476"/>
      <c r="F304" s="476"/>
    </row>
    <row r="305" customFormat="false" ht="12.75" hidden="false" customHeight="true" outlineLevel="0" collapsed="false">
      <c r="B305" s="311"/>
      <c r="C305" s="311"/>
      <c r="D305" s="311"/>
      <c r="E305" s="476"/>
      <c r="F305" s="476"/>
    </row>
    <row r="306" customFormat="false" ht="12.75" hidden="false" customHeight="true" outlineLevel="0" collapsed="false">
      <c r="B306" s="311"/>
      <c r="C306" s="311"/>
      <c r="D306" s="311"/>
      <c r="E306" s="476"/>
      <c r="F306" s="476"/>
    </row>
    <row r="307" customFormat="false" ht="12.75" hidden="false" customHeight="true" outlineLevel="0" collapsed="false">
      <c r="B307" s="311"/>
      <c r="C307" s="311"/>
      <c r="D307" s="311"/>
      <c r="E307" s="476"/>
      <c r="F307" s="476"/>
    </row>
    <row r="308" customFormat="false" ht="12.75" hidden="false" customHeight="true" outlineLevel="0" collapsed="false">
      <c r="B308" s="311"/>
      <c r="C308" s="311"/>
      <c r="D308" s="311"/>
      <c r="E308" s="476"/>
      <c r="F308" s="476"/>
    </row>
    <row r="309" customFormat="false" ht="12.75" hidden="false" customHeight="true" outlineLevel="0" collapsed="false">
      <c r="B309" s="311"/>
      <c r="C309" s="311"/>
      <c r="D309" s="311"/>
      <c r="E309" s="476"/>
      <c r="F309" s="476"/>
    </row>
    <row r="310" customFormat="false" ht="12.75" hidden="false" customHeight="true" outlineLevel="0" collapsed="false">
      <c r="B310" s="311"/>
      <c r="C310" s="311"/>
      <c r="D310" s="311"/>
      <c r="E310" s="476"/>
      <c r="F310" s="476"/>
    </row>
    <row r="311" customFormat="false" ht="12.75" hidden="false" customHeight="true" outlineLevel="0" collapsed="false">
      <c r="B311" s="311"/>
      <c r="C311" s="311"/>
      <c r="D311" s="311"/>
      <c r="E311" s="476"/>
      <c r="F311" s="476"/>
    </row>
    <row r="312" customFormat="false" ht="12.75" hidden="false" customHeight="true" outlineLevel="0" collapsed="false">
      <c r="B312" s="311"/>
      <c r="C312" s="311"/>
      <c r="D312" s="311"/>
      <c r="E312" s="476"/>
      <c r="F312" s="476"/>
    </row>
    <row r="313" customFormat="false" ht="12.75" hidden="false" customHeight="true" outlineLevel="0" collapsed="false">
      <c r="B313" s="311"/>
      <c r="C313" s="311"/>
      <c r="D313" s="311"/>
      <c r="E313" s="476"/>
      <c r="F313" s="476"/>
    </row>
    <row r="314" customFormat="false" ht="12.75" hidden="false" customHeight="true" outlineLevel="0" collapsed="false">
      <c r="B314" s="311"/>
      <c r="C314" s="311"/>
      <c r="D314" s="311"/>
      <c r="E314" s="476"/>
      <c r="F314" s="476"/>
    </row>
    <row r="315" customFormat="false" ht="12.75" hidden="false" customHeight="true" outlineLevel="0" collapsed="false">
      <c r="B315" s="311"/>
      <c r="C315" s="311"/>
      <c r="D315" s="311"/>
      <c r="E315" s="476"/>
      <c r="F315" s="476"/>
    </row>
    <row r="316" customFormat="false" ht="12.75" hidden="false" customHeight="true" outlineLevel="0" collapsed="false">
      <c r="B316" s="311"/>
      <c r="C316" s="311"/>
      <c r="D316" s="311"/>
      <c r="E316" s="476"/>
      <c r="F316" s="476"/>
    </row>
    <row r="317" customFormat="false" ht="12.75" hidden="false" customHeight="true" outlineLevel="0" collapsed="false">
      <c r="B317" s="311"/>
      <c r="C317" s="311"/>
      <c r="D317" s="311"/>
      <c r="E317" s="476"/>
      <c r="F317" s="476"/>
    </row>
    <row r="318" customFormat="false" ht="12.75" hidden="false" customHeight="true" outlineLevel="0" collapsed="false">
      <c r="B318" s="311"/>
      <c r="C318" s="311"/>
      <c r="D318" s="311"/>
      <c r="E318" s="476"/>
      <c r="F318" s="476"/>
    </row>
    <row r="319" customFormat="false" ht="12.75" hidden="false" customHeight="true" outlineLevel="0" collapsed="false">
      <c r="B319" s="311"/>
      <c r="C319" s="311"/>
      <c r="D319" s="311"/>
      <c r="E319" s="476"/>
      <c r="F319" s="476"/>
    </row>
    <row r="320" customFormat="false" ht="12.75" hidden="false" customHeight="true" outlineLevel="0" collapsed="false">
      <c r="B320" s="311"/>
      <c r="C320" s="311"/>
      <c r="D320" s="311"/>
      <c r="E320" s="476"/>
      <c r="F320" s="476"/>
    </row>
    <row r="321" customFormat="false" ht="12.75" hidden="false" customHeight="true" outlineLevel="0" collapsed="false">
      <c r="B321" s="311"/>
      <c r="C321" s="311"/>
      <c r="D321" s="311"/>
      <c r="E321" s="476"/>
      <c r="F321" s="476"/>
    </row>
    <row r="322" customFormat="false" ht="12.75" hidden="false" customHeight="true" outlineLevel="0" collapsed="false">
      <c r="B322" s="311"/>
      <c r="C322" s="311"/>
      <c r="D322" s="311"/>
      <c r="E322" s="476"/>
      <c r="F322" s="476"/>
    </row>
    <row r="323" customFormat="false" ht="12.75" hidden="false" customHeight="true" outlineLevel="0" collapsed="false">
      <c r="B323" s="311"/>
      <c r="C323" s="311"/>
      <c r="D323" s="311"/>
      <c r="E323" s="476"/>
      <c r="F323" s="476"/>
    </row>
    <row r="324" customFormat="false" ht="12.75" hidden="false" customHeight="true" outlineLevel="0" collapsed="false">
      <c r="B324" s="311"/>
      <c r="C324" s="311"/>
      <c r="D324" s="311"/>
      <c r="E324" s="476"/>
      <c r="F324" s="476"/>
    </row>
    <row r="325" customFormat="false" ht="12.75" hidden="false" customHeight="true" outlineLevel="0" collapsed="false">
      <c r="B325" s="311"/>
      <c r="C325" s="311"/>
      <c r="D325" s="311"/>
      <c r="E325" s="476"/>
      <c r="F325" s="476"/>
    </row>
    <row r="326" customFormat="false" ht="12.75" hidden="false" customHeight="true" outlineLevel="0" collapsed="false">
      <c r="B326" s="311"/>
      <c r="C326" s="311"/>
      <c r="D326" s="311"/>
      <c r="E326" s="476"/>
      <c r="F326" s="476"/>
    </row>
    <row r="327" customFormat="false" ht="12.75" hidden="false" customHeight="true" outlineLevel="0" collapsed="false">
      <c r="B327" s="311"/>
      <c r="C327" s="311"/>
      <c r="D327" s="311"/>
      <c r="E327" s="476"/>
      <c r="F327" s="476"/>
    </row>
    <row r="328" customFormat="false" ht="12.75" hidden="false" customHeight="true" outlineLevel="0" collapsed="false">
      <c r="B328" s="311"/>
      <c r="C328" s="311"/>
      <c r="D328" s="311"/>
      <c r="E328" s="476"/>
      <c r="F328" s="476"/>
    </row>
    <row r="329" customFormat="false" ht="12.75" hidden="false" customHeight="true" outlineLevel="0" collapsed="false">
      <c r="B329" s="311"/>
      <c r="C329" s="311"/>
      <c r="D329" s="311"/>
      <c r="E329" s="476"/>
      <c r="F329" s="476"/>
    </row>
    <row r="330" customFormat="false" ht="12.75" hidden="false" customHeight="true" outlineLevel="0" collapsed="false">
      <c r="B330" s="311"/>
      <c r="C330" s="311"/>
      <c r="D330" s="311"/>
      <c r="E330" s="476"/>
      <c r="F330" s="476"/>
    </row>
    <row r="331" customFormat="false" ht="12.75" hidden="false" customHeight="true" outlineLevel="0" collapsed="false">
      <c r="B331" s="311"/>
      <c r="C331" s="311"/>
      <c r="D331" s="311"/>
      <c r="E331" s="476"/>
      <c r="F331" s="476"/>
    </row>
    <row r="332" customFormat="false" ht="12.75" hidden="false" customHeight="true" outlineLevel="0" collapsed="false">
      <c r="B332" s="311"/>
      <c r="C332" s="311"/>
      <c r="D332" s="311"/>
      <c r="E332" s="476"/>
      <c r="F332" s="476"/>
    </row>
    <row r="333" customFormat="false" ht="12.75" hidden="false" customHeight="true" outlineLevel="0" collapsed="false">
      <c r="B333" s="311"/>
      <c r="C333" s="311"/>
      <c r="D333" s="311"/>
      <c r="E333" s="476"/>
      <c r="F333" s="476"/>
    </row>
    <row r="334" customFormat="false" ht="12.75" hidden="false" customHeight="true" outlineLevel="0" collapsed="false">
      <c r="B334" s="311"/>
      <c r="C334" s="311"/>
      <c r="D334" s="311"/>
      <c r="E334" s="476"/>
      <c r="F334" s="476"/>
    </row>
    <row r="335" customFormat="false" ht="12.75" hidden="false" customHeight="true" outlineLevel="0" collapsed="false">
      <c r="B335" s="311"/>
      <c r="C335" s="311"/>
      <c r="D335" s="311"/>
      <c r="E335" s="476"/>
      <c r="F335" s="476"/>
    </row>
    <row r="336" customFormat="false" ht="12.75" hidden="false" customHeight="true" outlineLevel="0" collapsed="false">
      <c r="B336" s="311"/>
      <c r="C336" s="311"/>
      <c r="D336" s="311"/>
      <c r="E336" s="476"/>
      <c r="F336" s="476"/>
    </row>
    <row r="337" customFormat="false" ht="12.75" hidden="false" customHeight="true" outlineLevel="0" collapsed="false">
      <c r="B337" s="311"/>
      <c r="C337" s="311"/>
      <c r="D337" s="311"/>
      <c r="E337" s="476"/>
      <c r="F337" s="476"/>
    </row>
    <row r="338" customFormat="false" ht="12.75" hidden="false" customHeight="true" outlineLevel="0" collapsed="false">
      <c r="B338" s="311"/>
      <c r="C338" s="311"/>
      <c r="D338" s="311"/>
      <c r="E338" s="476"/>
      <c r="F338" s="476"/>
    </row>
    <row r="339" customFormat="false" ht="12.75" hidden="false" customHeight="true" outlineLevel="0" collapsed="false">
      <c r="B339" s="311"/>
      <c r="C339" s="311"/>
      <c r="D339" s="311"/>
      <c r="E339" s="476"/>
      <c r="F339" s="476"/>
    </row>
    <row r="340" customFormat="false" ht="12.75" hidden="false" customHeight="true" outlineLevel="0" collapsed="false">
      <c r="B340" s="311"/>
      <c r="C340" s="311"/>
      <c r="D340" s="311"/>
      <c r="E340" s="476"/>
      <c r="F340" s="476"/>
    </row>
    <row r="341" customFormat="false" ht="12.75" hidden="false" customHeight="true" outlineLevel="0" collapsed="false">
      <c r="B341" s="311"/>
      <c r="C341" s="311"/>
      <c r="D341" s="311"/>
      <c r="E341" s="476"/>
      <c r="F341" s="476"/>
    </row>
    <row r="342" customFormat="false" ht="12.75" hidden="false" customHeight="true" outlineLevel="0" collapsed="false">
      <c r="B342" s="311"/>
      <c r="C342" s="311"/>
      <c r="D342" s="311"/>
      <c r="E342" s="476"/>
      <c r="F342" s="476"/>
    </row>
    <row r="343" customFormat="false" ht="12.75" hidden="false" customHeight="true" outlineLevel="0" collapsed="false">
      <c r="B343" s="311"/>
      <c r="C343" s="311"/>
      <c r="D343" s="311"/>
      <c r="E343" s="476"/>
      <c r="F343" s="476"/>
    </row>
    <row r="344" customFormat="false" ht="12.75" hidden="false" customHeight="true" outlineLevel="0" collapsed="false">
      <c r="B344" s="311"/>
      <c r="C344" s="311"/>
      <c r="D344" s="311"/>
      <c r="E344" s="476"/>
      <c r="F344" s="476"/>
    </row>
    <row r="345" customFormat="false" ht="12.75" hidden="false" customHeight="true" outlineLevel="0" collapsed="false">
      <c r="B345" s="311"/>
      <c r="C345" s="311"/>
      <c r="D345" s="311"/>
      <c r="E345" s="476"/>
      <c r="F345" s="476"/>
    </row>
    <row r="346" customFormat="false" ht="12.75" hidden="false" customHeight="true" outlineLevel="0" collapsed="false">
      <c r="B346" s="311"/>
      <c r="C346" s="311"/>
      <c r="D346" s="311"/>
      <c r="E346" s="476"/>
      <c r="F346" s="476"/>
    </row>
    <row r="347" customFormat="false" ht="12.75" hidden="false" customHeight="true" outlineLevel="0" collapsed="false">
      <c r="B347" s="311"/>
      <c r="C347" s="311"/>
      <c r="D347" s="311"/>
      <c r="E347" s="476"/>
      <c r="F347" s="476"/>
    </row>
    <row r="348" customFormat="false" ht="12.75" hidden="false" customHeight="true" outlineLevel="0" collapsed="false">
      <c r="B348" s="311"/>
      <c r="C348" s="311"/>
      <c r="D348" s="311"/>
      <c r="E348" s="476"/>
      <c r="F348" s="476"/>
    </row>
    <row r="349" customFormat="false" ht="12.75" hidden="false" customHeight="true" outlineLevel="0" collapsed="false">
      <c r="B349" s="311"/>
      <c r="C349" s="311"/>
      <c r="D349" s="311"/>
      <c r="E349" s="476"/>
      <c r="F349" s="476"/>
    </row>
    <row r="350" customFormat="false" ht="12.75" hidden="false" customHeight="true" outlineLevel="0" collapsed="false">
      <c r="B350" s="311"/>
      <c r="C350" s="311"/>
      <c r="D350" s="311"/>
      <c r="E350" s="476"/>
      <c r="F350" s="476"/>
    </row>
    <row r="351" customFormat="false" ht="12.75" hidden="false" customHeight="true" outlineLevel="0" collapsed="false">
      <c r="B351" s="311"/>
      <c r="C351" s="311"/>
      <c r="D351" s="311"/>
      <c r="E351" s="476"/>
      <c r="F351" s="476"/>
    </row>
    <row r="352" customFormat="false" ht="12.75" hidden="false" customHeight="true" outlineLevel="0" collapsed="false">
      <c r="B352" s="311"/>
      <c r="C352" s="311"/>
      <c r="D352" s="311"/>
      <c r="E352" s="476"/>
      <c r="F352" s="476"/>
    </row>
    <row r="353" customFormat="false" ht="12.75" hidden="false" customHeight="true" outlineLevel="0" collapsed="false">
      <c r="B353" s="311"/>
      <c r="C353" s="311"/>
      <c r="D353" s="311"/>
      <c r="E353" s="476"/>
      <c r="F353" s="476"/>
    </row>
    <row r="354" customFormat="false" ht="12.75" hidden="false" customHeight="true" outlineLevel="0" collapsed="false">
      <c r="B354" s="311"/>
      <c r="C354" s="311"/>
      <c r="D354" s="311"/>
      <c r="E354" s="476"/>
      <c r="F354" s="476"/>
    </row>
    <row r="355" customFormat="false" ht="12.75" hidden="false" customHeight="true" outlineLevel="0" collapsed="false">
      <c r="B355" s="311"/>
      <c r="C355" s="311"/>
      <c r="D355" s="311"/>
      <c r="E355" s="476"/>
      <c r="F355" s="476"/>
    </row>
    <row r="356" customFormat="false" ht="12.75" hidden="false" customHeight="true" outlineLevel="0" collapsed="false">
      <c r="B356" s="311"/>
      <c r="C356" s="311"/>
      <c r="D356" s="311"/>
      <c r="E356" s="476"/>
      <c r="F356" s="476"/>
    </row>
    <row r="357" customFormat="false" ht="12.75" hidden="false" customHeight="true" outlineLevel="0" collapsed="false">
      <c r="B357" s="311"/>
      <c r="C357" s="311"/>
      <c r="D357" s="311"/>
      <c r="E357" s="476"/>
      <c r="F357" s="476"/>
    </row>
    <row r="358" customFormat="false" ht="12.75" hidden="false" customHeight="true" outlineLevel="0" collapsed="false">
      <c r="B358" s="311"/>
      <c r="C358" s="311"/>
      <c r="D358" s="311"/>
      <c r="E358" s="476"/>
      <c r="F358" s="476"/>
    </row>
    <row r="359" customFormat="false" ht="12.75" hidden="false" customHeight="true" outlineLevel="0" collapsed="false">
      <c r="B359" s="311"/>
      <c r="C359" s="311"/>
      <c r="D359" s="311"/>
      <c r="E359" s="476"/>
      <c r="F359" s="476"/>
    </row>
    <row r="360" customFormat="false" ht="12.75" hidden="false" customHeight="true" outlineLevel="0" collapsed="false">
      <c r="B360" s="311"/>
      <c r="C360" s="311"/>
      <c r="D360" s="311"/>
      <c r="E360" s="476"/>
      <c r="F360" s="476"/>
    </row>
    <row r="361" customFormat="false" ht="12.75" hidden="false" customHeight="true" outlineLevel="0" collapsed="false">
      <c r="B361" s="311"/>
      <c r="C361" s="311"/>
      <c r="D361" s="311"/>
      <c r="E361" s="476"/>
      <c r="F361" s="476"/>
    </row>
    <row r="362" customFormat="false" ht="12.75" hidden="false" customHeight="true" outlineLevel="0" collapsed="false">
      <c r="B362" s="311"/>
      <c r="C362" s="311"/>
      <c r="D362" s="311"/>
      <c r="E362" s="476"/>
      <c r="F362" s="476"/>
    </row>
    <row r="363" customFormat="false" ht="12.75" hidden="false" customHeight="true" outlineLevel="0" collapsed="false">
      <c r="B363" s="311"/>
      <c r="C363" s="311"/>
      <c r="D363" s="311"/>
      <c r="E363" s="476"/>
      <c r="F363" s="476"/>
    </row>
    <row r="364" customFormat="false" ht="12.75" hidden="false" customHeight="true" outlineLevel="0" collapsed="false">
      <c r="B364" s="311"/>
      <c r="C364" s="311"/>
      <c r="D364" s="311"/>
      <c r="E364" s="476"/>
      <c r="F364" s="476"/>
    </row>
    <row r="365" customFormat="false" ht="12.75" hidden="false" customHeight="true" outlineLevel="0" collapsed="false">
      <c r="B365" s="311"/>
      <c r="C365" s="311"/>
      <c r="D365" s="311"/>
      <c r="E365" s="476"/>
      <c r="F365" s="476"/>
    </row>
    <row r="366" customFormat="false" ht="12.75" hidden="false" customHeight="true" outlineLevel="0" collapsed="false">
      <c r="B366" s="311"/>
      <c r="C366" s="311"/>
      <c r="D366" s="311"/>
      <c r="E366" s="476"/>
      <c r="F366" s="476"/>
    </row>
    <row r="367" customFormat="false" ht="12.75" hidden="false" customHeight="true" outlineLevel="0" collapsed="false">
      <c r="B367" s="311"/>
      <c r="C367" s="311"/>
      <c r="D367" s="311"/>
      <c r="E367" s="476"/>
      <c r="F367" s="476"/>
    </row>
    <row r="368" customFormat="false" ht="12.75" hidden="false" customHeight="true" outlineLevel="0" collapsed="false">
      <c r="B368" s="311"/>
      <c r="C368" s="311"/>
      <c r="D368" s="311"/>
      <c r="E368" s="476"/>
      <c r="F368" s="476"/>
    </row>
    <row r="369" customFormat="false" ht="12.75" hidden="false" customHeight="true" outlineLevel="0" collapsed="false">
      <c r="B369" s="311"/>
      <c r="C369" s="311"/>
      <c r="D369" s="311"/>
      <c r="E369" s="476"/>
      <c r="F369" s="476"/>
    </row>
    <row r="370" customFormat="false" ht="12.75" hidden="false" customHeight="true" outlineLevel="0" collapsed="false">
      <c r="B370" s="311"/>
      <c r="C370" s="311"/>
      <c r="D370" s="311"/>
      <c r="E370" s="476"/>
      <c r="F370" s="476"/>
    </row>
    <row r="371" customFormat="false" ht="12.75" hidden="false" customHeight="true" outlineLevel="0" collapsed="false">
      <c r="B371" s="311"/>
      <c r="C371" s="311"/>
      <c r="D371" s="311"/>
      <c r="E371" s="476"/>
      <c r="F371" s="476"/>
    </row>
    <row r="372" customFormat="false" ht="12.75" hidden="false" customHeight="true" outlineLevel="0" collapsed="false">
      <c r="B372" s="311"/>
      <c r="C372" s="311"/>
      <c r="D372" s="311"/>
      <c r="E372" s="476"/>
      <c r="F372" s="476"/>
    </row>
    <row r="373" customFormat="false" ht="12.75" hidden="false" customHeight="true" outlineLevel="0" collapsed="false">
      <c r="B373" s="311"/>
      <c r="C373" s="311"/>
      <c r="D373" s="311"/>
      <c r="E373" s="476"/>
      <c r="F373" s="476"/>
    </row>
    <row r="374" customFormat="false" ht="12.75" hidden="false" customHeight="true" outlineLevel="0" collapsed="false">
      <c r="B374" s="311"/>
      <c r="C374" s="311"/>
      <c r="D374" s="311"/>
      <c r="E374" s="476"/>
      <c r="F374" s="476"/>
    </row>
    <row r="375" customFormat="false" ht="12.75" hidden="false" customHeight="true" outlineLevel="0" collapsed="false">
      <c r="B375" s="311"/>
      <c r="C375" s="311"/>
      <c r="D375" s="311"/>
      <c r="E375" s="476"/>
      <c r="F375" s="476"/>
    </row>
    <row r="376" customFormat="false" ht="12.75" hidden="false" customHeight="true" outlineLevel="0" collapsed="false">
      <c r="B376" s="311"/>
      <c r="C376" s="311"/>
      <c r="D376" s="311"/>
      <c r="E376" s="476"/>
      <c r="F376" s="476"/>
    </row>
    <row r="377" customFormat="false" ht="12.75" hidden="false" customHeight="true" outlineLevel="0" collapsed="false">
      <c r="B377" s="311"/>
      <c r="C377" s="311"/>
      <c r="D377" s="311"/>
      <c r="E377" s="476"/>
      <c r="F377" s="476"/>
    </row>
    <row r="378" customFormat="false" ht="12.75" hidden="false" customHeight="true" outlineLevel="0" collapsed="false">
      <c r="B378" s="311"/>
      <c r="C378" s="311"/>
      <c r="D378" s="311"/>
      <c r="E378" s="476"/>
      <c r="F378" s="476"/>
    </row>
    <row r="379" customFormat="false" ht="12.75" hidden="false" customHeight="true" outlineLevel="0" collapsed="false">
      <c r="B379" s="311"/>
      <c r="C379" s="311"/>
      <c r="D379" s="311"/>
      <c r="E379" s="476"/>
      <c r="F379" s="476"/>
    </row>
    <row r="380" customFormat="false" ht="12.75" hidden="false" customHeight="true" outlineLevel="0" collapsed="false">
      <c r="B380" s="311"/>
      <c r="C380" s="311"/>
      <c r="D380" s="311"/>
      <c r="E380" s="476"/>
      <c r="F380" s="476"/>
    </row>
    <row r="381" customFormat="false" ht="12.75" hidden="false" customHeight="true" outlineLevel="0" collapsed="false">
      <c r="B381" s="311"/>
      <c r="C381" s="311"/>
      <c r="D381" s="311"/>
      <c r="E381" s="476"/>
      <c r="F381" s="476"/>
    </row>
    <row r="382" customFormat="false" ht="12.75" hidden="false" customHeight="true" outlineLevel="0" collapsed="false">
      <c r="B382" s="311"/>
      <c r="C382" s="311"/>
      <c r="D382" s="311"/>
      <c r="E382" s="476"/>
      <c r="F382" s="476"/>
    </row>
    <row r="383" customFormat="false" ht="12.75" hidden="false" customHeight="true" outlineLevel="0" collapsed="false">
      <c r="B383" s="311"/>
      <c r="C383" s="311"/>
      <c r="D383" s="311"/>
      <c r="E383" s="476"/>
      <c r="F383" s="476"/>
    </row>
    <row r="384" customFormat="false" ht="12.75" hidden="false" customHeight="true" outlineLevel="0" collapsed="false">
      <c r="B384" s="311"/>
      <c r="C384" s="311"/>
      <c r="D384" s="311"/>
      <c r="E384" s="476"/>
      <c r="F384" s="476"/>
    </row>
    <row r="385" customFormat="false" ht="12.75" hidden="false" customHeight="true" outlineLevel="0" collapsed="false">
      <c r="B385" s="311"/>
      <c r="C385" s="311"/>
      <c r="D385" s="311"/>
      <c r="E385" s="476"/>
      <c r="F385" s="476"/>
    </row>
    <row r="386" customFormat="false" ht="12.75" hidden="false" customHeight="true" outlineLevel="0" collapsed="false">
      <c r="B386" s="311"/>
      <c r="C386" s="311"/>
      <c r="D386" s="311"/>
      <c r="E386" s="476"/>
      <c r="F386" s="476"/>
    </row>
    <row r="387" customFormat="false" ht="12.75" hidden="false" customHeight="true" outlineLevel="0" collapsed="false">
      <c r="B387" s="311"/>
      <c r="C387" s="311"/>
      <c r="D387" s="311"/>
      <c r="E387" s="476"/>
      <c r="F387" s="476"/>
    </row>
    <row r="388" customFormat="false" ht="12.75" hidden="false" customHeight="true" outlineLevel="0" collapsed="false">
      <c r="B388" s="311"/>
      <c r="C388" s="311"/>
      <c r="D388" s="311"/>
      <c r="E388" s="476"/>
      <c r="F388" s="476"/>
    </row>
    <row r="389" customFormat="false" ht="12.75" hidden="false" customHeight="true" outlineLevel="0" collapsed="false">
      <c r="B389" s="311"/>
      <c r="C389" s="311"/>
      <c r="D389" s="311"/>
      <c r="E389" s="476"/>
      <c r="F389" s="476"/>
    </row>
    <row r="390" customFormat="false" ht="12.75" hidden="false" customHeight="true" outlineLevel="0" collapsed="false">
      <c r="B390" s="311"/>
      <c r="C390" s="311"/>
      <c r="D390" s="311"/>
      <c r="E390" s="476"/>
      <c r="F390" s="476"/>
    </row>
    <row r="391" customFormat="false" ht="12.75" hidden="false" customHeight="true" outlineLevel="0" collapsed="false">
      <c r="B391" s="311"/>
      <c r="C391" s="311"/>
      <c r="D391" s="311"/>
      <c r="E391" s="476"/>
      <c r="F391" s="476"/>
    </row>
    <row r="392" customFormat="false" ht="12.75" hidden="false" customHeight="true" outlineLevel="0" collapsed="false">
      <c r="B392" s="311"/>
      <c r="C392" s="311"/>
      <c r="D392" s="311"/>
      <c r="E392" s="476"/>
      <c r="F392" s="476"/>
    </row>
    <row r="393" customFormat="false" ht="12.75" hidden="false" customHeight="true" outlineLevel="0" collapsed="false">
      <c r="B393" s="311"/>
      <c r="C393" s="311"/>
      <c r="D393" s="311"/>
      <c r="E393" s="476"/>
      <c r="F393" s="476"/>
    </row>
    <row r="394" customFormat="false" ht="12.75" hidden="false" customHeight="true" outlineLevel="0" collapsed="false">
      <c r="B394" s="311"/>
      <c r="C394" s="311"/>
      <c r="D394" s="311"/>
      <c r="E394" s="476"/>
      <c r="F394" s="476"/>
    </row>
    <row r="395" customFormat="false" ht="12.75" hidden="false" customHeight="true" outlineLevel="0" collapsed="false">
      <c r="B395" s="311"/>
      <c r="C395" s="311"/>
      <c r="D395" s="311"/>
      <c r="E395" s="476"/>
      <c r="F395" s="476"/>
    </row>
    <row r="396" customFormat="false" ht="12.75" hidden="false" customHeight="true" outlineLevel="0" collapsed="false">
      <c r="B396" s="311"/>
      <c r="C396" s="311"/>
      <c r="D396" s="311"/>
      <c r="E396" s="476"/>
      <c r="F396" s="476"/>
    </row>
    <row r="397" customFormat="false" ht="12.75" hidden="false" customHeight="true" outlineLevel="0" collapsed="false">
      <c r="B397" s="311"/>
      <c r="C397" s="311"/>
      <c r="D397" s="311"/>
      <c r="E397" s="476"/>
      <c r="F397" s="476"/>
    </row>
    <row r="398" customFormat="false" ht="12.75" hidden="false" customHeight="true" outlineLevel="0" collapsed="false">
      <c r="B398" s="311"/>
      <c r="C398" s="311"/>
      <c r="D398" s="311"/>
      <c r="E398" s="476"/>
      <c r="F398" s="476"/>
    </row>
    <row r="399" customFormat="false" ht="12.75" hidden="false" customHeight="true" outlineLevel="0" collapsed="false">
      <c r="B399" s="311"/>
      <c r="C399" s="311"/>
      <c r="D399" s="311"/>
      <c r="E399" s="476"/>
      <c r="F399" s="476"/>
    </row>
    <row r="400" customFormat="false" ht="12.75" hidden="false" customHeight="true" outlineLevel="0" collapsed="false">
      <c r="B400" s="311"/>
      <c r="C400" s="311"/>
      <c r="D400" s="311"/>
      <c r="E400" s="476"/>
      <c r="F400" s="476"/>
    </row>
    <row r="401" customFormat="false" ht="12.75" hidden="false" customHeight="true" outlineLevel="0" collapsed="false">
      <c r="B401" s="311"/>
      <c r="C401" s="311"/>
      <c r="D401" s="311"/>
      <c r="E401" s="476"/>
      <c r="F401" s="476"/>
    </row>
    <row r="402" customFormat="false" ht="12.75" hidden="false" customHeight="true" outlineLevel="0" collapsed="false">
      <c r="B402" s="311"/>
      <c r="C402" s="311"/>
      <c r="D402" s="311"/>
      <c r="E402" s="476"/>
      <c r="F402" s="476"/>
    </row>
    <row r="403" customFormat="false" ht="12.75" hidden="false" customHeight="true" outlineLevel="0" collapsed="false">
      <c r="B403" s="311"/>
      <c r="C403" s="311"/>
      <c r="D403" s="311"/>
      <c r="E403" s="476"/>
      <c r="F403" s="476"/>
    </row>
    <row r="404" customFormat="false" ht="12.75" hidden="false" customHeight="true" outlineLevel="0" collapsed="false">
      <c r="B404" s="311"/>
      <c r="C404" s="311"/>
      <c r="D404" s="311"/>
      <c r="E404" s="476"/>
      <c r="F404" s="476"/>
    </row>
    <row r="405" customFormat="false" ht="12.75" hidden="false" customHeight="true" outlineLevel="0" collapsed="false">
      <c r="B405" s="311"/>
      <c r="C405" s="311"/>
      <c r="D405" s="311"/>
      <c r="E405" s="476"/>
      <c r="F405" s="476"/>
    </row>
    <row r="406" customFormat="false" ht="12.75" hidden="false" customHeight="true" outlineLevel="0" collapsed="false">
      <c r="B406" s="311"/>
      <c r="C406" s="311"/>
      <c r="D406" s="311"/>
      <c r="E406" s="476"/>
      <c r="F406" s="476"/>
    </row>
    <row r="407" customFormat="false" ht="12.75" hidden="false" customHeight="true" outlineLevel="0" collapsed="false">
      <c r="B407" s="311"/>
      <c r="C407" s="311"/>
      <c r="D407" s="311"/>
      <c r="E407" s="476"/>
      <c r="F407" s="476"/>
    </row>
    <row r="408" customFormat="false" ht="12.75" hidden="false" customHeight="true" outlineLevel="0" collapsed="false">
      <c r="B408" s="311"/>
      <c r="C408" s="311"/>
      <c r="D408" s="311"/>
      <c r="E408" s="476"/>
      <c r="F408" s="476"/>
    </row>
    <row r="409" customFormat="false" ht="12.75" hidden="false" customHeight="true" outlineLevel="0" collapsed="false">
      <c r="B409" s="311"/>
      <c r="C409" s="311"/>
      <c r="D409" s="311"/>
      <c r="E409" s="476"/>
      <c r="F409" s="476"/>
    </row>
    <row r="410" customFormat="false" ht="12.75" hidden="false" customHeight="true" outlineLevel="0" collapsed="false">
      <c r="B410" s="311"/>
      <c r="C410" s="311"/>
      <c r="D410" s="311"/>
      <c r="E410" s="476"/>
      <c r="F410" s="476"/>
    </row>
    <row r="411" customFormat="false" ht="12.75" hidden="false" customHeight="true" outlineLevel="0" collapsed="false">
      <c r="B411" s="311"/>
      <c r="C411" s="311"/>
      <c r="D411" s="311"/>
      <c r="E411" s="476"/>
      <c r="F411" s="476"/>
    </row>
    <row r="412" customFormat="false" ht="12.75" hidden="false" customHeight="true" outlineLevel="0" collapsed="false">
      <c r="B412" s="311"/>
      <c r="C412" s="311"/>
      <c r="D412" s="311"/>
      <c r="E412" s="476"/>
      <c r="F412" s="476"/>
    </row>
    <row r="413" customFormat="false" ht="12.75" hidden="false" customHeight="true" outlineLevel="0" collapsed="false">
      <c r="B413" s="311"/>
      <c r="C413" s="311"/>
      <c r="D413" s="311"/>
      <c r="E413" s="476"/>
      <c r="F413" s="476"/>
    </row>
    <row r="414" customFormat="false" ht="12.75" hidden="false" customHeight="true" outlineLevel="0" collapsed="false">
      <c r="B414" s="311"/>
      <c r="C414" s="311"/>
      <c r="D414" s="311"/>
      <c r="E414" s="476"/>
      <c r="F414" s="476"/>
    </row>
    <row r="415" customFormat="false" ht="12.75" hidden="false" customHeight="true" outlineLevel="0" collapsed="false">
      <c r="B415" s="311"/>
      <c r="C415" s="311"/>
      <c r="D415" s="311"/>
      <c r="E415" s="476"/>
      <c r="F415" s="476"/>
    </row>
    <row r="416" customFormat="false" ht="12.75" hidden="false" customHeight="true" outlineLevel="0" collapsed="false">
      <c r="B416" s="311"/>
      <c r="C416" s="311"/>
      <c r="D416" s="311"/>
      <c r="E416" s="476"/>
      <c r="F416" s="476"/>
    </row>
    <row r="417" customFormat="false" ht="12.75" hidden="false" customHeight="true" outlineLevel="0" collapsed="false">
      <c r="B417" s="311"/>
      <c r="C417" s="311"/>
      <c r="D417" s="311"/>
      <c r="E417" s="476"/>
      <c r="F417" s="476"/>
    </row>
    <row r="418" customFormat="false" ht="12.75" hidden="false" customHeight="true" outlineLevel="0" collapsed="false">
      <c r="B418" s="311"/>
      <c r="C418" s="311"/>
      <c r="D418" s="311"/>
      <c r="E418" s="476"/>
      <c r="F418" s="476"/>
    </row>
    <row r="419" customFormat="false" ht="12.75" hidden="false" customHeight="true" outlineLevel="0" collapsed="false">
      <c r="B419" s="311"/>
      <c r="C419" s="311"/>
      <c r="D419" s="311"/>
      <c r="E419" s="476"/>
      <c r="F419" s="476"/>
    </row>
    <row r="420" customFormat="false" ht="12.75" hidden="false" customHeight="true" outlineLevel="0" collapsed="false">
      <c r="B420" s="311"/>
      <c r="C420" s="311"/>
      <c r="D420" s="311"/>
      <c r="E420" s="476"/>
      <c r="F420" s="476"/>
    </row>
    <row r="421" customFormat="false" ht="12.75" hidden="false" customHeight="true" outlineLevel="0" collapsed="false">
      <c r="B421" s="311"/>
      <c r="C421" s="311"/>
      <c r="D421" s="311"/>
      <c r="E421" s="476"/>
      <c r="F421" s="476"/>
    </row>
    <row r="422" customFormat="false" ht="12.75" hidden="false" customHeight="true" outlineLevel="0" collapsed="false">
      <c r="B422" s="311"/>
      <c r="C422" s="311"/>
      <c r="D422" s="311"/>
      <c r="E422" s="476"/>
      <c r="F422" s="476"/>
    </row>
    <row r="423" customFormat="false" ht="12.75" hidden="false" customHeight="true" outlineLevel="0" collapsed="false">
      <c r="B423" s="311"/>
      <c r="C423" s="311"/>
      <c r="D423" s="311"/>
      <c r="E423" s="476"/>
      <c r="F423" s="476"/>
    </row>
    <row r="424" customFormat="false" ht="12.75" hidden="false" customHeight="true" outlineLevel="0" collapsed="false">
      <c r="B424" s="311"/>
      <c r="C424" s="311"/>
      <c r="D424" s="311"/>
      <c r="E424" s="476"/>
      <c r="F424" s="476"/>
    </row>
    <row r="425" customFormat="false" ht="12.75" hidden="false" customHeight="true" outlineLevel="0" collapsed="false">
      <c r="B425" s="311"/>
      <c r="C425" s="311"/>
      <c r="D425" s="311"/>
      <c r="E425" s="476"/>
      <c r="F425" s="476"/>
    </row>
    <row r="426" customFormat="false" ht="12.75" hidden="false" customHeight="true" outlineLevel="0" collapsed="false">
      <c r="B426" s="311"/>
      <c r="C426" s="311"/>
      <c r="D426" s="311"/>
      <c r="E426" s="476"/>
      <c r="F426" s="476"/>
    </row>
    <row r="427" customFormat="false" ht="12.75" hidden="false" customHeight="true" outlineLevel="0" collapsed="false">
      <c r="B427" s="311"/>
      <c r="C427" s="311"/>
      <c r="D427" s="311"/>
      <c r="E427" s="476"/>
      <c r="F427" s="476"/>
    </row>
    <row r="428" customFormat="false" ht="12.75" hidden="false" customHeight="true" outlineLevel="0" collapsed="false">
      <c r="B428" s="311"/>
      <c r="C428" s="311"/>
      <c r="D428" s="311"/>
      <c r="E428" s="476"/>
      <c r="F428" s="476"/>
    </row>
    <row r="429" customFormat="false" ht="12.75" hidden="false" customHeight="true" outlineLevel="0" collapsed="false">
      <c r="B429" s="311"/>
      <c r="C429" s="311"/>
      <c r="D429" s="311"/>
      <c r="E429" s="476"/>
      <c r="F429" s="476"/>
    </row>
    <row r="430" customFormat="false" ht="12.75" hidden="false" customHeight="true" outlineLevel="0" collapsed="false">
      <c r="B430" s="311"/>
      <c r="C430" s="311"/>
      <c r="D430" s="311"/>
      <c r="E430" s="476"/>
      <c r="F430" s="476"/>
    </row>
    <row r="431" customFormat="false" ht="12.75" hidden="false" customHeight="true" outlineLevel="0" collapsed="false">
      <c r="B431" s="311"/>
      <c r="C431" s="311"/>
      <c r="D431" s="311"/>
      <c r="E431" s="476"/>
      <c r="F431" s="476"/>
    </row>
    <row r="432" customFormat="false" ht="12.75" hidden="false" customHeight="true" outlineLevel="0" collapsed="false">
      <c r="B432" s="311"/>
      <c r="C432" s="311"/>
      <c r="D432" s="311"/>
      <c r="E432" s="476"/>
      <c r="F432" s="476"/>
    </row>
    <row r="433" customFormat="false" ht="12.75" hidden="false" customHeight="true" outlineLevel="0" collapsed="false">
      <c r="B433" s="311"/>
      <c r="C433" s="311"/>
      <c r="D433" s="311"/>
      <c r="E433" s="476"/>
      <c r="F433" s="476"/>
    </row>
    <row r="434" customFormat="false" ht="12.75" hidden="false" customHeight="true" outlineLevel="0" collapsed="false">
      <c r="B434" s="311"/>
      <c r="C434" s="311"/>
      <c r="D434" s="311"/>
      <c r="E434" s="476"/>
      <c r="F434" s="476"/>
    </row>
    <row r="435" customFormat="false" ht="12.75" hidden="false" customHeight="true" outlineLevel="0" collapsed="false">
      <c r="B435" s="311"/>
      <c r="C435" s="311"/>
      <c r="D435" s="311"/>
      <c r="E435" s="476"/>
      <c r="F435" s="476"/>
    </row>
    <row r="436" customFormat="false" ht="12.75" hidden="false" customHeight="true" outlineLevel="0" collapsed="false">
      <c r="B436" s="311"/>
      <c r="C436" s="311"/>
      <c r="D436" s="311"/>
      <c r="E436" s="476"/>
      <c r="F436" s="476"/>
    </row>
    <row r="437" customFormat="false" ht="12.75" hidden="false" customHeight="true" outlineLevel="0" collapsed="false">
      <c r="B437" s="311"/>
      <c r="C437" s="311"/>
      <c r="D437" s="311"/>
      <c r="E437" s="476"/>
      <c r="F437" s="476"/>
    </row>
    <row r="438" customFormat="false" ht="12.75" hidden="false" customHeight="true" outlineLevel="0" collapsed="false">
      <c r="B438" s="311"/>
      <c r="C438" s="311"/>
      <c r="D438" s="311"/>
      <c r="E438" s="476"/>
      <c r="F438" s="476"/>
    </row>
    <row r="439" customFormat="false" ht="12.75" hidden="false" customHeight="true" outlineLevel="0" collapsed="false">
      <c r="B439" s="311"/>
      <c r="C439" s="311"/>
      <c r="D439" s="311"/>
      <c r="E439" s="476"/>
      <c r="F439" s="476"/>
    </row>
    <row r="440" customFormat="false" ht="12.75" hidden="false" customHeight="true" outlineLevel="0" collapsed="false">
      <c r="B440" s="311"/>
      <c r="C440" s="311"/>
      <c r="D440" s="311"/>
      <c r="E440" s="476"/>
      <c r="F440" s="476"/>
    </row>
    <row r="441" customFormat="false" ht="12.75" hidden="false" customHeight="true" outlineLevel="0" collapsed="false">
      <c r="B441" s="311"/>
      <c r="C441" s="311"/>
      <c r="D441" s="311"/>
      <c r="E441" s="476"/>
      <c r="F441" s="476"/>
    </row>
    <row r="442" customFormat="false" ht="12.75" hidden="false" customHeight="true" outlineLevel="0" collapsed="false">
      <c r="B442" s="311"/>
      <c r="C442" s="311"/>
      <c r="D442" s="311"/>
      <c r="E442" s="476"/>
      <c r="F442" s="476"/>
    </row>
    <row r="443" customFormat="false" ht="12.75" hidden="false" customHeight="true" outlineLevel="0" collapsed="false">
      <c r="B443" s="311"/>
      <c r="C443" s="311"/>
      <c r="D443" s="311"/>
      <c r="E443" s="476"/>
      <c r="F443" s="476"/>
    </row>
    <row r="444" customFormat="false" ht="12.75" hidden="false" customHeight="true" outlineLevel="0" collapsed="false">
      <c r="B444" s="311"/>
      <c r="C444" s="311"/>
      <c r="D444" s="311"/>
      <c r="E444" s="476"/>
      <c r="F444" s="476"/>
    </row>
    <row r="445" customFormat="false" ht="12.75" hidden="false" customHeight="true" outlineLevel="0" collapsed="false">
      <c r="B445" s="311"/>
      <c r="C445" s="311"/>
      <c r="D445" s="311"/>
      <c r="E445" s="476"/>
      <c r="F445" s="476"/>
    </row>
    <row r="446" customFormat="false" ht="12.75" hidden="false" customHeight="true" outlineLevel="0" collapsed="false">
      <c r="B446" s="311"/>
      <c r="C446" s="311"/>
      <c r="D446" s="311"/>
      <c r="E446" s="476"/>
      <c r="F446" s="476"/>
    </row>
    <row r="447" customFormat="false" ht="12.75" hidden="false" customHeight="true" outlineLevel="0" collapsed="false">
      <c r="B447" s="311"/>
      <c r="C447" s="311"/>
      <c r="D447" s="311"/>
      <c r="E447" s="476"/>
      <c r="F447" s="476"/>
    </row>
    <row r="448" customFormat="false" ht="12.75" hidden="false" customHeight="true" outlineLevel="0" collapsed="false">
      <c r="B448" s="311"/>
      <c r="C448" s="311"/>
      <c r="D448" s="311"/>
      <c r="E448" s="476"/>
      <c r="F448" s="476"/>
    </row>
    <row r="449" customFormat="false" ht="12.75" hidden="false" customHeight="true" outlineLevel="0" collapsed="false">
      <c r="B449" s="311"/>
      <c r="C449" s="311"/>
      <c r="D449" s="311"/>
      <c r="E449" s="476"/>
      <c r="F449" s="476"/>
    </row>
    <row r="450" customFormat="false" ht="12.75" hidden="false" customHeight="true" outlineLevel="0" collapsed="false">
      <c r="B450" s="311"/>
      <c r="C450" s="311"/>
      <c r="D450" s="311"/>
      <c r="E450" s="476"/>
      <c r="F450" s="476"/>
    </row>
    <row r="451" customFormat="false" ht="12.75" hidden="false" customHeight="true" outlineLevel="0" collapsed="false">
      <c r="B451" s="311"/>
      <c r="C451" s="311"/>
      <c r="D451" s="311"/>
      <c r="E451" s="476"/>
      <c r="F451" s="476"/>
    </row>
    <row r="452" customFormat="false" ht="12.75" hidden="false" customHeight="true" outlineLevel="0" collapsed="false">
      <c r="B452" s="311"/>
      <c r="C452" s="311"/>
      <c r="D452" s="311"/>
      <c r="E452" s="476"/>
      <c r="F452" s="476"/>
    </row>
    <row r="453" customFormat="false" ht="12.75" hidden="false" customHeight="true" outlineLevel="0" collapsed="false">
      <c r="B453" s="311"/>
      <c r="C453" s="311"/>
      <c r="D453" s="311"/>
      <c r="E453" s="476"/>
      <c r="F453" s="476"/>
    </row>
    <row r="454" customFormat="false" ht="12.75" hidden="false" customHeight="true" outlineLevel="0" collapsed="false">
      <c r="B454" s="311"/>
      <c r="C454" s="311"/>
      <c r="D454" s="311"/>
      <c r="E454" s="476"/>
      <c r="F454" s="476"/>
    </row>
    <row r="455" customFormat="false" ht="12.75" hidden="false" customHeight="true" outlineLevel="0" collapsed="false">
      <c r="B455" s="311"/>
      <c r="C455" s="311"/>
      <c r="D455" s="311"/>
      <c r="E455" s="476"/>
      <c r="F455" s="476"/>
    </row>
    <row r="456" customFormat="false" ht="12.75" hidden="false" customHeight="true" outlineLevel="0" collapsed="false">
      <c r="B456" s="311"/>
      <c r="C456" s="311"/>
      <c r="D456" s="311"/>
      <c r="E456" s="476"/>
      <c r="F456" s="476"/>
    </row>
    <row r="457" customFormat="false" ht="12.75" hidden="false" customHeight="true" outlineLevel="0" collapsed="false">
      <c r="B457" s="311"/>
      <c r="C457" s="311"/>
      <c r="D457" s="311"/>
      <c r="E457" s="476"/>
      <c r="F457" s="476"/>
    </row>
    <row r="458" customFormat="false" ht="12.75" hidden="false" customHeight="true" outlineLevel="0" collapsed="false">
      <c r="B458" s="311"/>
      <c r="C458" s="311"/>
      <c r="D458" s="311"/>
      <c r="E458" s="476"/>
      <c r="F458" s="476"/>
    </row>
    <row r="459" customFormat="false" ht="12.75" hidden="false" customHeight="true" outlineLevel="0" collapsed="false">
      <c r="B459" s="311"/>
      <c r="C459" s="311"/>
      <c r="D459" s="311"/>
      <c r="E459" s="476"/>
      <c r="F459" s="476"/>
    </row>
    <row r="460" customFormat="false" ht="12.75" hidden="false" customHeight="true" outlineLevel="0" collapsed="false">
      <c r="B460" s="311"/>
      <c r="C460" s="311"/>
      <c r="D460" s="311"/>
      <c r="E460" s="476"/>
      <c r="F460" s="476"/>
    </row>
    <row r="461" customFormat="false" ht="12.75" hidden="false" customHeight="true" outlineLevel="0" collapsed="false">
      <c r="B461" s="311"/>
      <c r="C461" s="311"/>
      <c r="D461" s="311"/>
      <c r="E461" s="476"/>
      <c r="F461" s="476"/>
    </row>
    <row r="462" customFormat="false" ht="12.75" hidden="false" customHeight="true" outlineLevel="0" collapsed="false">
      <c r="B462" s="311"/>
      <c r="C462" s="311"/>
      <c r="D462" s="311"/>
      <c r="E462" s="476"/>
      <c r="F462" s="476"/>
    </row>
    <row r="463" customFormat="false" ht="12.75" hidden="false" customHeight="true" outlineLevel="0" collapsed="false">
      <c r="B463" s="311"/>
      <c r="C463" s="311"/>
      <c r="D463" s="311"/>
      <c r="E463" s="476"/>
      <c r="F463" s="476"/>
    </row>
    <row r="464" customFormat="false" ht="12.75" hidden="false" customHeight="true" outlineLevel="0" collapsed="false">
      <c r="B464" s="311"/>
      <c r="C464" s="311"/>
      <c r="D464" s="311"/>
      <c r="E464" s="476"/>
      <c r="F464" s="476"/>
    </row>
    <row r="465" customFormat="false" ht="12.75" hidden="false" customHeight="true" outlineLevel="0" collapsed="false">
      <c r="B465" s="311"/>
      <c r="C465" s="311"/>
      <c r="D465" s="311"/>
      <c r="E465" s="476"/>
      <c r="F465" s="476"/>
    </row>
    <row r="466" customFormat="false" ht="12.75" hidden="false" customHeight="true" outlineLevel="0" collapsed="false">
      <c r="B466" s="311"/>
      <c r="C466" s="311"/>
      <c r="D466" s="311"/>
      <c r="E466" s="476"/>
      <c r="F466" s="476"/>
    </row>
    <row r="467" customFormat="false" ht="12.75" hidden="false" customHeight="true" outlineLevel="0" collapsed="false">
      <c r="B467" s="311"/>
      <c r="C467" s="311"/>
      <c r="D467" s="311"/>
      <c r="E467" s="476"/>
      <c r="F467" s="476"/>
    </row>
    <row r="468" customFormat="false" ht="12.75" hidden="false" customHeight="true" outlineLevel="0" collapsed="false">
      <c r="B468" s="311"/>
      <c r="C468" s="311"/>
      <c r="D468" s="311"/>
      <c r="E468" s="476"/>
      <c r="F468" s="476"/>
    </row>
    <row r="469" customFormat="false" ht="12.75" hidden="false" customHeight="true" outlineLevel="0" collapsed="false">
      <c r="B469" s="311"/>
      <c r="C469" s="311"/>
      <c r="D469" s="311"/>
      <c r="E469" s="476"/>
      <c r="F469" s="476"/>
    </row>
    <row r="470" customFormat="false" ht="12.75" hidden="false" customHeight="true" outlineLevel="0" collapsed="false">
      <c r="B470" s="311"/>
      <c r="C470" s="311"/>
      <c r="D470" s="311"/>
      <c r="E470" s="476"/>
      <c r="F470" s="476"/>
    </row>
    <row r="471" customFormat="false" ht="12.75" hidden="false" customHeight="true" outlineLevel="0" collapsed="false">
      <c r="B471" s="311"/>
      <c r="C471" s="311"/>
      <c r="D471" s="311"/>
      <c r="E471" s="476"/>
      <c r="F471" s="476"/>
    </row>
    <row r="472" customFormat="false" ht="12.75" hidden="false" customHeight="true" outlineLevel="0" collapsed="false">
      <c r="B472" s="311"/>
      <c r="C472" s="311"/>
      <c r="D472" s="311"/>
      <c r="E472" s="476"/>
      <c r="F472" s="476"/>
    </row>
    <row r="473" customFormat="false" ht="12.75" hidden="false" customHeight="true" outlineLevel="0" collapsed="false">
      <c r="B473" s="311"/>
      <c r="C473" s="311"/>
      <c r="D473" s="311"/>
      <c r="E473" s="476"/>
      <c r="F473" s="476"/>
    </row>
    <row r="474" customFormat="false" ht="12.75" hidden="false" customHeight="true" outlineLevel="0" collapsed="false">
      <c r="B474" s="311"/>
      <c r="C474" s="311"/>
      <c r="D474" s="311"/>
      <c r="E474" s="476"/>
      <c r="F474" s="476"/>
    </row>
    <row r="475" customFormat="false" ht="12.75" hidden="false" customHeight="true" outlineLevel="0" collapsed="false">
      <c r="B475" s="311"/>
      <c r="C475" s="311"/>
      <c r="D475" s="311"/>
      <c r="E475" s="476"/>
      <c r="F475" s="476"/>
    </row>
    <row r="476" customFormat="false" ht="12.75" hidden="false" customHeight="true" outlineLevel="0" collapsed="false">
      <c r="B476" s="311"/>
      <c r="C476" s="311"/>
      <c r="D476" s="311"/>
      <c r="E476" s="476"/>
      <c r="F476" s="476"/>
    </row>
    <row r="477" customFormat="false" ht="12.75" hidden="false" customHeight="true" outlineLevel="0" collapsed="false">
      <c r="B477" s="311"/>
      <c r="C477" s="311"/>
      <c r="D477" s="311"/>
      <c r="E477" s="476"/>
      <c r="F477" s="476"/>
    </row>
    <row r="478" customFormat="false" ht="12.75" hidden="false" customHeight="true" outlineLevel="0" collapsed="false">
      <c r="B478" s="311"/>
      <c r="C478" s="311"/>
      <c r="D478" s="311"/>
      <c r="E478" s="476"/>
      <c r="F478" s="476"/>
    </row>
    <row r="479" customFormat="false" ht="12.75" hidden="false" customHeight="true" outlineLevel="0" collapsed="false">
      <c r="B479" s="311"/>
      <c r="C479" s="311"/>
      <c r="D479" s="311"/>
      <c r="E479" s="476"/>
      <c r="F479" s="476"/>
    </row>
    <row r="480" customFormat="false" ht="12.75" hidden="false" customHeight="true" outlineLevel="0" collapsed="false">
      <c r="B480" s="311"/>
      <c r="C480" s="311"/>
      <c r="D480" s="311"/>
      <c r="E480" s="476"/>
      <c r="F480" s="476"/>
    </row>
    <row r="481" customFormat="false" ht="12.75" hidden="false" customHeight="true" outlineLevel="0" collapsed="false">
      <c r="B481" s="311"/>
      <c r="C481" s="311"/>
      <c r="D481" s="311"/>
      <c r="E481" s="476"/>
      <c r="F481" s="476"/>
    </row>
    <row r="482" customFormat="false" ht="12.75" hidden="false" customHeight="true" outlineLevel="0" collapsed="false">
      <c r="B482" s="311"/>
      <c r="C482" s="311"/>
      <c r="D482" s="311"/>
      <c r="E482" s="476"/>
      <c r="F482" s="476"/>
    </row>
    <row r="483" customFormat="false" ht="12.75" hidden="false" customHeight="true" outlineLevel="0" collapsed="false">
      <c r="B483" s="311"/>
      <c r="C483" s="311"/>
      <c r="D483" s="311"/>
      <c r="E483" s="476"/>
      <c r="F483" s="476"/>
    </row>
    <row r="484" customFormat="false" ht="12.75" hidden="false" customHeight="true" outlineLevel="0" collapsed="false">
      <c r="B484" s="311"/>
      <c r="C484" s="311"/>
      <c r="D484" s="311"/>
      <c r="E484" s="476"/>
      <c r="F484" s="476"/>
    </row>
    <row r="485" customFormat="false" ht="12.75" hidden="false" customHeight="true" outlineLevel="0" collapsed="false">
      <c r="B485" s="311"/>
      <c r="C485" s="311"/>
      <c r="D485" s="311"/>
      <c r="E485" s="476"/>
      <c r="F485" s="476"/>
    </row>
    <row r="486" customFormat="false" ht="12.75" hidden="false" customHeight="true" outlineLevel="0" collapsed="false">
      <c r="B486" s="311"/>
      <c r="C486" s="311"/>
      <c r="D486" s="311"/>
      <c r="E486" s="476"/>
      <c r="F486" s="476"/>
    </row>
    <row r="487" customFormat="false" ht="12.75" hidden="false" customHeight="true" outlineLevel="0" collapsed="false">
      <c r="B487" s="311"/>
      <c r="C487" s="311"/>
      <c r="D487" s="311"/>
      <c r="E487" s="476"/>
      <c r="F487" s="476"/>
    </row>
    <row r="488" customFormat="false" ht="12.75" hidden="false" customHeight="true" outlineLevel="0" collapsed="false">
      <c r="B488" s="311"/>
      <c r="C488" s="311"/>
      <c r="D488" s="311"/>
      <c r="E488" s="476"/>
      <c r="F488" s="476"/>
    </row>
    <row r="489" customFormat="false" ht="12.75" hidden="false" customHeight="true" outlineLevel="0" collapsed="false">
      <c r="B489" s="311"/>
      <c r="C489" s="311"/>
      <c r="D489" s="311"/>
      <c r="E489" s="476"/>
      <c r="F489" s="476"/>
    </row>
    <row r="490" customFormat="false" ht="12.75" hidden="false" customHeight="true" outlineLevel="0" collapsed="false">
      <c r="B490" s="311"/>
      <c r="C490" s="311"/>
      <c r="D490" s="311"/>
      <c r="E490" s="476"/>
      <c r="F490" s="476"/>
    </row>
    <row r="491" customFormat="false" ht="12.75" hidden="false" customHeight="true" outlineLevel="0" collapsed="false">
      <c r="B491" s="311"/>
      <c r="C491" s="311"/>
      <c r="D491" s="311"/>
      <c r="E491" s="476"/>
      <c r="F491" s="476"/>
    </row>
    <row r="492" customFormat="false" ht="12.75" hidden="false" customHeight="true" outlineLevel="0" collapsed="false">
      <c r="B492" s="311"/>
      <c r="C492" s="311"/>
      <c r="D492" s="311"/>
      <c r="E492" s="476"/>
      <c r="F492" s="476"/>
    </row>
    <row r="493" customFormat="false" ht="12.75" hidden="false" customHeight="true" outlineLevel="0" collapsed="false">
      <c r="B493" s="311"/>
      <c r="C493" s="311"/>
      <c r="D493" s="311"/>
      <c r="E493" s="476"/>
      <c r="F493" s="476"/>
    </row>
    <row r="494" customFormat="false" ht="12.75" hidden="false" customHeight="true" outlineLevel="0" collapsed="false">
      <c r="B494" s="311"/>
      <c r="C494" s="311"/>
      <c r="D494" s="311"/>
      <c r="E494" s="476"/>
      <c r="F494" s="476"/>
    </row>
    <row r="495" customFormat="false" ht="12.75" hidden="false" customHeight="true" outlineLevel="0" collapsed="false">
      <c r="B495" s="311"/>
      <c r="C495" s="311"/>
      <c r="D495" s="311"/>
      <c r="E495" s="476"/>
      <c r="F495" s="476"/>
    </row>
    <row r="496" customFormat="false" ht="12.75" hidden="false" customHeight="true" outlineLevel="0" collapsed="false">
      <c r="B496" s="311"/>
      <c r="C496" s="311"/>
      <c r="D496" s="311"/>
      <c r="E496" s="476"/>
      <c r="F496" s="476"/>
    </row>
    <row r="497" customFormat="false" ht="12.75" hidden="false" customHeight="true" outlineLevel="0" collapsed="false">
      <c r="B497" s="311"/>
      <c r="C497" s="311"/>
      <c r="D497" s="311"/>
      <c r="E497" s="476"/>
      <c r="F497" s="476"/>
    </row>
    <row r="498" customFormat="false" ht="12.75" hidden="false" customHeight="true" outlineLevel="0" collapsed="false">
      <c r="B498" s="311"/>
      <c r="C498" s="311"/>
      <c r="D498" s="311"/>
      <c r="E498" s="476"/>
      <c r="F498" s="476"/>
    </row>
    <row r="499" customFormat="false" ht="12.75" hidden="false" customHeight="true" outlineLevel="0" collapsed="false">
      <c r="B499" s="311"/>
      <c r="C499" s="311"/>
      <c r="D499" s="311"/>
      <c r="E499" s="476"/>
      <c r="F499" s="476"/>
    </row>
    <row r="500" customFormat="false" ht="12.75" hidden="false" customHeight="true" outlineLevel="0" collapsed="false">
      <c r="B500" s="311"/>
      <c r="C500" s="311"/>
      <c r="D500" s="311"/>
      <c r="E500" s="476"/>
      <c r="F500" s="476"/>
    </row>
    <row r="501" customFormat="false" ht="12.75" hidden="false" customHeight="true" outlineLevel="0" collapsed="false">
      <c r="B501" s="311"/>
      <c r="C501" s="311"/>
      <c r="D501" s="311"/>
      <c r="E501" s="476"/>
      <c r="F501" s="476"/>
    </row>
    <row r="502" customFormat="false" ht="12.75" hidden="false" customHeight="true" outlineLevel="0" collapsed="false">
      <c r="B502" s="311"/>
      <c r="C502" s="311"/>
      <c r="D502" s="311"/>
      <c r="E502" s="476"/>
      <c r="F502" s="476"/>
    </row>
    <row r="503" customFormat="false" ht="12.75" hidden="false" customHeight="true" outlineLevel="0" collapsed="false">
      <c r="B503" s="311"/>
      <c r="C503" s="311"/>
      <c r="D503" s="311"/>
      <c r="E503" s="476"/>
      <c r="F503" s="476"/>
    </row>
    <row r="504" customFormat="false" ht="12.75" hidden="false" customHeight="true" outlineLevel="0" collapsed="false">
      <c r="B504" s="311"/>
      <c r="C504" s="311"/>
      <c r="D504" s="311"/>
      <c r="E504" s="476"/>
      <c r="F504" s="476"/>
    </row>
    <row r="505" customFormat="false" ht="12.75" hidden="false" customHeight="true" outlineLevel="0" collapsed="false">
      <c r="B505" s="311"/>
      <c r="C505" s="311"/>
      <c r="D505" s="311"/>
      <c r="E505" s="476"/>
      <c r="F505" s="476"/>
    </row>
    <row r="506" customFormat="false" ht="12.75" hidden="false" customHeight="true" outlineLevel="0" collapsed="false">
      <c r="B506" s="311"/>
      <c r="C506" s="311"/>
      <c r="D506" s="311"/>
      <c r="E506" s="476"/>
      <c r="F506" s="476"/>
    </row>
    <row r="507" customFormat="false" ht="12.75" hidden="false" customHeight="true" outlineLevel="0" collapsed="false">
      <c r="B507" s="311"/>
      <c r="C507" s="311"/>
      <c r="D507" s="311"/>
      <c r="E507" s="476"/>
      <c r="F507" s="476"/>
    </row>
    <row r="508" customFormat="false" ht="12.75" hidden="false" customHeight="true" outlineLevel="0" collapsed="false">
      <c r="B508" s="311"/>
      <c r="C508" s="311"/>
      <c r="D508" s="311"/>
      <c r="E508" s="476"/>
      <c r="F508" s="476"/>
    </row>
    <row r="509" customFormat="false" ht="12.75" hidden="false" customHeight="true" outlineLevel="0" collapsed="false">
      <c r="B509" s="311"/>
      <c r="C509" s="311"/>
      <c r="D509" s="311"/>
      <c r="E509" s="476"/>
      <c r="F509" s="476"/>
    </row>
    <row r="510" customFormat="false" ht="12.75" hidden="false" customHeight="true" outlineLevel="0" collapsed="false">
      <c r="B510" s="311"/>
      <c r="C510" s="311"/>
      <c r="D510" s="311"/>
      <c r="E510" s="476"/>
      <c r="F510" s="476"/>
    </row>
    <row r="511" customFormat="false" ht="12.75" hidden="false" customHeight="true" outlineLevel="0" collapsed="false">
      <c r="B511" s="311"/>
      <c r="C511" s="311"/>
      <c r="D511" s="311"/>
      <c r="E511" s="476"/>
      <c r="F511" s="476"/>
    </row>
    <row r="512" customFormat="false" ht="12.75" hidden="false" customHeight="true" outlineLevel="0" collapsed="false">
      <c r="B512" s="311"/>
      <c r="C512" s="311"/>
      <c r="D512" s="311"/>
      <c r="E512" s="476"/>
      <c r="F512" s="476"/>
    </row>
    <row r="513" customFormat="false" ht="12.75" hidden="false" customHeight="true" outlineLevel="0" collapsed="false">
      <c r="B513" s="311"/>
      <c r="C513" s="311"/>
      <c r="D513" s="311"/>
      <c r="E513" s="476"/>
      <c r="F513" s="476"/>
    </row>
    <row r="514" customFormat="false" ht="12.75" hidden="false" customHeight="true" outlineLevel="0" collapsed="false">
      <c r="B514" s="311"/>
      <c r="C514" s="311"/>
      <c r="D514" s="311"/>
      <c r="E514" s="476"/>
      <c r="F514" s="476"/>
    </row>
    <row r="515" customFormat="false" ht="12.75" hidden="false" customHeight="true" outlineLevel="0" collapsed="false">
      <c r="B515" s="311"/>
      <c r="C515" s="311"/>
      <c r="D515" s="311"/>
      <c r="E515" s="476"/>
      <c r="F515" s="476"/>
    </row>
    <row r="516" customFormat="false" ht="12.75" hidden="false" customHeight="true" outlineLevel="0" collapsed="false">
      <c r="B516" s="311"/>
      <c r="C516" s="311"/>
      <c r="D516" s="311"/>
      <c r="E516" s="476"/>
      <c r="F516" s="476"/>
    </row>
    <row r="517" customFormat="false" ht="12.75" hidden="false" customHeight="true" outlineLevel="0" collapsed="false">
      <c r="B517" s="311"/>
      <c r="C517" s="311"/>
      <c r="D517" s="311"/>
      <c r="E517" s="476"/>
      <c r="F517" s="476"/>
    </row>
    <row r="518" customFormat="false" ht="12.75" hidden="false" customHeight="true" outlineLevel="0" collapsed="false">
      <c r="B518" s="311"/>
      <c r="C518" s="311"/>
      <c r="D518" s="311"/>
      <c r="E518" s="476"/>
      <c r="F518" s="476"/>
    </row>
    <row r="519" customFormat="false" ht="12.75" hidden="false" customHeight="true" outlineLevel="0" collapsed="false">
      <c r="B519" s="311"/>
      <c r="C519" s="311"/>
      <c r="D519" s="311"/>
      <c r="E519" s="476"/>
      <c r="F519" s="476"/>
    </row>
    <row r="520" customFormat="false" ht="12.75" hidden="false" customHeight="true" outlineLevel="0" collapsed="false">
      <c r="B520" s="311"/>
      <c r="C520" s="311"/>
      <c r="D520" s="311"/>
      <c r="E520" s="476"/>
      <c r="F520" s="476"/>
    </row>
    <row r="521" customFormat="false" ht="12.75" hidden="false" customHeight="true" outlineLevel="0" collapsed="false">
      <c r="B521" s="311"/>
      <c r="C521" s="311"/>
      <c r="D521" s="311"/>
      <c r="E521" s="476"/>
      <c r="F521" s="476"/>
    </row>
    <row r="522" customFormat="false" ht="12.75" hidden="false" customHeight="true" outlineLevel="0" collapsed="false">
      <c r="B522" s="311"/>
      <c r="C522" s="311"/>
      <c r="D522" s="311"/>
      <c r="E522" s="476"/>
      <c r="F522" s="476"/>
    </row>
    <row r="523" customFormat="false" ht="12.75" hidden="false" customHeight="true" outlineLevel="0" collapsed="false">
      <c r="B523" s="311"/>
      <c r="C523" s="311"/>
      <c r="D523" s="311"/>
      <c r="E523" s="476"/>
      <c r="F523" s="476"/>
    </row>
    <row r="524" customFormat="false" ht="12.75" hidden="false" customHeight="true" outlineLevel="0" collapsed="false">
      <c r="B524" s="311"/>
      <c r="C524" s="311"/>
      <c r="D524" s="311"/>
      <c r="E524" s="476"/>
      <c r="F524" s="476"/>
    </row>
    <row r="525" customFormat="false" ht="12.75" hidden="false" customHeight="true" outlineLevel="0" collapsed="false">
      <c r="B525" s="311"/>
      <c r="C525" s="311"/>
      <c r="D525" s="311"/>
      <c r="E525" s="476"/>
      <c r="F525" s="476"/>
    </row>
    <row r="526" customFormat="false" ht="12.75" hidden="false" customHeight="true" outlineLevel="0" collapsed="false">
      <c r="B526" s="311"/>
      <c r="C526" s="311"/>
      <c r="D526" s="311"/>
      <c r="E526" s="476"/>
      <c r="F526" s="476"/>
    </row>
    <row r="527" customFormat="false" ht="12.75" hidden="false" customHeight="true" outlineLevel="0" collapsed="false">
      <c r="B527" s="311"/>
      <c r="C527" s="311"/>
      <c r="D527" s="311"/>
      <c r="E527" s="476"/>
      <c r="F527" s="476"/>
    </row>
    <row r="528" customFormat="false" ht="12.75" hidden="false" customHeight="true" outlineLevel="0" collapsed="false">
      <c r="B528" s="311"/>
      <c r="C528" s="311"/>
      <c r="D528" s="311"/>
      <c r="E528" s="476"/>
      <c r="F528" s="476"/>
    </row>
    <row r="529" customFormat="false" ht="12.75" hidden="false" customHeight="true" outlineLevel="0" collapsed="false">
      <c r="B529" s="311"/>
      <c r="C529" s="311"/>
      <c r="D529" s="311"/>
      <c r="E529" s="476"/>
      <c r="F529" s="476"/>
    </row>
    <row r="530" customFormat="false" ht="12.75" hidden="false" customHeight="true" outlineLevel="0" collapsed="false">
      <c r="B530" s="311"/>
      <c r="C530" s="311"/>
      <c r="D530" s="311"/>
      <c r="E530" s="476"/>
      <c r="F530" s="476"/>
    </row>
    <row r="531" customFormat="false" ht="12.75" hidden="false" customHeight="true" outlineLevel="0" collapsed="false">
      <c r="B531" s="311"/>
      <c r="C531" s="311"/>
      <c r="D531" s="311"/>
      <c r="E531" s="476"/>
      <c r="F531" s="476"/>
    </row>
    <row r="532" customFormat="false" ht="12.75" hidden="false" customHeight="true" outlineLevel="0" collapsed="false">
      <c r="B532" s="311"/>
      <c r="C532" s="311"/>
      <c r="D532" s="311"/>
      <c r="E532" s="476"/>
      <c r="F532" s="476"/>
    </row>
    <row r="533" customFormat="false" ht="12.75" hidden="false" customHeight="true" outlineLevel="0" collapsed="false">
      <c r="B533" s="311"/>
      <c r="C533" s="311"/>
      <c r="D533" s="311"/>
      <c r="E533" s="476"/>
      <c r="F533" s="476"/>
    </row>
    <row r="534" customFormat="false" ht="12.75" hidden="false" customHeight="true" outlineLevel="0" collapsed="false">
      <c r="B534" s="311"/>
      <c r="C534" s="311"/>
      <c r="D534" s="311"/>
      <c r="E534" s="476"/>
      <c r="F534" s="476"/>
    </row>
    <row r="535" customFormat="false" ht="12.75" hidden="false" customHeight="true" outlineLevel="0" collapsed="false">
      <c r="B535" s="311"/>
      <c r="C535" s="311"/>
      <c r="D535" s="311"/>
      <c r="E535" s="476"/>
      <c r="F535" s="476"/>
    </row>
    <row r="536" customFormat="false" ht="12.75" hidden="false" customHeight="true" outlineLevel="0" collapsed="false">
      <c r="B536" s="311"/>
      <c r="C536" s="311"/>
      <c r="D536" s="311"/>
      <c r="E536" s="476"/>
      <c r="F536" s="476"/>
    </row>
    <row r="537" customFormat="false" ht="12.75" hidden="false" customHeight="true" outlineLevel="0" collapsed="false">
      <c r="B537" s="311"/>
      <c r="C537" s="311"/>
      <c r="D537" s="311"/>
      <c r="E537" s="476"/>
      <c r="F537" s="476"/>
    </row>
    <row r="538" customFormat="false" ht="12.75" hidden="false" customHeight="true" outlineLevel="0" collapsed="false">
      <c r="B538" s="311"/>
      <c r="C538" s="311"/>
      <c r="D538" s="311"/>
      <c r="E538" s="476"/>
      <c r="F538" s="476"/>
    </row>
    <row r="539" customFormat="false" ht="12.75" hidden="false" customHeight="true" outlineLevel="0" collapsed="false">
      <c r="B539" s="311"/>
      <c r="C539" s="311"/>
      <c r="D539" s="311"/>
      <c r="E539" s="476"/>
      <c r="F539" s="476"/>
    </row>
    <row r="540" customFormat="false" ht="12.75" hidden="false" customHeight="true" outlineLevel="0" collapsed="false">
      <c r="B540" s="311"/>
      <c r="C540" s="311"/>
      <c r="D540" s="311"/>
      <c r="E540" s="476"/>
      <c r="F540" s="476"/>
    </row>
    <row r="541" customFormat="false" ht="12.75" hidden="false" customHeight="true" outlineLevel="0" collapsed="false">
      <c r="B541" s="311"/>
      <c r="C541" s="311"/>
      <c r="D541" s="311"/>
      <c r="E541" s="476"/>
      <c r="F541" s="476"/>
    </row>
    <row r="542" customFormat="false" ht="12.75" hidden="false" customHeight="true" outlineLevel="0" collapsed="false">
      <c r="B542" s="311"/>
      <c r="C542" s="311"/>
      <c r="D542" s="311"/>
      <c r="E542" s="476"/>
      <c r="F542" s="476"/>
    </row>
    <row r="543" customFormat="false" ht="12.75" hidden="false" customHeight="true" outlineLevel="0" collapsed="false">
      <c r="B543" s="311"/>
      <c r="C543" s="311"/>
      <c r="D543" s="311"/>
      <c r="E543" s="476"/>
      <c r="F543" s="476"/>
    </row>
    <row r="544" customFormat="false" ht="12.75" hidden="false" customHeight="true" outlineLevel="0" collapsed="false">
      <c r="B544" s="311"/>
      <c r="C544" s="311"/>
      <c r="D544" s="311"/>
      <c r="E544" s="476"/>
      <c r="F544" s="476"/>
    </row>
    <row r="545" customFormat="false" ht="12.75" hidden="false" customHeight="true" outlineLevel="0" collapsed="false">
      <c r="B545" s="311"/>
      <c r="C545" s="311"/>
      <c r="D545" s="311"/>
      <c r="E545" s="476"/>
      <c r="F545" s="476"/>
    </row>
    <row r="546" customFormat="false" ht="12.75" hidden="false" customHeight="true" outlineLevel="0" collapsed="false">
      <c r="B546" s="311"/>
      <c r="C546" s="311"/>
      <c r="D546" s="311"/>
      <c r="E546" s="476"/>
      <c r="F546" s="476"/>
    </row>
    <row r="547" customFormat="false" ht="12.75" hidden="false" customHeight="true" outlineLevel="0" collapsed="false">
      <c r="B547" s="311"/>
      <c r="C547" s="311"/>
      <c r="D547" s="311"/>
      <c r="E547" s="476"/>
      <c r="F547" s="476"/>
    </row>
    <row r="548" customFormat="false" ht="12.75" hidden="false" customHeight="true" outlineLevel="0" collapsed="false">
      <c r="B548" s="311"/>
      <c r="C548" s="311"/>
      <c r="D548" s="311"/>
      <c r="E548" s="476"/>
      <c r="F548" s="476"/>
    </row>
    <row r="549" customFormat="false" ht="12.75" hidden="false" customHeight="true" outlineLevel="0" collapsed="false">
      <c r="B549" s="311"/>
      <c r="C549" s="311"/>
      <c r="D549" s="311"/>
      <c r="E549" s="476"/>
      <c r="F549" s="476"/>
    </row>
    <row r="550" customFormat="false" ht="12.75" hidden="false" customHeight="true" outlineLevel="0" collapsed="false">
      <c r="B550" s="311"/>
      <c r="C550" s="311"/>
      <c r="D550" s="311"/>
      <c r="E550" s="476"/>
      <c r="F550" s="476"/>
    </row>
    <row r="551" customFormat="false" ht="12.75" hidden="false" customHeight="true" outlineLevel="0" collapsed="false">
      <c r="B551" s="311"/>
      <c r="C551" s="311"/>
      <c r="D551" s="311"/>
      <c r="E551" s="476"/>
      <c r="F551" s="476"/>
    </row>
    <row r="552" customFormat="false" ht="12.75" hidden="false" customHeight="true" outlineLevel="0" collapsed="false">
      <c r="B552" s="311"/>
      <c r="C552" s="311"/>
      <c r="D552" s="311"/>
      <c r="E552" s="476"/>
      <c r="F552" s="476"/>
    </row>
    <row r="553" customFormat="false" ht="12.75" hidden="false" customHeight="true" outlineLevel="0" collapsed="false">
      <c r="B553" s="311"/>
      <c r="C553" s="311"/>
      <c r="D553" s="311"/>
      <c r="E553" s="476"/>
      <c r="F553" s="476"/>
    </row>
    <row r="554" customFormat="false" ht="12.75" hidden="false" customHeight="true" outlineLevel="0" collapsed="false">
      <c r="B554" s="311"/>
      <c r="C554" s="311"/>
      <c r="D554" s="311"/>
      <c r="E554" s="476"/>
      <c r="F554" s="476"/>
    </row>
    <row r="555" customFormat="false" ht="12.75" hidden="false" customHeight="true" outlineLevel="0" collapsed="false">
      <c r="B555" s="311"/>
      <c r="C555" s="311"/>
      <c r="D555" s="311"/>
      <c r="E555" s="476"/>
      <c r="F555" s="476"/>
    </row>
    <row r="556" customFormat="false" ht="12.75" hidden="false" customHeight="true" outlineLevel="0" collapsed="false">
      <c r="B556" s="311"/>
      <c r="C556" s="311"/>
      <c r="D556" s="311"/>
      <c r="E556" s="476"/>
      <c r="F556" s="476"/>
    </row>
    <row r="557" customFormat="false" ht="12.75" hidden="false" customHeight="true" outlineLevel="0" collapsed="false">
      <c r="B557" s="311"/>
      <c r="C557" s="311"/>
      <c r="D557" s="311"/>
      <c r="E557" s="476"/>
      <c r="F557" s="476"/>
    </row>
    <row r="558" customFormat="false" ht="12.75" hidden="false" customHeight="true" outlineLevel="0" collapsed="false">
      <c r="B558" s="311"/>
      <c r="C558" s="311"/>
      <c r="D558" s="311"/>
      <c r="E558" s="476"/>
      <c r="F558" s="476"/>
    </row>
    <row r="559" customFormat="false" ht="12.75" hidden="false" customHeight="true" outlineLevel="0" collapsed="false">
      <c r="B559" s="311"/>
      <c r="C559" s="311"/>
      <c r="D559" s="311"/>
      <c r="E559" s="476"/>
      <c r="F559" s="476"/>
    </row>
    <row r="560" customFormat="false" ht="12.75" hidden="false" customHeight="true" outlineLevel="0" collapsed="false">
      <c r="B560" s="311"/>
      <c r="C560" s="311"/>
      <c r="D560" s="311"/>
      <c r="E560" s="476"/>
      <c r="F560" s="476"/>
    </row>
    <row r="561" customFormat="false" ht="12.75" hidden="false" customHeight="true" outlineLevel="0" collapsed="false">
      <c r="B561" s="311"/>
      <c r="C561" s="311"/>
      <c r="D561" s="311"/>
      <c r="E561" s="476"/>
      <c r="F561" s="476"/>
    </row>
    <row r="562" customFormat="false" ht="12.75" hidden="false" customHeight="true" outlineLevel="0" collapsed="false">
      <c r="B562" s="311"/>
      <c r="C562" s="311"/>
      <c r="D562" s="311"/>
      <c r="E562" s="476"/>
      <c r="F562" s="476"/>
    </row>
    <row r="563" customFormat="false" ht="12.75" hidden="false" customHeight="true" outlineLevel="0" collapsed="false">
      <c r="B563" s="311"/>
      <c r="C563" s="311"/>
      <c r="D563" s="311"/>
      <c r="E563" s="476"/>
      <c r="F563" s="476"/>
    </row>
    <row r="564" customFormat="false" ht="12.75" hidden="false" customHeight="true" outlineLevel="0" collapsed="false">
      <c r="B564" s="311"/>
      <c r="C564" s="311"/>
      <c r="D564" s="311"/>
      <c r="E564" s="476"/>
      <c r="F564" s="476"/>
    </row>
    <row r="565" customFormat="false" ht="12.75" hidden="false" customHeight="true" outlineLevel="0" collapsed="false">
      <c r="B565" s="311"/>
      <c r="C565" s="311"/>
      <c r="D565" s="311"/>
      <c r="E565" s="476"/>
      <c r="F565" s="476"/>
    </row>
    <row r="566" customFormat="false" ht="12.75" hidden="false" customHeight="true" outlineLevel="0" collapsed="false">
      <c r="B566" s="311"/>
      <c r="C566" s="311"/>
      <c r="D566" s="311"/>
      <c r="E566" s="476"/>
      <c r="F566" s="476"/>
    </row>
    <row r="567" customFormat="false" ht="12.75" hidden="false" customHeight="true" outlineLevel="0" collapsed="false">
      <c r="B567" s="311"/>
      <c r="C567" s="311"/>
      <c r="D567" s="311"/>
      <c r="E567" s="476"/>
      <c r="F567" s="476"/>
    </row>
    <row r="568" customFormat="false" ht="12.75" hidden="false" customHeight="true" outlineLevel="0" collapsed="false">
      <c r="B568" s="311"/>
      <c r="C568" s="311"/>
      <c r="D568" s="311"/>
      <c r="E568" s="476"/>
      <c r="F568" s="476"/>
    </row>
    <row r="569" customFormat="false" ht="12.75" hidden="false" customHeight="true" outlineLevel="0" collapsed="false">
      <c r="B569" s="311"/>
      <c r="C569" s="311"/>
      <c r="D569" s="311"/>
      <c r="E569" s="476"/>
      <c r="F569" s="476"/>
    </row>
    <row r="570" customFormat="false" ht="12.75" hidden="false" customHeight="true" outlineLevel="0" collapsed="false">
      <c r="B570" s="311"/>
      <c r="C570" s="311"/>
      <c r="D570" s="311"/>
      <c r="E570" s="476"/>
      <c r="F570" s="476"/>
    </row>
    <row r="571" customFormat="false" ht="12.75" hidden="false" customHeight="true" outlineLevel="0" collapsed="false">
      <c r="B571" s="311"/>
      <c r="C571" s="311"/>
      <c r="D571" s="311"/>
      <c r="E571" s="476"/>
      <c r="F571" s="476"/>
    </row>
    <row r="572" customFormat="false" ht="12.75" hidden="false" customHeight="true" outlineLevel="0" collapsed="false">
      <c r="B572" s="311"/>
      <c r="C572" s="311"/>
      <c r="D572" s="311"/>
      <c r="E572" s="476"/>
      <c r="F572" s="476"/>
    </row>
    <row r="573" customFormat="false" ht="12.75" hidden="false" customHeight="true" outlineLevel="0" collapsed="false">
      <c r="B573" s="311"/>
      <c r="C573" s="311"/>
      <c r="D573" s="311"/>
      <c r="E573" s="476"/>
      <c r="F573" s="476"/>
    </row>
    <row r="574" customFormat="false" ht="12.75" hidden="false" customHeight="true" outlineLevel="0" collapsed="false">
      <c r="B574" s="311"/>
      <c r="C574" s="311"/>
      <c r="D574" s="311"/>
      <c r="E574" s="476"/>
      <c r="F574" s="476"/>
    </row>
    <row r="575" customFormat="false" ht="12.75" hidden="false" customHeight="true" outlineLevel="0" collapsed="false">
      <c r="B575" s="311"/>
      <c r="C575" s="311"/>
      <c r="D575" s="311"/>
      <c r="E575" s="476"/>
      <c r="F575" s="476"/>
    </row>
    <row r="576" customFormat="false" ht="12.75" hidden="false" customHeight="true" outlineLevel="0" collapsed="false">
      <c r="B576" s="311"/>
      <c r="C576" s="311"/>
      <c r="D576" s="311"/>
      <c r="E576" s="476"/>
      <c r="F576" s="476"/>
    </row>
    <row r="577" customFormat="false" ht="12.75" hidden="false" customHeight="true" outlineLevel="0" collapsed="false">
      <c r="B577" s="311"/>
      <c r="C577" s="311"/>
      <c r="D577" s="311"/>
      <c r="E577" s="476"/>
      <c r="F577" s="476"/>
    </row>
    <row r="578" customFormat="false" ht="12.75" hidden="false" customHeight="true" outlineLevel="0" collapsed="false">
      <c r="B578" s="311"/>
      <c r="C578" s="311"/>
      <c r="D578" s="311"/>
      <c r="E578" s="476"/>
      <c r="F578" s="476"/>
    </row>
    <row r="579" customFormat="false" ht="12.75" hidden="false" customHeight="true" outlineLevel="0" collapsed="false">
      <c r="B579" s="311"/>
      <c r="C579" s="311"/>
      <c r="D579" s="311"/>
      <c r="E579" s="476"/>
      <c r="F579" s="476"/>
    </row>
    <row r="580" customFormat="false" ht="12.75" hidden="false" customHeight="true" outlineLevel="0" collapsed="false">
      <c r="B580" s="311"/>
      <c r="C580" s="311"/>
      <c r="D580" s="311"/>
      <c r="E580" s="476"/>
      <c r="F580" s="476"/>
    </row>
    <row r="581" customFormat="false" ht="12.75" hidden="false" customHeight="true" outlineLevel="0" collapsed="false">
      <c r="B581" s="311"/>
      <c r="C581" s="311"/>
      <c r="D581" s="311"/>
      <c r="E581" s="476"/>
      <c r="F581" s="476"/>
    </row>
    <row r="582" customFormat="false" ht="12.75" hidden="false" customHeight="true" outlineLevel="0" collapsed="false">
      <c r="B582" s="311"/>
      <c r="C582" s="311"/>
      <c r="D582" s="311"/>
      <c r="E582" s="476"/>
      <c r="F582" s="476"/>
    </row>
    <row r="583" customFormat="false" ht="12.75" hidden="false" customHeight="true" outlineLevel="0" collapsed="false">
      <c r="B583" s="311"/>
      <c r="C583" s="311"/>
      <c r="D583" s="311"/>
      <c r="E583" s="476"/>
      <c r="F583" s="476"/>
    </row>
    <row r="584" customFormat="false" ht="12.75" hidden="false" customHeight="true" outlineLevel="0" collapsed="false">
      <c r="B584" s="311"/>
      <c r="C584" s="311"/>
      <c r="D584" s="311"/>
      <c r="E584" s="476"/>
      <c r="F584" s="476"/>
    </row>
    <row r="585" customFormat="false" ht="12.75" hidden="false" customHeight="true" outlineLevel="0" collapsed="false">
      <c r="B585" s="311"/>
      <c r="C585" s="311"/>
      <c r="D585" s="311"/>
      <c r="E585" s="476"/>
      <c r="F585" s="476"/>
    </row>
    <row r="586" customFormat="false" ht="12.75" hidden="false" customHeight="true" outlineLevel="0" collapsed="false">
      <c r="B586" s="311"/>
      <c r="C586" s="311"/>
      <c r="D586" s="311"/>
      <c r="E586" s="476"/>
      <c r="F586" s="476"/>
    </row>
    <row r="587" customFormat="false" ht="12.75" hidden="false" customHeight="true" outlineLevel="0" collapsed="false">
      <c r="B587" s="311"/>
      <c r="C587" s="311"/>
      <c r="D587" s="311"/>
      <c r="E587" s="476"/>
      <c r="F587" s="476"/>
    </row>
    <row r="588" customFormat="false" ht="12.75" hidden="false" customHeight="true" outlineLevel="0" collapsed="false">
      <c r="B588" s="311"/>
      <c r="C588" s="311"/>
      <c r="D588" s="311"/>
      <c r="E588" s="476"/>
      <c r="F588" s="476"/>
    </row>
    <row r="589" customFormat="false" ht="12.75" hidden="false" customHeight="true" outlineLevel="0" collapsed="false">
      <c r="B589" s="311"/>
      <c r="C589" s="311"/>
      <c r="D589" s="311"/>
      <c r="E589" s="476"/>
      <c r="F589" s="476"/>
    </row>
    <row r="590" customFormat="false" ht="12.75" hidden="false" customHeight="true" outlineLevel="0" collapsed="false">
      <c r="B590" s="311"/>
      <c r="C590" s="311"/>
      <c r="D590" s="311"/>
      <c r="E590" s="476"/>
      <c r="F590" s="476"/>
    </row>
    <row r="591" customFormat="false" ht="12.75" hidden="false" customHeight="true" outlineLevel="0" collapsed="false">
      <c r="B591" s="311"/>
      <c r="C591" s="311"/>
      <c r="D591" s="311"/>
      <c r="E591" s="476"/>
      <c r="F591" s="476"/>
    </row>
    <row r="592" customFormat="false" ht="12.75" hidden="false" customHeight="true" outlineLevel="0" collapsed="false">
      <c r="B592" s="311"/>
      <c r="C592" s="311"/>
      <c r="D592" s="311"/>
      <c r="E592" s="476"/>
      <c r="F592" s="476"/>
    </row>
    <row r="593" customFormat="false" ht="12.75" hidden="false" customHeight="true" outlineLevel="0" collapsed="false">
      <c r="B593" s="311"/>
      <c r="C593" s="311"/>
      <c r="D593" s="311"/>
      <c r="E593" s="476"/>
      <c r="F593" s="476"/>
    </row>
    <row r="594" customFormat="false" ht="12.75" hidden="false" customHeight="true" outlineLevel="0" collapsed="false">
      <c r="B594" s="311"/>
      <c r="C594" s="311"/>
      <c r="D594" s="311"/>
      <c r="E594" s="476"/>
      <c r="F594" s="476"/>
    </row>
    <row r="595" customFormat="false" ht="12.75" hidden="false" customHeight="true" outlineLevel="0" collapsed="false">
      <c r="B595" s="311"/>
      <c r="C595" s="311"/>
      <c r="D595" s="311"/>
      <c r="E595" s="476"/>
      <c r="F595" s="476"/>
    </row>
    <row r="596" customFormat="false" ht="12.75" hidden="false" customHeight="true" outlineLevel="0" collapsed="false">
      <c r="B596" s="311"/>
      <c r="C596" s="311"/>
      <c r="D596" s="311"/>
      <c r="E596" s="476"/>
      <c r="F596" s="476"/>
    </row>
    <row r="597" customFormat="false" ht="12.75" hidden="false" customHeight="true" outlineLevel="0" collapsed="false">
      <c r="B597" s="311"/>
      <c r="C597" s="311"/>
      <c r="D597" s="311"/>
      <c r="E597" s="476"/>
      <c r="F597" s="476"/>
    </row>
    <row r="598" customFormat="false" ht="12.75" hidden="false" customHeight="true" outlineLevel="0" collapsed="false">
      <c r="B598" s="311"/>
      <c r="C598" s="311"/>
      <c r="D598" s="311"/>
      <c r="E598" s="476"/>
      <c r="F598" s="476"/>
    </row>
    <row r="599" customFormat="false" ht="12.75" hidden="false" customHeight="true" outlineLevel="0" collapsed="false">
      <c r="B599" s="311"/>
      <c r="C599" s="311"/>
      <c r="D599" s="311"/>
      <c r="E599" s="476"/>
      <c r="F599" s="476"/>
    </row>
    <row r="600" customFormat="false" ht="12.75" hidden="false" customHeight="true" outlineLevel="0" collapsed="false">
      <c r="B600" s="311"/>
      <c r="C600" s="311"/>
      <c r="D600" s="311"/>
      <c r="E600" s="476"/>
      <c r="F600" s="476"/>
    </row>
    <row r="601" customFormat="false" ht="12.75" hidden="false" customHeight="true" outlineLevel="0" collapsed="false">
      <c r="B601" s="311"/>
      <c r="C601" s="311"/>
      <c r="D601" s="311"/>
      <c r="E601" s="476"/>
      <c r="F601" s="476"/>
    </row>
    <row r="602" customFormat="false" ht="12.75" hidden="false" customHeight="true" outlineLevel="0" collapsed="false">
      <c r="B602" s="311"/>
      <c r="C602" s="311"/>
      <c r="D602" s="311"/>
      <c r="E602" s="476"/>
      <c r="F602" s="476"/>
    </row>
    <row r="603" customFormat="false" ht="12.75" hidden="false" customHeight="true" outlineLevel="0" collapsed="false">
      <c r="B603" s="311"/>
      <c r="C603" s="311"/>
      <c r="D603" s="311"/>
      <c r="E603" s="476"/>
      <c r="F603" s="476"/>
    </row>
    <row r="604" customFormat="false" ht="12.75" hidden="false" customHeight="true" outlineLevel="0" collapsed="false">
      <c r="B604" s="311"/>
      <c r="C604" s="311"/>
      <c r="D604" s="311"/>
      <c r="E604" s="476"/>
      <c r="F604" s="476"/>
    </row>
    <row r="605" customFormat="false" ht="12.75" hidden="false" customHeight="true" outlineLevel="0" collapsed="false">
      <c r="B605" s="311"/>
      <c r="C605" s="311"/>
      <c r="D605" s="311"/>
      <c r="E605" s="476"/>
      <c r="F605" s="476"/>
    </row>
    <row r="606" customFormat="false" ht="12.75" hidden="false" customHeight="true" outlineLevel="0" collapsed="false">
      <c r="B606" s="311"/>
      <c r="C606" s="311"/>
      <c r="D606" s="311"/>
      <c r="E606" s="476"/>
      <c r="F606" s="476"/>
    </row>
    <row r="607" customFormat="false" ht="12.75" hidden="false" customHeight="true" outlineLevel="0" collapsed="false">
      <c r="B607" s="311"/>
      <c r="C607" s="311"/>
      <c r="D607" s="311"/>
      <c r="E607" s="476"/>
      <c r="F607" s="476"/>
    </row>
    <row r="608" customFormat="false" ht="12.75" hidden="false" customHeight="true" outlineLevel="0" collapsed="false">
      <c r="B608" s="311"/>
      <c r="C608" s="311"/>
      <c r="D608" s="311"/>
      <c r="E608" s="476"/>
      <c r="F608" s="476"/>
    </row>
    <row r="609" customFormat="false" ht="12.75" hidden="false" customHeight="true" outlineLevel="0" collapsed="false">
      <c r="B609" s="311"/>
      <c r="C609" s="311"/>
      <c r="D609" s="311"/>
      <c r="E609" s="476"/>
      <c r="F609" s="476"/>
    </row>
    <row r="610" customFormat="false" ht="12.75" hidden="false" customHeight="true" outlineLevel="0" collapsed="false">
      <c r="B610" s="311"/>
      <c r="C610" s="311"/>
      <c r="D610" s="311"/>
      <c r="E610" s="476"/>
      <c r="F610" s="476"/>
    </row>
    <row r="611" customFormat="false" ht="12.75" hidden="false" customHeight="true" outlineLevel="0" collapsed="false">
      <c r="B611" s="311"/>
      <c r="C611" s="311"/>
      <c r="D611" s="311"/>
      <c r="E611" s="476"/>
      <c r="F611" s="476"/>
    </row>
    <row r="612" customFormat="false" ht="12.75" hidden="false" customHeight="true" outlineLevel="0" collapsed="false">
      <c r="B612" s="311"/>
      <c r="C612" s="311"/>
      <c r="D612" s="311"/>
      <c r="E612" s="476"/>
      <c r="F612" s="476"/>
    </row>
    <row r="613" customFormat="false" ht="12.75" hidden="false" customHeight="true" outlineLevel="0" collapsed="false">
      <c r="B613" s="311"/>
      <c r="C613" s="311"/>
      <c r="D613" s="311"/>
      <c r="E613" s="476"/>
      <c r="F613" s="476"/>
    </row>
    <row r="614" customFormat="false" ht="12.75" hidden="false" customHeight="true" outlineLevel="0" collapsed="false">
      <c r="B614" s="311"/>
      <c r="C614" s="311"/>
      <c r="D614" s="311"/>
      <c r="E614" s="476"/>
      <c r="F614" s="476"/>
    </row>
    <row r="615" customFormat="false" ht="12.75" hidden="false" customHeight="true" outlineLevel="0" collapsed="false">
      <c r="B615" s="311"/>
      <c r="C615" s="311"/>
      <c r="D615" s="311"/>
      <c r="E615" s="476"/>
      <c r="F615" s="476"/>
    </row>
    <row r="616" customFormat="false" ht="12.75" hidden="false" customHeight="true" outlineLevel="0" collapsed="false">
      <c r="B616" s="311"/>
      <c r="C616" s="311"/>
      <c r="D616" s="311"/>
      <c r="E616" s="476"/>
      <c r="F616" s="476"/>
    </row>
    <row r="617" customFormat="false" ht="12.75" hidden="false" customHeight="true" outlineLevel="0" collapsed="false">
      <c r="B617" s="311"/>
      <c r="C617" s="311"/>
      <c r="D617" s="311"/>
      <c r="E617" s="476"/>
      <c r="F617" s="476"/>
    </row>
    <row r="618" customFormat="false" ht="12.75" hidden="false" customHeight="true" outlineLevel="0" collapsed="false">
      <c r="B618" s="311"/>
      <c r="C618" s="311"/>
      <c r="D618" s="311"/>
      <c r="E618" s="476"/>
      <c r="F618" s="476"/>
    </row>
    <row r="619" customFormat="false" ht="12.75" hidden="false" customHeight="true" outlineLevel="0" collapsed="false">
      <c r="B619" s="311"/>
      <c r="C619" s="311"/>
      <c r="D619" s="311"/>
      <c r="E619" s="476"/>
      <c r="F619" s="476"/>
    </row>
    <row r="620" customFormat="false" ht="12.75" hidden="false" customHeight="true" outlineLevel="0" collapsed="false">
      <c r="B620" s="311"/>
      <c r="C620" s="311"/>
      <c r="D620" s="311"/>
      <c r="E620" s="476"/>
      <c r="F620" s="476"/>
    </row>
    <row r="621" customFormat="false" ht="12.75" hidden="false" customHeight="true" outlineLevel="0" collapsed="false">
      <c r="B621" s="311"/>
      <c r="C621" s="311"/>
      <c r="D621" s="311"/>
      <c r="E621" s="476"/>
      <c r="F621" s="476"/>
    </row>
    <row r="622" customFormat="false" ht="12.75" hidden="false" customHeight="true" outlineLevel="0" collapsed="false">
      <c r="B622" s="311"/>
      <c r="C622" s="311"/>
      <c r="D622" s="311"/>
      <c r="E622" s="476"/>
      <c r="F622" s="476"/>
    </row>
    <row r="623" customFormat="false" ht="12.75" hidden="false" customHeight="true" outlineLevel="0" collapsed="false">
      <c r="B623" s="311"/>
      <c r="C623" s="311"/>
      <c r="D623" s="311"/>
      <c r="E623" s="476"/>
      <c r="F623" s="476"/>
    </row>
    <row r="624" customFormat="false" ht="12.75" hidden="false" customHeight="true" outlineLevel="0" collapsed="false">
      <c r="B624" s="311"/>
      <c r="C624" s="311"/>
      <c r="D624" s="311"/>
      <c r="E624" s="476"/>
      <c r="F624" s="476"/>
    </row>
    <row r="625" customFormat="false" ht="12.75" hidden="false" customHeight="true" outlineLevel="0" collapsed="false">
      <c r="B625" s="311"/>
      <c r="C625" s="311"/>
      <c r="D625" s="311"/>
      <c r="E625" s="476"/>
      <c r="F625" s="476"/>
    </row>
    <row r="626" customFormat="false" ht="12.75" hidden="false" customHeight="true" outlineLevel="0" collapsed="false">
      <c r="B626" s="311"/>
      <c r="C626" s="311"/>
      <c r="D626" s="311"/>
      <c r="E626" s="476"/>
      <c r="F626" s="476"/>
    </row>
    <row r="627" customFormat="false" ht="12.75" hidden="false" customHeight="true" outlineLevel="0" collapsed="false">
      <c r="B627" s="311"/>
      <c r="C627" s="311"/>
      <c r="D627" s="311"/>
      <c r="E627" s="476"/>
      <c r="F627" s="476"/>
    </row>
    <row r="628" customFormat="false" ht="12.75" hidden="false" customHeight="true" outlineLevel="0" collapsed="false">
      <c r="B628" s="311"/>
      <c r="C628" s="311"/>
      <c r="D628" s="311"/>
      <c r="E628" s="476"/>
      <c r="F628" s="476"/>
    </row>
    <row r="629" customFormat="false" ht="12.75" hidden="false" customHeight="true" outlineLevel="0" collapsed="false">
      <c r="B629" s="311"/>
      <c r="C629" s="311"/>
      <c r="D629" s="311"/>
      <c r="E629" s="476"/>
      <c r="F629" s="476"/>
    </row>
    <row r="630" customFormat="false" ht="12.75" hidden="false" customHeight="true" outlineLevel="0" collapsed="false">
      <c r="B630" s="311"/>
      <c r="C630" s="311"/>
      <c r="D630" s="311"/>
      <c r="E630" s="476"/>
      <c r="F630" s="476"/>
    </row>
    <row r="631" customFormat="false" ht="12.75" hidden="false" customHeight="true" outlineLevel="0" collapsed="false">
      <c r="B631" s="311"/>
      <c r="C631" s="311"/>
      <c r="D631" s="311"/>
      <c r="E631" s="476"/>
      <c r="F631" s="476"/>
    </row>
    <row r="632" customFormat="false" ht="12.75" hidden="false" customHeight="true" outlineLevel="0" collapsed="false">
      <c r="B632" s="311"/>
      <c r="C632" s="311"/>
      <c r="D632" s="311"/>
      <c r="E632" s="476"/>
      <c r="F632" s="476"/>
    </row>
    <row r="633" customFormat="false" ht="12.75" hidden="false" customHeight="true" outlineLevel="0" collapsed="false">
      <c r="B633" s="311"/>
      <c r="C633" s="311"/>
      <c r="D633" s="311"/>
      <c r="E633" s="476"/>
      <c r="F633" s="476"/>
    </row>
    <row r="634" customFormat="false" ht="12.75" hidden="false" customHeight="true" outlineLevel="0" collapsed="false">
      <c r="B634" s="311"/>
      <c r="C634" s="311"/>
      <c r="D634" s="311"/>
      <c r="E634" s="476"/>
      <c r="F634" s="476"/>
    </row>
    <row r="635" customFormat="false" ht="12.75" hidden="false" customHeight="true" outlineLevel="0" collapsed="false">
      <c r="B635" s="311"/>
      <c r="C635" s="311"/>
      <c r="D635" s="311"/>
      <c r="E635" s="476"/>
      <c r="F635" s="476"/>
    </row>
    <row r="636" customFormat="false" ht="12.75" hidden="false" customHeight="true" outlineLevel="0" collapsed="false">
      <c r="B636" s="311"/>
      <c r="C636" s="311"/>
      <c r="D636" s="311"/>
      <c r="E636" s="476"/>
      <c r="F636" s="476"/>
    </row>
    <row r="637" customFormat="false" ht="12.75" hidden="false" customHeight="true" outlineLevel="0" collapsed="false">
      <c r="B637" s="311"/>
      <c r="C637" s="311"/>
      <c r="D637" s="311"/>
      <c r="E637" s="476"/>
      <c r="F637" s="476"/>
    </row>
    <row r="638" customFormat="false" ht="12.75" hidden="false" customHeight="true" outlineLevel="0" collapsed="false">
      <c r="B638" s="311"/>
      <c r="C638" s="311"/>
      <c r="D638" s="311"/>
      <c r="E638" s="476"/>
      <c r="F638" s="476"/>
    </row>
    <row r="639" customFormat="false" ht="12.75" hidden="false" customHeight="true" outlineLevel="0" collapsed="false">
      <c r="B639" s="311"/>
      <c r="C639" s="311"/>
      <c r="D639" s="311"/>
      <c r="E639" s="476"/>
      <c r="F639" s="476"/>
    </row>
    <row r="640" customFormat="false" ht="12.75" hidden="false" customHeight="true" outlineLevel="0" collapsed="false">
      <c r="B640" s="311"/>
      <c r="C640" s="311"/>
      <c r="D640" s="311"/>
      <c r="E640" s="476"/>
      <c r="F640" s="476"/>
    </row>
    <row r="641" customFormat="false" ht="12.75" hidden="false" customHeight="true" outlineLevel="0" collapsed="false">
      <c r="B641" s="311"/>
      <c r="C641" s="311"/>
      <c r="D641" s="311"/>
      <c r="E641" s="476"/>
      <c r="F641" s="476"/>
    </row>
    <row r="642" customFormat="false" ht="12.75" hidden="false" customHeight="true" outlineLevel="0" collapsed="false">
      <c r="B642" s="311"/>
      <c r="C642" s="311"/>
      <c r="D642" s="311"/>
      <c r="E642" s="476"/>
      <c r="F642" s="476"/>
    </row>
    <row r="643" customFormat="false" ht="12.75" hidden="false" customHeight="true" outlineLevel="0" collapsed="false">
      <c r="B643" s="311"/>
      <c r="C643" s="311"/>
      <c r="D643" s="311"/>
      <c r="E643" s="476"/>
      <c r="F643" s="476"/>
    </row>
    <row r="644" customFormat="false" ht="12.75" hidden="false" customHeight="true" outlineLevel="0" collapsed="false">
      <c r="B644" s="311"/>
      <c r="C644" s="311"/>
      <c r="D644" s="311"/>
      <c r="E644" s="476"/>
      <c r="F644" s="476"/>
    </row>
    <row r="645" customFormat="false" ht="12.75" hidden="false" customHeight="true" outlineLevel="0" collapsed="false">
      <c r="B645" s="311"/>
      <c r="C645" s="311"/>
      <c r="D645" s="311"/>
      <c r="E645" s="476"/>
      <c r="F645" s="476"/>
    </row>
    <row r="646" customFormat="false" ht="12.75" hidden="false" customHeight="true" outlineLevel="0" collapsed="false">
      <c r="B646" s="311"/>
      <c r="C646" s="311"/>
      <c r="D646" s="311"/>
      <c r="E646" s="476"/>
      <c r="F646" s="476"/>
    </row>
    <row r="647" customFormat="false" ht="12.75" hidden="false" customHeight="true" outlineLevel="0" collapsed="false">
      <c r="B647" s="311"/>
      <c r="C647" s="311"/>
      <c r="D647" s="311"/>
      <c r="E647" s="476"/>
      <c r="F647" s="476"/>
    </row>
    <row r="648" customFormat="false" ht="12.75" hidden="false" customHeight="true" outlineLevel="0" collapsed="false">
      <c r="B648" s="311"/>
      <c r="C648" s="311"/>
      <c r="D648" s="311"/>
      <c r="E648" s="476"/>
      <c r="F648" s="476"/>
    </row>
    <row r="649" customFormat="false" ht="12.75" hidden="false" customHeight="true" outlineLevel="0" collapsed="false">
      <c r="B649" s="311"/>
      <c r="C649" s="311"/>
      <c r="D649" s="311"/>
      <c r="E649" s="476"/>
      <c r="F649" s="476"/>
    </row>
    <row r="650" customFormat="false" ht="12.75" hidden="false" customHeight="true" outlineLevel="0" collapsed="false">
      <c r="B650" s="311"/>
      <c r="C650" s="311"/>
      <c r="D650" s="311"/>
      <c r="E650" s="476"/>
      <c r="F650" s="476"/>
    </row>
    <row r="651" customFormat="false" ht="12.75" hidden="false" customHeight="true" outlineLevel="0" collapsed="false">
      <c r="B651" s="311"/>
      <c r="C651" s="311"/>
      <c r="D651" s="311"/>
      <c r="E651" s="476"/>
      <c r="F651" s="476"/>
    </row>
    <row r="652" customFormat="false" ht="12.75" hidden="false" customHeight="true" outlineLevel="0" collapsed="false">
      <c r="B652" s="311"/>
      <c r="C652" s="311"/>
      <c r="D652" s="311"/>
      <c r="E652" s="476"/>
      <c r="F652" s="476"/>
    </row>
    <row r="653" customFormat="false" ht="12.75" hidden="false" customHeight="true" outlineLevel="0" collapsed="false">
      <c r="B653" s="311"/>
      <c r="C653" s="311"/>
      <c r="D653" s="311"/>
      <c r="E653" s="476"/>
      <c r="F653" s="476"/>
    </row>
    <row r="654" customFormat="false" ht="12.75" hidden="false" customHeight="true" outlineLevel="0" collapsed="false">
      <c r="B654" s="311"/>
      <c r="C654" s="311"/>
      <c r="D654" s="311"/>
      <c r="E654" s="476"/>
      <c r="F654" s="476"/>
    </row>
    <row r="655" customFormat="false" ht="12.75" hidden="false" customHeight="true" outlineLevel="0" collapsed="false">
      <c r="B655" s="311"/>
      <c r="C655" s="311"/>
      <c r="D655" s="311"/>
      <c r="E655" s="476"/>
      <c r="F655" s="476"/>
    </row>
    <row r="656" customFormat="false" ht="12.75" hidden="false" customHeight="true" outlineLevel="0" collapsed="false">
      <c r="B656" s="311"/>
      <c r="C656" s="311"/>
      <c r="D656" s="311"/>
      <c r="E656" s="476"/>
      <c r="F656" s="476"/>
    </row>
    <row r="657" customFormat="false" ht="12.75" hidden="false" customHeight="true" outlineLevel="0" collapsed="false">
      <c r="B657" s="311"/>
      <c r="C657" s="311"/>
      <c r="D657" s="311"/>
      <c r="E657" s="476"/>
      <c r="F657" s="476"/>
    </row>
    <row r="658" customFormat="false" ht="12.75" hidden="false" customHeight="true" outlineLevel="0" collapsed="false">
      <c r="B658" s="311"/>
      <c r="C658" s="311"/>
      <c r="D658" s="311"/>
      <c r="E658" s="476"/>
      <c r="F658" s="476"/>
    </row>
    <row r="659" customFormat="false" ht="12.75" hidden="false" customHeight="true" outlineLevel="0" collapsed="false">
      <c r="B659" s="311"/>
      <c r="C659" s="311"/>
      <c r="D659" s="311"/>
      <c r="E659" s="476"/>
      <c r="F659" s="476"/>
    </row>
    <row r="660" customFormat="false" ht="12.75" hidden="false" customHeight="true" outlineLevel="0" collapsed="false">
      <c r="B660" s="311"/>
      <c r="C660" s="311"/>
      <c r="D660" s="311"/>
      <c r="E660" s="476"/>
      <c r="F660" s="476"/>
    </row>
    <row r="661" customFormat="false" ht="12.75" hidden="false" customHeight="true" outlineLevel="0" collapsed="false">
      <c r="B661" s="311"/>
      <c r="C661" s="311"/>
      <c r="D661" s="311"/>
      <c r="E661" s="476"/>
      <c r="F661" s="476"/>
    </row>
    <row r="662" customFormat="false" ht="12.75" hidden="false" customHeight="true" outlineLevel="0" collapsed="false">
      <c r="B662" s="311"/>
      <c r="C662" s="311"/>
      <c r="D662" s="311"/>
      <c r="E662" s="476"/>
      <c r="F662" s="476"/>
    </row>
    <row r="663" customFormat="false" ht="12.75" hidden="false" customHeight="true" outlineLevel="0" collapsed="false">
      <c r="B663" s="311"/>
      <c r="C663" s="311"/>
      <c r="D663" s="311"/>
      <c r="E663" s="476"/>
      <c r="F663" s="476"/>
    </row>
    <row r="664" customFormat="false" ht="12.75" hidden="false" customHeight="true" outlineLevel="0" collapsed="false">
      <c r="B664" s="311"/>
      <c r="C664" s="311"/>
      <c r="D664" s="311"/>
      <c r="E664" s="476"/>
      <c r="F664" s="476"/>
    </row>
    <row r="665" customFormat="false" ht="12.75" hidden="false" customHeight="true" outlineLevel="0" collapsed="false">
      <c r="B665" s="311"/>
      <c r="C665" s="311"/>
      <c r="D665" s="311"/>
      <c r="E665" s="476"/>
      <c r="F665" s="476"/>
    </row>
    <row r="666" customFormat="false" ht="12.75" hidden="false" customHeight="true" outlineLevel="0" collapsed="false">
      <c r="B666" s="311"/>
      <c r="C666" s="311"/>
      <c r="D666" s="311"/>
      <c r="E666" s="476"/>
      <c r="F666" s="476"/>
    </row>
    <row r="667" customFormat="false" ht="12.75" hidden="false" customHeight="true" outlineLevel="0" collapsed="false">
      <c r="B667" s="311"/>
      <c r="C667" s="311"/>
      <c r="D667" s="311"/>
      <c r="E667" s="476"/>
      <c r="F667" s="476"/>
    </row>
    <row r="668" customFormat="false" ht="12.75" hidden="false" customHeight="true" outlineLevel="0" collapsed="false">
      <c r="B668" s="311"/>
      <c r="C668" s="311"/>
      <c r="D668" s="311"/>
      <c r="E668" s="476"/>
      <c r="F668" s="476"/>
    </row>
    <row r="669" customFormat="false" ht="12.75" hidden="false" customHeight="true" outlineLevel="0" collapsed="false">
      <c r="B669" s="311"/>
      <c r="C669" s="311"/>
      <c r="D669" s="311"/>
      <c r="E669" s="476"/>
      <c r="F669" s="476"/>
    </row>
    <row r="670" customFormat="false" ht="12.75" hidden="false" customHeight="true" outlineLevel="0" collapsed="false">
      <c r="B670" s="311"/>
      <c r="C670" s="311"/>
      <c r="D670" s="311"/>
      <c r="E670" s="476"/>
      <c r="F670" s="476"/>
    </row>
    <row r="671" customFormat="false" ht="12.75" hidden="false" customHeight="true" outlineLevel="0" collapsed="false">
      <c r="B671" s="311"/>
      <c r="C671" s="311"/>
      <c r="D671" s="311"/>
      <c r="E671" s="476"/>
      <c r="F671" s="476"/>
    </row>
    <row r="672" customFormat="false" ht="12.75" hidden="false" customHeight="true" outlineLevel="0" collapsed="false">
      <c r="B672" s="311"/>
      <c r="C672" s="311"/>
      <c r="D672" s="311"/>
      <c r="E672" s="476"/>
      <c r="F672" s="476"/>
    </row>
    <row r="673" customFormat="false" ht="12.75" hidden="false" customHeight="true" outlineLevel="0" collapsed="false">
      <c r="B673" s="311"/>
      <c r="C673" s="311"/>
      <c r="D673" s="311"/>
      <c r="E673" s="476"/>
      <c r="F673" s="476"/>
    </row>
    <row r="674" customFormat="false" ht="12.75" hidden="false" customHeight="true" outlineLevel="0" collapsed="false">
      <c r="B674" s="311"/>
      <c r="C674" s="311"/>
      <c r="D674" s="311"/>
      <c r="E674" s="476"/>
      <c r="F674" s="476"/>
    </row>
    <row r="675" customFormat="false" ht="12.75" hidden="false" customHeight="true" outlineLevel="0" collapsed="false">
      <c r="B675" s="311"/>
      <c r="C675" s="311"/>
      <c r="D675" s="311"/>
      <c r="E675" s="476"/>
      <c r="F675" s="476"/>
    </row>
    <row r="676" customFormat="false" ht="12.75" hidden="false" customHeight="true" outlineLevel="0" collapsed="false">
      <c r="B676" s="311"/>
      <c r="C676" s="311"/>
      <c r="D676" s="311"/>
      <c r="E676" s="476"/>
      <c r="F676" s="476"/>
    </row>
    <row r="677" customFormat="false" ht="12.75" hidden="false" customHeight="true" outlineLevel="0" collapsed="false">
      <c r="B677" s="311"/>
      <c r="C677" s="311"/>
      <c r="D677" s="311"/>
      <c r="E677" s="476"/>
      <c r="F677" s="476"/>
    </row>
    <row r="678" customFormat="false" ht="12.75" hidden="false" customHeight="true" outlineLevel="0" collapsed="false">
      <c r="B678" s="311"/>
      <c r="C678" s="311"/>
      <c r="D678" s="311"/>
      <c r="E678" s="476"/>
      <c r="F678" s="476"/>
    </row>
    <row r="679" customFormat="false" ht="12.75" hidden="false" customHeight="true" outlineLevel="0" collapsed="false">
      <c r="B679" s="311"/>
      <c r="C679" s="311"/>
      <c r="D679" s="311"/>
      <c r="E679" s="476"/>
      <c r="F679" s="476"/>
    </row>
    <row r="680" customFormat="false" ht="12.75" hidden="false" customHeight="true" outlineLevel="0" collapsed="false">
      <c r="B680" s="311"/>
      <c r="C680" s="311"/>
      <c r="D680" s="311"/>
      <c r="E680" s="476"/>
      <c r="F680" s="476"/>
    </row>
    <row r="681" customFormat="false" ht="12.75" hidden="false" customHeight="true" outlineLevel="0" collapsed="false">
      <c r="B681" s="311"/>
      <c r="C681" s="311"/>
      <c r="D681" s="311"/>
      <c r="E681" s="476"/>
      <c r="F681" s="476"/>
    </row>
    <row r="682" customFormat="false" ht="12.75" hidden="false" customHeight="true" outlineLevel="0" collapsed="false">
      <c r="B682" s="311"/>
      <c r="C682" s="311"/>
      <c r="D682" s="311"/>
      <c r="E682" s="476"/>
      <c r="F682" s="476"/>
    </row>
    <row r="683" customFormat="false" ht="12.75" hidden="false" customHeight="true" outlineLevel="0" collapsed="false">
      <c r="B683" s="311"/>
      <c r="C683" s="311"/>
      <c r="D683" s="311"/>
      <c r="E683" s="476"/>
      <c r="F683" s="476"/>
    </row>
    <row r="684" customFormat="false" ht="12.75" hidden="false" customHeight="true" outlineLevel="0" collapsed="false">
      <c r="B684" s="311"/>
      <c r="C684" s="311"/>
      <c r="D684" s="311"/>
      <c r="E684" s="476"/>
      <c r="F684" s="476"/>
    </row>
    <row r="685" customFormat="false" ht="12.75" hidden="false" customHeight="true" outlineLevel="0" collapsed="false">
      <c r="B685" s="311"/>
      <c r="C685" s="311"/>
      <c r="D685" s="311"/>
      <c r="E685" s="476"/>
      <c r="F685" s="476"/>
    </row>
    <row r="686" customFormat="false" ht="12.75" hidden="false" customHeight="true" outlineLevel="0" collapsed="false">
      <c r="B686" s="311"/>
      <c r="C686" s="311"/>
      <c r="D686" s="311"/>
      <c r="E686" s="476"/>
      <c r="F686" s="476"/>
    </row>
    <row r="687" customFormat="false" ht="12.75" hidden="false" customHeight="true" outlineLevel="0" collapsed="false">
      <c r="B687" s="311"/>
    </row>
    <row r="688" customFormat="false" ht="12.75" hidden="false" customHeight="true" outlineLevel="0" collapsed="false">
      <c r="B688" s="311"/>
    </row>
    <row r="689" customFormat="false" ht="12.75" hidden="false" customHeight="true" outlineLevel="0" collapsed="false">
      <c r="B689" s="311"/>
    </row>
    <row r="690" customFormat="false" ht="12.75" hidden="false" customHeight="true" outlineLevel="0" collapsed="false">
      <c r="B690" s="311"/>
    </row>
    <row r="691" customFormat="false" ht="12.75" hidden="false" customHeight="true" outlineLevel="0" collapsed="false">
      <c r="B691" s="311"/>
    </row>
    <row r="692" customFormat="false" ht="12.75" hidden="false" customHeight="true" outlineLevel="0" collapsed="false">
      <c r="B692" s="311"/>
    </row>
    <row r="693" customFormat="false" ht="12.75" hidden="false" customHeight="true" outlineLevel="0" collapsed="false">
      <c r="B693" s="311"/>
    </row>
    <row r="694" customFormat="false" ht="12.75" hidden="false" customHeight="true" outlineLevel="0" collapsed="false">
      <c r="B694" s="311"/>
    </row>
    <row r="695" customFormat="false" ht="12.75" hidden="false" customHeight="true" outlineLevel="0" collapsed="false">
      <c r="B695" s="311"/>
    </row>
    <row r="696" customFormat="false" ht="12.75" hidden="false" customHeight="true" outlineLevel="0" collapsed="false">
      <c r="B696" s="311"/>
    </row>
    <row r="697" customFormat="false" ht="12.75" hidden="false" customHeight="true" outlineLevel="0" collapsed="false">
      <c r="B697" s="311"/>
    </row>
    <row r="698" customFormat="false" ht="12.75" hidden="false" customHeight="true" outlineLevel="0" collapsed="false">
      <c r="B698" s="311"/>
    </row>
    <row r="699" customFormat="false" ht="12.75" hidden="false" customHeight="true" outlineLevel="0" collapsed="false">
      <c r="B699" s="311"/>
    </row>
    <row r="700" customFormat="false" ht="12.75" hidden="false" customHeight="true" outlineLevel="0" collapsed="false">
      <c r="B700" s="311"/>
    </row>
    <row r="701" customFormat="false" ht="12.75" hidden="false" customHeight="true" outlineLevel="0" collapsed="false">
      <c r="B701" s="311"/>
    </row>
    <row r="702" customFormat="false" ht="12.75" hidden="false" customHeight="true" outlineLevel="0" collapsed="false">
      <c r="B702" s="311"/>
    </row>
    <row r="703" customFormat="false" ht="12.75" hidden="false" customHeight="true" outlineLevel="0" collapsed="false">
      <c r="B703" s="311"/>
    </row>
    <row r="704" customFormat="false" ht="12.75" hidden="false" customHeight="true" outlineLevel="0" collapsed="false">
      <c r="B704" s="311"/>
    </row>
    <row r="705" customFormat="false" ht="12.75" hidden="false" customHeight="true" outlineLevel="0" collapsed="false">
      <c r="B705" s="311"/>
    </row>
    <row r="706" customFormat="false" ht="12.75" hidden="false" customHeight="true" outlineLevel="0" collapsed="false">
      <c r="B706" s="311"/>
    </row>
    <row r="707" customFormat="false" ht="12.75" hidden="false" customHeight="true" outlineLevel="0" collapsed="false">
      <c r="B707" s="311"/>
    </row>
    <row r="708" customFormat="false" ht="12.75" hidden="false" customHeight="true" outlineLevel="0" collapsed="false">
      <c r="B708" s="311"/>
    </row>
    <row r="709" customFormat="false" ht="12.75" hidden="false" customHeight="true" outlineLevel="0" collapsed="false">
      <c r="B709" s="311"/>
    </row>
    <row r="710" customFormat="false" ht="12.75" hidden="false" customHeight="true" outlineLevel="0" collapsed="false">
      <c r="B710" s="311"/>
    </row>
    <row r="711" customFormat="false" ht="12.75" hidden="false" customHeight="true" outlineLevel="0" collapsed="false">
      <c r="B711" s="311"/>
    </row>
    <row r="712" customFormat="false" ht="12.75" hidden="false" customHeight="true" outlineLevel="0" collapsed="false">
      <c r="B712" s="311"/>
    </row>
    <row r="713" customFormat="false" ht="12.75" hidden="false" customHeight="true" outlineLevel="0" collapsed="false">
      <c r="B713" s="311"/>
    </row>
    <row r="714" customFormat="false" ht="12.75" hidden="false" customHeight="true" outlineLevel="0" collapsed="false">
      <c r="B714" s="311"/>
    </row>
    <row r="715" customFormat="false" ht="12.75" hidden="false" customHeight="true" outlineLevel="0" collapsed="false">
      <c r="B715" s="311"/>
    </row>
    <row r="716" customFormat="false" ht="12.75" hidden="false" customHeight="true" outlineLevel="0" collapsed="false">
      <c r="B716" s="311"/>
    </row>
    <row r="717" customFormat="false" ht="12.75" hidden="false" customHeight="true" outlineLevel="0" collapsed="false">
      <c r="B717" s="311"/>
    </row>
    <row r="718" customFormat="false" ht="12.75" hidden="false" customHeight="true" outlineLevel="0" collapsed="false">
      <c r="B718" s="311"/>
    </row>
    <row r="719" customFormat="false" ht="12.75" hidden="false" customHeight="true" outlineLevel="0" collapsed="false">
      <c r="B719" s="311"/>
    </row>
    <row r="720" customFormat="false" ht="12.75" hidden="false" customHeight="true" outlineLevel="0" collapsed="false">
      <c r="B720" s="311"/>
    </row>
    <row r="721" customFormat="false" ht="12.75" hidden="false" customHeight="true" outlineLevel="0" collapsed="false">
      <c r="B721" s="311"/>
    </row>
    <row r="722" customFormat="false" ht="12.75" hidden="false" customHeight="true" outlineLevel="0" collapsed="false">
      <c r="B722" s="311"/>
    </row>
    <row r="723" customFormat="false" ht="12.75" hidden="false" customHeight="true" outlineLevel="0" collapsed="false">
      <c r="B723" s="311"/>
    </row>
    <row r="724" customFormat="false" ht="12.75" hidden="false" customHeight="true" outlineLevel="0" collapsed="false">
      <c r="B724" s="311"/>
    </row>
    <row r="725" customFormat="false" ht="12.75" hidden="false" customHeight="true" outlineLevel="0" collapsed="false">
      <c r="B725" s="311"/>
    </row>
    <row r="726" customFormat="false" ht="12.75" hidden="false" customHeight="true" outlineLevel="0" collapsed="false">
      <c r="B726" s="311"/>
    </row>
    <row r="727" customFormat="false" ht="12.75" hidden="false" customHeight="true" outlineLevel="0" collapsed="false">
      <c r="B727" s="311"/>
    </row>
    <row r="728" customFormat="false" ht="12.75" hidden="false" customHeight="true" outlineLevel="0" collapsed="false">
      <c r="B728" s="311"/>
    </row>
    <row r="729" customFormat="false" ht="12.75" hidden="false" customHeight="true" outlineLevel="0" collapsed="false">
      <c r="B729" s="311"/>
    </row>
    <row r="730" customFormat="false" ht="12.75" hidden="false" customHeight="true" outlineLevel="0" collapsed="false">
      <c r="B730" s="311"/>
    </row>
    <row r="731" customFormat="false" ht="12.75" hidden="false" customHeight="true" outlineLevel="0" collapsed="false">
      <c r="B731" s="311"/>
    </row>
    <row r="732" customFormat="false" ht="12.75" hidden="false" customHeight="true" outlineLevel="0" collapsed="false">
      <c r="B732" s="311"/>
    </row>
    <row r="733" customFormat="false" ht="12.75" hidden="false" customHeight="true" outlineLevel="0" collapsed="false">
      <c r="B733" s="311"/>
    </row>
    <row r="734" customFormat="false" ht="12.75" hidden="false" customHeight="true" outlineLevel="0" collapsed="false">
      <c r="B734" s="311"/>
    </row>
    <row r="735" customFormat="false" ht="12.75" hidden="false" customHeight="true" outlineLevel="0" collapsed="false">
      <c r="B735" s="311"/>
    </row>
    <row r="736" customFormat="false" ht="12.75" hidden="false" customHeight="true" outlineLevel="0" collapsed="false">
      <c r="B736" s="311"/>
    </row>
    <row r="737" customFormat="false" ht="12.75" hidden="false" customHeight="true" outlineLevel="0" collapsed="false">
      <c r="B737" s="311"/>
    </row>
    <row r="738" customFormat="false" ht="12.75" hidden="false" customHeight="true" outlineLevel="0" collapsed="false">
      <c r="B738" s="311"/>
    </row>
    <row r="739" customFormat="false" ht="12.75" hidden="false" customHeight="true" outlineLevel="0" collapsed="false">
      <c r="B739" s="311"/>
    </row>
    <row r="740" customFormat="false" ht="12.75" hidden="false" customHeight="true" outlineLevel="0" collapsed="false">
      <c r="B740" s="311"/>
    </row>
    <row r="741" customFormat="false" ht="12.75" hidden="false" customHeight="true" outlineLevel="0" collapsed="false">
      <c r="B741" s="311"/>
    </row>
    <row r="742" customFormat="false" ht="12.75" hidden="false" customHeight="true" outlineLevel="0" collapsed="false">
      <c r="B742" s="311"/>
    </row>
    <row r="743" customFormat="false" ht="12.75" hidden="false" customHeight="true" outlineLevel="0" collapsed="false">
      <c r="B743" s="311"/>
    </row>
    <row r="744" customFormat="false" ht="12.75" hidden="false" customHeight="true" outlineLevel="0" collapsed="false">
      <c r="B744" s="311"/>
    </row>
    <row r="745" customFormat="false" ht="12.75" hidden="false" customHeight="true" outlineLevel="0" collapsed="false">
      <c r="B745" s="311"/>
    </row>
    <row r="746" customFormat="false" ht="12.75" hidden="false" customHeight="true" outlineLevel="0" collapsed="false">
      <c r="B746" s="311"/>
    </row>
    <row r="747" customFormat="false" ht="12.75" hidden="false" customHeight="true" outlineLevel="0" collapsed="false">
      <c r="B747" s="311"/>
    </row>
    <row r="748" customFormat="false" ht="12.75" hidden="false" customHeight="true" outlineLevel="0" collapsed="false">
      <c r="B748" s="311"/>
    </row>
    <row r="749" customFormat="false" ht="12.75" hidden="false" customHeight="true" outlineLevel="0" collapsed="false">
      <c r="B749" s="311"/>
    </row>
    <row r="750" customFormat="false" ht="12.75" hidden="false" customHeight="true" outlineLevel="0" collapsed="false">
      <c r="B750" s="311"/>
    </row>
    <row r="751" customFormat="false" ht="12.75" hidden="false" customHeight="true" outlineLevel="0" collapsed="false">
      <c r="B751" s="311"/>
    </row>
    <row r="752" customFormat="false" ht="12.75" hidden="false" customHeight="true" outlineLevel="0" collapsed="false">
      <c r="B752" s="311"/>
    </row>
    <row r="753" customFormat="false" ht="12.75" hidden="false" customHeight="true" outlineLevel="0" collapsed="false">
      <c r="B753" s="311"/>
    </row>
    <row r="754" customFormat="false" ht="12.75" hidden="false" customHeight="true" outlineLevel="0" collapsed="false">
      <c r="B754" s="311"/>
    </row>
    <row r="755" customFormat="false" ht="12.75" hidden="false" customHeight="true" outlineLevel="0" collapsed="false">
      <c r="B755" s="311"/>
    </row>
    <row r="756" customFormat="false" ht="12.75" hidden="false" customHeight="true" outlineLevel="0" collapsed="false">
      <c r="B756" s="311"/>
    </row>
    <row r="757" customFormat="false" ht="12.75" hidden="false" customHeight="true" outlineLevel="0" collapsed="false">
      <c r="B757" s="311"/>
    </row>
    <row r="758" customFormat="false" ht="12.75" hidden="false" customHeight="true" outlineLevel="0" collapsed="false">
      <c r="B758" s="311"/>
    </row>
    <row r="759" customFormat="false" ht="12.75" hidden="false" customHeight="true" outlineLevel="0" collapsed="false">
      <c r="B759" s="311"/>
    </row>
    <row r="760" customFormat="false" ht="12.75" hidden="false" customHeight="true" outlineLevel="0" collapsed="false">
      <c r="B760" s="311"/>
    </row>
    <row r="761" customFormat="false" ht="12.75" hidden="false" customHeight="true" outlineLevel="0" collapsed="false">
      <c r="B761" s="311"/>
    </row>
    <row r="762" customFormat="false" ht="12.75" hidden="false" customHeight="true" outlineLevel="0" collapsed="false">
      <c r="B762" s="311"/>
    </row>
    <row r="763" customFormat="false" ht="12.75" hidden="false" customHeight="true" outlineLevel="0" collapsed="false">
      <c r="B763" s="311"/>
    </row>
    <row r="764" customFormat="false" ht="12.75" hidden="false" customHeight="true" outlineLevel="0" collapsed="false">
      <c r="B764" s="311"/>
    </row>
    <row r="765" customFormat="false" ht="12.75" hidden="false" customHeight="true" outlineLevel="0" collapsed="false">
      <c r="B765" s="311"/>
    </row>
    <row r="766" customFormat="false" ht="12.75" hidden="false" customHeight="true" outlineLevel="0" collapsed="false">
      <c r="B766" s="311"/>
    </row>
    <row r="767" customFormat="false" ht="12.75" hidden="false" customHeight="true" outlineLevel="0" collapsed="false">
      <c r="B767" s="311"/>
    </row>
    <row r="768" customFormat="false" ht="12.75" hidden="false" customHeight="true" outlineLevel="0" collapsed="false">
      <c r="B768" s="311"/>
    </row>
    <row r="769" customFormat="false" ht="12.75" hidden="false" customHeight="true" outlineLevel="0" collapsed="false">
      <c r="B769" s="311"/>
    </row>
    <row r="770" customFormat="false" ht="12.75" hidden="false" customHeight="true" outlineLevel="0" collapsed="false">
      <c r="B770" s="311"/>
    </row>
    <row r="771" customFormat="false" ht="12.75" hidden="false" customHeight="true" outlineLevel="0" collapsed="false">
      <c r="B771" s="311"/>
    </row>
    <row r="772" customFormat="false" ht="12.75" hidden="false" customHeight="true" outlineLevel="0" collapsed="false">
      <c r="B772" s="311"/>
    </row>
    <row r="773" customFormat="false" ht="12.75" hidden="false" customHeight="true" outlineLevel="0" collapsed="false">
      <c r="B773" s="311"/>
    </row>
    <row r="774" customFormat="false" ht="12.75" hidden="false" customHeight="true" outlineLevel="0" collapsed="false">
      <c r="B774" s="311"/>
    </row>
    <row r="775" customFormat="false" ht="12.75" hidden="false" customHeight="true" outlineLevel="0" collapsed="false">
      <c r="B775" s="311"/>
    </row>
    <row r="776" customFormat="false" ht="12.75" hidden="false" customHeight="true" outlineLevel="0" collapsed="false">
      <c r="B776" s="311"/>
    </row>
    <row r="777" customFormat="false" ht="12.75" hidden="false" customHeight="true" outlineLevel="0" collapsed="false">
      <c r="B777" s="311"/>
    </row>
    <row r="778" customFormat="false" ht="12.75" hidden="false" customHeight="true" outlineLevel="0" collapsed="false">
      <c r="B778" s="311"/>
    </row>
    <row r="779" customFormat="false" ht="12.75" hidden="false" customHeight="true" outlineLevel="0" collapsed="false">
      <c r="B779" s="311"/>
    </row>
    <row r="780" customFormat="false" ht="12.75" hidden="false" customHeight="true" outlineLevel="0" collapsed="false">
      <c r="B780" s="311"/>
    </row>
    <row r="781" customFormat="false" ht="12.75" hidden="false" customHeight="true" outlineLevel="0" collapsed="false">
      <c r="B781" s="311"/>
    </row>
    <row r="782" customFormat="false" ht="12.75" hidden="false" customHeight="true" outlineLevel="0" collapsed="false">
      <c r="B782" s="311"/>
    </row>
    <row r="783" customFormat="false" ht="12.75" hidden="false" customHeight="true" outlineLevel="0" collapsed="false">
      <c r="B783" s="311"/>
    </row>
    <row r="784" customFormat="false" ht="12.75" hidden="false" customHeight="true" outlineLevel="0" collapsed="false">
      <c r="B784" s="311"/>
    </row>
    <row r="785" customFormat="false" ht="12.75" hidden="false" customHeight="true" outlineLevel="0" collapsed="false">
      <c r="B785" s="311"/>
    </row>
    <row r="786" customFormat="false" ht="12.75" hidden="false" customHeight="true" outlineLevel="0" collapsed="false">
      <c r="B786" s="311"/>
    </row>
    <row r="787" customFormat="false" ht="12.75" hidden="false" customHeight="true" outlineLevel="0" collapsed="false">
      <c r="B787" s="311"/>
    </row>
    <row r="788" customFormat="false" ht="12.75" hidden="false" customHeight="true" outlineLevel="0" collapsed="false">
      <c r="B788" s="311"/>
    </row>
    <row r="789" customFormat="false" ht="12.75" hidden="false" customHeight="true" outlineLevel="0" collapsed="false">
      <c r="B789" s="311"/>
    </row>
    <row r="790" customFormat="false" ht="12.75" hidden="false" customHeight="true" outlineLevel="0" collapsed="false">
      <c r="B790" s="311"/>
    </row>
    <row r="791" customFormat="false" ht="12.75" hidden="false" customHeight="true" outlineLevel="0" collapsed="false">
      <c r="B791" s="311"/>
    </row>
    <row r="792" customFormat="false" ht="12.75" hidden="false" customHeight="true" outlineLevel="0" collapsed="false">
      <c r="B792" s="311"/>
    </row>
    <row r="793" customFormat="false" ht="12.75" hidden="false" customHeight="true" outlineLevel="0" collapsed="false">
      <c r="B793" s="311"/>
    </row>
    <row r="794" customFormat="false" ht="12.75" hidden="false" customHeight="true" outlineLevel="0" collapsed="false">
      <c r="B794" s="311"/>
    </row>
    <row r="795" customFormat="false" ht="12.75" hidden="false" customHeight="true" outlineLevel="0" collapsed="false">
      <c r="B795" s="311"/>
    </row>
    <row r="796" customFormat="false" ht="12.75" hidden="false" customHeight="true" outlineLevel="0" collapsed="false">
      <c r="B796" s="311"/>
    </row>
    <row r="797" customFormat="false" ht="12.75" hidden="false" customHeight="true" outlineLevel="0" collapsed="false">
      <c r="B797" s="311"/>
    </row>
    <row r="798" customFormat="false" ht="12.75" hidden="false" customHeight="true" outlineLevel="0" collapsed="false">
      <c r="B798" s="311"/>
    </row>
    <row r="799" customFormat="false" ht="12.75" hidden="false" customHeight="true" outlineLevel="0" collapsed="false">
      <c r="B799" s="311"/>
    </row>
    <row r="800" customFormat="false" ht="12.75" hidden="false" customHeight="true" outlineLevel="0" collapsed="false">
      <c r="B800" s="311"/>
    </row>
    <row r="801" customFormat="false" ht="12.75" hidden="false" customHeight="true" outlineLevel="0" collapsed="false">
      <c r="B801" s="311"/>
    </row>
    <row r="802" customFormat="false" ht="12.75" hidden="false" customHeight="true" outlineLevel="0" collapsed="false">
      <c r="B802" s="311"/>
    </row>
    <row r="803" customFormat="false" ht="12.75" hidden="false" customHeight="true" outlineLevel="0" collapsed="false">
      <c r="B803" s="311"/>
    </row>
    <row r="804" customFormat="false" ht="12.75" hidden="false" customHeight="true" outlineLevel="0" collapsed="false">
      <c r="B804" s="311"/>
    </row>
    <row r="805" customFormat="false" ht="12.75" hidden="false" customHeight="true" outlineLevel="0" collapsed="false">
      <c r="B805" s="311"/>
    </row>
    <row r="806" customFormat="false" ht="12.75" hidden="false" customHeight="true" outlineLevel="0" collapsed="false">
      <c r="B806" s="311"/>
    </row>
    <row r="807" customFormat="false" ht="12.75" hidden="false" customHeight="true" outlineLevel="0" collapsed="false">
      <c r="B807" s="311"/>
    </row>
    <row r="808" customFormat="false" ht="12.75" hidden="false" customHeight="true" outlineLevel="0" collapsed="false">
      <c r="B808" s="311"/>
    </row>
    <row r="809" customFormat="false" ht="12.75" hidden="false" customHeight="true" outlineLevel="0" collapsed="false">
      <c r="B809" s="311"/>
    </row>
    <row r="810" customFormat="false" ht="12.75" hidden="false" customHeight="true" outlineLevel="0" collapsed="false">
      <c r="B810" s="311"/>
    </row>
    <row r="811" customFormat="false" ht="12.75" hidden="false" customHeight="true" outlineLevel="0" collapsed="false">
      <c r="B811" s="311"/>
    </row>
    <row r="812" customFormat="false" ht="12.75" hidden="false" customHeight="true" outlineLevel="0" collapsed="false">
      <c r="B812" s="311"/>
    </row>
    <row r="813" customFormat="false" ht="12.75" hidden="false" customHeight="true" outlineLevel="0" collapsed="false">
      <c r="B813" s="311"/>
    </row>
    <row r="814" customFormat="false" ht="12.75" hidden="false" customHeight="true" outlineLevel="0" collapsed="false">
      <c r="B814" s="311"/>
    </row>
    <row r="815" customFormat="false" ht="12.75" hidden="false" customHeight="true" outlineLevel="0" collapsed="false">
      <c r="B815" s="311"/>
    </row>
    <row r="816" customFormat="false" ht="12.75" hidden="false" customHeight="true" outlineLevel="0" collapsed="false">
      <c r="B816" s="311"/>
    </row>
    <row r="817" customFormat="false" ht="12.75" hidden="false" customHeight="true" outlineLevel="0" collapsed="false">
      <c r="B817" s="311"/>
    </row>
    <row r="818" customFormat="false" ht="12.75" hidden="false" customHeight="true" outlineLevel="0" collapsed="false">
      <c r="B818" s="311"/>
    </row>
    <row r="819" customFormat="false" ht="12.75" hidden="false" customHeight="true" outlineLevel="0" collapsed="false">
      <c r="B819" s="311"/>
    </row>
    <row r="820" customFormat="false" ht="12.75" hidden="false" customHeight="true" outlineLevel="0" collapsed="false">
      <c r="B820" s="311"/>
    </row>
    <row r="821" customFormat="false" ht="12.75" hidden="false" customHeight="true" outlineLevel="0" collapsed="false">
      <c r="B821" s="311"/>
    </row>
    <row r="822" customFormat="false" ht="12.75" hidden="false" customHeight="true" outlineLevel="0" collapsed="false">
      <c r="B822" s="311"/>
    </row>
    <row r="823" customFormat="false" ht="12.75" hidden="false" customHeight="true" outlineLevel="0" collapsed="false">
      <c r="B823" s="311"/>
    </row>
    <row r="824" customFormat="false" ht="12.75" hidden="false" customHeight="true" outlineLevel="0" collapsed="false">
      <c r="B824" s="311"/>
    </row>
    <row r="825" customFormat="false" ht="12.75" hidden="false" customHeight="true" outlineLevel="0" collapsed="false">
      <c r="B825" s="311"/>
    </row>
    <row r="826" customFormat="false" ht="12.75" hidden="false" customHeight="true" outlineLevel="0" collapsed="false">
      <c r="B826" s="311"/>
    </row>
    <row r="827" customFormat="false" ht="12.75" hidden="false" customHeight="true" outlineLevel="0" collapsed="false">
      <c r="B827" s="311"/>
    </row>
    <row r="828" customFormat="false" ht="12.75" hidden="false" customHeight="true" outlineLevel="0" collapsed="false">
      <c r="B828" s="311"/>
    </row>
    <row r="829" customFormat="false" ht="12.75" hidden="false" customHeight="true" outlineLevel="0" collapsed="false">
      <c r="B829" s="311"/>
    </row>
    <row r="830" customFormat="false" ht="12.75" hidden="false" customHeight="true" outlineLevel="0" collapsed="false">
      <c r="B830" s="311"/>
    </row>
    <row r="831" customFormat="false" ht="12.75" hidden="false" customHeight="true" outlineLevel="0" collapsed="false">
      <c r="B831" s="311"/>
    </row>
    <row r="832" customFormat="false" ht="12.75" hidden="false" customHeight="true" outlineLevel="0" collapsed="false">
      <c r="B832" s="311"/>
    </row>
    <row r="833" customFormat="false" ht="12.75" hidden="false" customHeight="true" outlineLevel="0" collapsed="false">
      <c r="B833" s="311"/>
    </row>
    <row r="834" customFormat="false" ht="12.75" hidden="false" customHeight="true" outlineLevel="0" collapsed="false">
      <c r="B834" s="311"/>
    </row>
    <row r="835" customFormat="false" ht="12.75" hidden="false" customHeight="true" outlineLevel="0" collapsed="false">
      <c r="B835" s="311"/>
    </row>
    <row r="836" customFormat="false" ht="12.75" hidden="false" customHeight="true" outlineLevel="0" collapsed="false">
      <c r="B836" s="311"/>
    </row>
    <row r="837" customFormat="false" ht="12.75" hidden="false" customHeight="true" outlineLevel="0" collapsed="false">
      <c r="B837" s="311"/>
    </row>
    <row r="838" customFormat="false" ht="12.75" hidden="false" customHeight="true" outlineLevel="0" collapsed="false">
      <c r="B838" s="311"/>
    </row>
    <row r="839" customFormat="false" ht="12.75" hidden="false" customHeight="true" outlineLevel="0" collapsed="false">
      <c r="B839" s="311"/>
    </row>
    <row r="840" customFormat="false" ht="12.75" hidden="false" customHeight="true" outlineLevel="0" collapsed="false">
      <c r="B840" s="311"/>
    </row>
    <row r="841" customFormat="false" ht="12.75" hidden="false" customHeight="true" outlineLevel="0" collapsed="false">
      <c r="B841" s="311"/>
    </row>
    <row r="842" customFormat="false" ht="12.75" hidden="false" customHeight="true" outlineLevel="0" collapsed="false">
      <c r="B842" s="311"/>
    </row>
    <row r="843" customFormat="false" ht="12.75" hidden="false" customHeight="true" outlineLevel="0" collapsed="false">
      <c r="B843" s="311"/>
    </row>
    <row r="844" customFormat="false" ht="12.75" hidden="false" customHeight="true" outlineLevel="0" collapsed="false">
      <c r="B844" s="311"/>
    </row>
    <row r="845" customFormat="false" ht="12.75" hidden="false" customHeight="true" outlineLevel="0" collapsed="false">
      <c r="B845" s="311"/>
    </row>
    <row r="846" customFormat="false" ht="12.75" hidden="false" customHeight="true" outlineLevel="0" collapsed="false">
      <c r="B846" s="311"/>
    </row>
  </sheetData>
  <autoFilter ref="B7:P212"/>
  <mergeCells count="8">
    <mergeCell ref="H4:I4"/>
    <mergeCell ref="J4:K4"/>
    <mergeCell ref="L4:M4"/>
    <mergeCell ref="N4:O4"/>
    <mergeCell ref="H5:I5"/>
    <mergeCell ref="J5:K5"/>
    <mergeCell ref="L5:M5"/>
    <mergeCell ref="N5:O5"/>
  </mergeCells>
  <conditionalFormatting sqref="B1:B7 B9:B1048576">
    <cfRule type="duplicateValues" priority="2" aboveAverage="0" equalAverage="0" bottom="0" percent="0" rank="0" text="" dxfId="16"/>
  </conditionalFormatting>
  <conditionalFormatting sqref="A202">
    <cfRule type="duplicateValues" priority="3" aboveAverage="0" equalAverage="0" bottom="0" percent="0" rank="0" text="" dxfId="16"/>
  </conditionalFormatting>
  <conditionalFormatting sqref="B202">
    <cfRule type="duplicateValues" priority="4" aboveAverage="0" equalAverage="0" bottom="0" percent="0" rank="0" text="" dxfId="16"/>
    <cfRule type="duplicateValues" priority="5" aboveAverage="0" equalAverage="0" bottom="0" percent="0" rank="0" text="" dxfId="17"/>
    <cfRule type="duplicateValues" priority="6" aboveAverage="0" equalAverage="0" bottom="0" percent="0" rank="0" text="" dxfId="21"/>
  </conditionalFormatting>
  <conditionalFormatting sqref="D201:D202">
    <cfRule type="cellIs" priority="7" operator="equal" aboveAverage="0" equalAverage="0" bottom="0" percent="0" rank="0" text="" dxfId="19">
      <formula>"F"</formula>
    </cfRule>
    <cfRule type="expression" priority="8" aboveAverage="0" equalAverage="0" bottom="0" percent="0" rank="0" text="" dxfId="18">
      <formula>#ref!=$E$5</formula>
    </cfRule>
  </conditionalFormatting>
  <conditionalFormatting sqref="A201">
    <cfRule type="duplicateValues" priority="9" aboveAverage="0" equalAverage="0" bottom="0" percent="0" rank="0" text="" dxfId="16"/>
  </conditionalFormatting>
  <conditionalFormatting sqref="B201">
    <cfRule type="duplicateValues" priority="10" aboveAverage="0" equalAverage="0" bottom="0" percent="0" rank="0" text="" dxfId="16"/>
    <cfRule type="duplicateValues" priority="11" aboveAverage="0" equalAverage="0" bottom="0" percent="0" rank="0" text="" dxfId="17"/>
    <cfRule type="duplicateValues" priority="12" aboveAverage="0" equalAverage="0" bottom="0" percent="0" rank="0" text="" dxfId="21"/>
  </conditionalFormatting>
  <conditionalFormatting sqref="A197:A200">
    <cfRule type="duplicateValues" priority="13" aboveAverage="0" equalAverage="0" bottom="0" percent="0" rank="0" text="" dxfId="26"/>
    <cfRule type="duplicateValues" priority="14" aboveAverage="0" equalAverage="0" bottom="0" percent="0" rank="0" text="" dxfId="16"/>
  </conditionalFormatting>
  <conditionalFormatting sqref="D197:D200">
    <cfRule type="expression" priority="15" aboveAverage="0" equalAverage="0" bottom="0" percent="0" rank="0" text="" dxfId="18">
      <formula>#ref!=$E$5</formula>
    </cfRule>
    <cfRule type="expression" priority="16" aboveAverage="0" equalAverage="0" bottom="0" percent="0" rank="0" text="" dxfId="18">
      <formula>#ref!=$E$5</formula>
    </cfRule>
  </conditionalFormatting>
  <conditionalFormatting sqref="D194:D200">
    <cfRule type="cellIs" priority="17" operator="equal" aboveAverage="0" equalAverage="0" bottom="0" percent="0" rank="0" text="" dxfId="19">
      <formula>"F"</formula>
    </cfRule>
  </conditionalFormatting>
  <conditionalFormatting sqref="A196">
    <cfRule type="duplicateValues" priority="18" aboveAverage="0" equalAverage="0" bottom="0" percent="0" rank="0" text="" dxfId="16"/>
  </conditionalFormatting>
  <conditionalFormatting sqref="K10:P10 K26:P26 K30:P30 K37:P37 K68:P68 K108:P108 K120:P120 K176:P176 K9 K21:K22 K25 K27:K29 K31 K36 K38 K40 K47:K48 K50 K52:K53 K60 K65:K66 K69 K74 K81 K84 K86 K105 K107 K112 K116 K121 K126 K136 K140 K144 K153 K158 K170:K172 K175 K177 K181 K184:K185 K187:K188 K190 I10 I26 I30 I37 I68 I108 I120 I176">
    <cfRule type="expression" priority="19" aboveAverage="0" equalAverage="0" bottom="0" percent="0" rank="0" text="" dxfId="18">
      <formula>$F4=$E$5</formula>
    </cfRule>
  </conditionalFormatting>
  <conditionalFormatting sqref="D204">
    <cfRule type="cellIs" priority="20" operator="equal" aboveAverage="0" equalAverage="0" bottom="0" percent="0" rank="0" text="" dxfId="19">
      <formula>"F"</formula>
    </cfRule>
    <cfRule type="expression" priority="21" aboveAverage="0" equalAverage="0" bottom="0" percent="0" rank="0" text="" dxfId="18">
      <formula>#ref!=$E$5</formula>
    </cfRule>
  </conditionalFormatting>
  <conditionalFormatting sqref="D194">
    <cfRule type="expression" priority="22" aboveAverage="0" equalAverage="0" bottom="0" percent="0" rank="0" text="" dxfId="18">
      <formula>#ref!=$E$5</formula>
    </cfRule>
  </conditionalFormatting>
  <conditionalFormatting sqref="D195:D196">
    <cfRule type="expression" priority="23" aboveAverage="0" equalAverage="0" bottom="0" percent="0" rank="0" text="" dxfId="18">
      <formula>#ref!=$E$5</formula>
    </cfRule>
  </conditionalFormatting>
  <conditionalFormatting sqref="B194:D195 B203:P213 D196:D202 F9:F202 G194:P202 H192:P193 K8:P8 I8:I9 K11:P20 K23:P24 I11:I25 I27:I29 K32:P35 I31:I36 K39:P39 K41:P46 K49:P49 K51:P51 K54:P59 K61:P64 I38:I67 K67:P67 K70:P73 I69:I80 K75:P80 K82:P83 K85:P85 K87:P104 K106:P106 I82:I107 K109:P111 K113:P115 I109:I119 K117:P119 K122:P125 K127:P135 K137:P139 K141:P143 K145:P152 K154:P157 K159:P169 K173:P174 I121:I175 K178:P180 K182:P183 K186:P186 K189:P189 I177:I191 K191:P191 L9:P9 L21:P22 L25:P25 L27:P29 L31:P31 L36:P36 L38:P38 L40:P40 L47:P48 L50:P50 L52:P53 L60:P60 L65:P66 L69:P69 L74:P74 L81:P81 L84:P84 L86:P86 L105:P105 L107:P107 L112:P112 L116:P116 L121:P121 L126:P126 L136:P136 L140:P140 L144:P144 L153:P153 L158:P158 L170:P172 L175:P175 L177:P177 L181:P181 L184:P185 L187:P188 L190:P190">
    <cfRule type="expression" priority="24" aboveAverage="0" equalAverage="0" bottom="0" percent="0" rank="0" text="" dxfId="18">
      <formula>#ref!=$E$5</formula>
    </cfRule>
  </conditionalFormatting>
  <conditionalFormatting sqref="B194:D195 B203:D210 D196">
    <cfRule type="expression" priority="25" aboveAverage="0" equalAverage="0" bottom="0" percent="0" rank="0" text="" dxfId="18">
      <formula>#ref!=$E$5</formula>
    </cfRule>
  </conditionalFormatting>
  <conditionalFormatting sqref="B212:D212">
    <cfRule type="expression" priority="26" aboveAverage="0" equalAverage="0" bottom="0" percent="0" rank="0" text="" dxfId="18">
      <formula>#ref!=$E$5</formula>
    </cfRule>
  </conditionalFormatting>
  <conditionalFormatting sqref="I81">
    <cfRule type="expression" priority="27" aboveAverage="0" equalAverage="0" bottom="0" percent="0" rank="0" text="" dxfId="18">
      <formula>#ref!=$E$5</formula>
    </cfRule>
  </conditionalFormatting>
  <conditionalFormatting sqref="B9:B201 B203:B204">
    <cfRule type="duplicateValues" priority="28" aboveAverage="0" equalAverage="0" bottom="0" percent="0" rank="0" text="" dxfId="17"/>
  </conditionalFormatting>
  <conditionalFormatting sqref="A9:A195">
    <cfRule type="duplicateValues" priority="29" aboveAverage="0" equalAverage="0" bottom="0" percent="0" rank="0" text="" dxfId="16"/>
  </conditionalFormatting>
  <conditionalFormatting sqref="B9:B201">
    <cfRule type="duplicateValues" priority="30" aboveAverage="0" equalAverage="0" bottom="0" percent="0" rank="0" text="" dxfId="16"/>
  </conditionalFormatting>
  <conditionalFormatting sqref="D186:D187">
    <cfRule type="expression" priority="31" aboveAverage="0" equalAverage="0" bottom="0" percent="0" rank="0" text="" dxfId="20">
      <formula>#ref!=$E$5</formula>
    </cfRule>
  </conditionalFormatting>
  <conditionalFormatting sqref="D186:D187 F187">
    <cfRule type="expression" priority="32" aboveAverage="0" equalAverage="0" bottom="0" percent="0" rank="0" text="" dxfId="19">
      <formula>$F186=$E$5</formula>
    </cfRule>
  </conditionalFormatting>
  <conditionalFormatting sqref="D152:D185 D188:D191">
    <cfRule type="expression" priority="33" aboveAverage="0" equalAverage="0" bottom="0" percent="0" rank="0" text="" dxfId="20">
      <formula>$F152=$E$5</formula>
    </cfRule>
  </conditionalFormatting>
  <conditionalFormatting sqref="A124:A188">
    <cfRule type="duplicateValues" priority="34" aboveAverage="0" equalAverage="0" bottom="0" percent="0" rank="0" text="" dxfId="19"/>
  </conditionalFormatting>
  <conditionalFormatting sqref="D10 H10 H26 H30 H37 H68 H108 H120 H176 J10 J26 J30 J37 J68 J108 J120 J176">
    <cfRule type="expression" priority="35" aboveAverage="0" equalAverage="0" bottom="0" percent="0" rank="0" text="" dxfId="19">
      <formula>$F8=$E$5</formula>
    </cfRule>
  </conditionalFormatting>
  <conditionalFormatting sqref="D8:D191">
    <cfRule type="cellIs" priority="36" operator="equal" aboveAverage="0" equalAverage="0" bottom="0" percent="0" rank="0" text="" dxfId="20">
      <formula>"F"</formula>
    </cfRule>
  </conditionalFormatting>
  <conditionalFormatting sqref="D8:D185 D188:D191 F8:F185 F188:F191 H8:H9 H11:H25 H27:H29 H31:H36 H38:H67 H69:H107 H109:H119 H121:H122 H153:H175 H177:H191 J8:J9 J11:J25 J27:J29 J31:J36 J38:J67 J69:J107 J109:J119 J121:J122 J153:J175 J177:J191">
    <cfRule type="expression" priority="37" aboveAverage="0" equalAverage="0" bottom="0" percent="0" rank="0" text="" dxfId="19">
      <formula>#ref!=$E$5</formula>
    </cfRule>
  </conditionalFormatting>
  <conditionalFormatting sqref="B8:B9 B11:B15 B121:B123 B189:B191">
    <cfRule type="duplicateValues" priority="38" aboveAverage="0" equalAverage="0" bottom="0" percent="0" rank="0" text="" dxfId="20"/>
  </conditionalFormatting>
  <conditionalFormatting sqref="A8:B15 A121:B123 A189:B191">
    <cfRule type="duplicateValues" priority="39" aboveAverage="0" equalAverage="0" bottom="0" percent="0" rank="0" text="" dxfId="19"/>
  </conditionalFormatting>
  <dataValidations count="9">
    <dataValidation allowBlank="false" errorStyle="stop" operator="between" showDropDown="false" showErrorMessage="true" showInputMessage="true" sqref="E5 F202:F204" type="list">
      <formula1>#ref!</formula1>
      <formula2>0</formula2>
    </dataValidation>
    <dataValidation allowBlank="true" errorStyle="stop" operator="between" showDropDown="false" showErrorMessage="true" showInputMessage="true" sqref="D8:D9 D11:D120 D124:D185 D188 D190:D191" type="list">
      <formula1>"F,M"</formula1>
      <formula2>0</formula2>
    </dataValidation>
    <dataValidation allowBlank="true" errorStyle="stop" operator="between" showDropDown="false" showErrorMessage="true" showInputMessage="true" sqref="D202 D212" type="list">
      <formula1>"F,M"</formula1>
      <formula2>0</formula2>
    </dataValidation>
    <dataValidation allowBlank="true" errorStyle="stop" operator="between" showDropDown="false" showErrorMessage="true" showInputMessage="false" sqref="D204" type="list">
      <formula1>"F,M"</formula1>
      <formula2>0</formula2>
    </dataValidation>
    <dataValidation allowBlank="true" errorStyle="stop" operator="between" showDropDown="false" showErrorMessage="true" showInputMessage="false" sqref="F205:F212" type="list">
      <formula1>"API,ASM,ASV,BUC,CAO,CC2,COS,COU,JOUY,USBY,USP,VAU"</formula1>
      <formula2>0</formula2>
    </dataValidation>
    <dataValidation allowBlank="true" errorStyle="stop" operator="between" showDropDown="false" showErrorMessage="true" showInputMessage="false" sqref="F192:F201" type="list">
      <formula1>#ref!</formula1>
      <formula2>0</formula2>
    </dataValidation>
    <dataValidation allowBlank="true" errorStyle="stop" operator="between" showDropDown="false" showErrorMessage="true" showInputMessage="false" sqref="D10 D189" type="list">
      <formula1>"F,M"</formula1>
      <formula2>0</formula2>
    </dataValidation>
    <dataValidation allowBlank="true" errorStyle="stop" operator="between" showDropDown="false" showErrorMessage="true" showInputMessage="true" sqref="D186:D187" type="list">
      <formula1>"F,M"</formula1>
      <formula2>0</formula2>
    </dataValidation>
    <dataValidation allowBlank="false" errorStyle="stop" operator="between" showDropDown="false" showErrorMessage="true" showInputMessage="true" sqref="F8:F185 F188:F191" type="list">
      <formula1>#ref!</formula1>
      <formula2>0</formula2>
    </dataValidation>
  </dataValidations>
  <printOptions headings="false" gridLines="false" gridLinesSet="true" horizontalCentered="false" verticalCentered="false"/>
  <pageMargins left="0.39375" right="0.39375" top="0.39375" bottom="0.275694444444444" header="0.275694444444444" footer="0.433333333333333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>&amp;CPage &amp;P</oddHeader>
    <oddFooter>&amp;Cle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23" activePane="bottomRight" state="frozen"/>
      <selection pane="topLeft" activeCell="A1" activeCellId="0" sqref="A1"/>
      <selection pane="topRight" activeCell="G1" activeCellId="0" sqref="G1"/>
      <selection pane="bottomLeft" activeCell="A23" activeCellId="0" sqref="A23"/>
      <selection pane="bottomRight" activeCell="I39" activeCellId="0" sqref="I39"/>
    </sheetView>
  </sheetViews>
  <sheetFormatPr defaultColWidth="10.66796875" defaultRowHeight="12.75" customHeight="true" zeroHeight="false" outlineLevelRow="0" outlineLevelCol="0"/>
  <cols>
    <col collapsed="false" customWidth="true" hidden="false" outlineLevel="0" max="1" min="1" style="2" width="8.67"/>
    <col collapsed="false" customWidth="true" hidden="false" outlineLevel="0" max="2" min="2" style="294" width="25.51"/>
    <col collapsed="false" customWidth="true" hidden="false" outlineLevel="0" max="3" min="3" style="2" width="17.5"/>
    <col collapsed="false" customWidth="true" hidden="false" outlineLevel="0" max="4" min="4" style="2" width="5.66"/>
    <col collapsed="false" customWidth="true" hidden="false" outlineLevel="0" max="5" min="5" style="2" width="20.06"/>
    <col collapsed="false" customWidth="false" hidden="false" outlineLevel="0" max="6" min="6" style="1" width="10.66"/>
    <col collapsed="false" customWidth="true" hidden="false" outlineLevel="0" max="8" min="7" style="1" width="6.16"/>
    <col collapsed="false" customWidth="true" hidden="false" outlineLevel="0" max="9" min="9" style="2" width="7.16"/>
    <col collapsed="false" customWidth="true" hidden="false" outlineLevel="0" max="10" min="10" style="1" width="6.33"/>
    <col collapsed="false" customWidth="true" hidden="false" outlineLevel="0" max="11" min="11" style="2" width="7.16"/>
    <col collapsed="false" customWidth="true" hidden="false" outlineLevel="0" max="12" min="12" style="2" width="4.83"/>
    <col collapsed="false" customWidth="true" hidden="false" outlineLevel="0" max="13" min="13" style="2" width="7.16"/>
    <col collapsed="false" customWidth="true" hidden="false" outlineLevel="0" max="14" min="14" style="2" width="5.52"/>
    <col collapsed="false" customWidth="true" hidden="false" outlineLevel="0" max="15" min="15" style="2" width="7.16"/>
    <col collapsed="false" customWidth="true" hidden="false" outlineLevel="0" max="16" min="16" style="1" width="11.5"/>
  </cols>
  <sheetData>
    <row r="1" customFormat="false" ht="17.25" hidden="false" customHeight="true" outlineLevel="0" collapsed="false">
      <c r="B1" s="307" t="str">
        <f aca="false">Poussins!B1</f>
        <v>TOURNOI DE LA VALLEE DE CHEVREUSE 2025-2026</v>
      </c>
      <c r="C1" s="308"/>
      <c r="D1" s="308"/>
      <c r="E1" s="308"/>
      <c r="F1" s="309"/>
      <c r="G1" s="309"/>
      <c r="Z1" s="311"/>
    </row>
    <row r="2" customFormat="false" ht="25.5" hidden="false" customHeight="true" outlineLevel="0" collapsed="false">
      <c r="S2" s="290"/>
      <c r="Z2" s="311"/>
    </row>
    <row r="3" customFormat="false" ht="17.25" hidden="false" customHeight="true" outlineLevel="0" collapsed="false">
      <c r="B3" s="312" t="s">
        <v>1354</v>
      </c>
      <c r="C3" s="313"/>
      <c r="D3" s="313"/>
      <c r="E3" s="478"/>
      <c r="H3" s="479"/>
      <c r="I3" s="316"/>
      <c r="J3" s="479"/>
      <c r="K3" s="316"/>
      <c r="L3" s="316"/>
      <c r="M3" s="316"/>
      <c r="N3" s="316"/>
      <c r="O3" s="316"/>
      <c r="S3" s="290"/>
      <c r="Z3" s="311"/>
    </row>
    <row r="4" customFormat="false" ht="12.75" hidden="false" customHeight="true" outlineLevel="0" collapsed="false">
      <c r="C4" s="1" t="s">
        <v>1330</v>
      </c>
      <c r="D4" s="1"/>
      <c r="H4" s="317" t="s">
        <v>1331</v>
      </c>
      <c r="I4" s="317"/>
      <c r="J4" s="317" t="s">
        <v>1332</v>
      </c>
      <c r="K4" s="317"/>
      <c r="L4" s="317" t="s">
        <v>1333</v>
      </c>
      <c r="M4" s="317"/>
      <c r="N4" s="317" t="s">
        <v>1334</v>
      </c>
      <c r="O4" s="317"/>
      <c r="Z4" s="311"/>
    </row>
    <row r="5" customFormat="false" ht="12.75" hidden="false" customHeight="true" outlineLevel="0" collapsed="false">
      <c r="C5" s="318" t="s">
        <v>1335</v>
      </c>
      <c r="D5" s="318"/>
      <c r="E5" s="319" t="s">
        <v>1355</v>
      </c>
      <c r="H5" s="320" t="n">
        <f aca="false">Poussins!H5</f>
        <v>45991</v>
      </c>
      <c r="I5" s="320"/>
      <c r="J5" s="320" t="n">
        <f aca="false">Poussins!J5</f>
        <v>46040</v>
      </c>
      <c r="K5" s="320"/>
      <c r="L5" s="320" t="n">
        <f aca="false">Poussins!L5</f>
        <v>46103</v>
      </c>
      <c r="M5" s="320"/>
      <c r="N5" s="320" t="n">
        <f aca="false">Poussins!N5</f>
        <v>46180</v>
      </c>
      <c r="O5" s="320"/>
      <c r="Z5" s="311"/>
    </row>
    <row r="6" customFormat="false" ht="12.75" hidden="false" customHeight="true" outlineLevel="0" collapsed="false">
      <c r="E6" s="2" t="s">
        <v>1349</v>
      </c>
      <c r="H6" s="480"/>
      <c r="I6" s="324"/>
      <c r="J6" s="321"/>
      <c r="K6" s="324"/>
      <c r="L6" s="390"/>
      <c r="M6" s="324"/>
      <c r="N6" s="390"/>
      <c r="O6" s="324"/>
      <c r="Z6" s="311"/>
    </row>
    <row r="7" customFormat="false" ht="12.75" hidden="false" customHeight="true" outlineLevel="0" collapsed="false">
      <c r="A7" s="481" t="s">
        <v>0</v>
      </c>
      <c r="B7" s="481" t="s">
        <v>1</v>
      </c>
      <c r="C7" s="481" t="s">
        <v>2</v>
      </c>
      <c r="D7" s="481" t="s">
        <v>3</v>
      </c>
      <c r="E7" s="481" t="s">
        <v>4</v>
      </c>
      <c r="F7" s="236" t="s">
        <v>5</v>
      </c>
      <c r="G7" s="482" t="s">
        <v>995</v>
      </c>
      <c r="H7" s="483" t="s">
        <v>1337</v>
      </c>
      <c r="I7" s="484" t="s">
        <v>1338</v>
      </c>
      <c r="J7" s="485" t="s">
        <v>1339</v>
      </c>
      <c r="K7" s="484" t="s">
        <v>1340</v>
      </c>
      <c r="L7" s="329" t="s">
        <v>1341</v>
      </c>
      <c r="M7" s="484" t="s">
        <v>1342</v>
      </c>
      <c r="N7" s="329" t="s">
        <v>1343</v>
      </c>
      <c r="O7" s="484" t="s">
        <v>1344</v>
      </c>
      <c r="P7" s="331" t="s">
        <v>1345</v>
      </c>
      <c r="Z7" s="311"/>
    </row>
    <row r="8" customFormat="false" ht="12.75" hidden="false" customHeight="true" outlineLevel="0" collapsed="false">
      <c r="A8" s="23" t="n">
        <v>3100</v>
      </c>
      <c r="B8" s="486" t="s">
        <v>255</v>
      </c>
      <c r="C8" s="44" t="s">
        <v>244</v>
      </c>
      <c r="D8" s="24" t="s">
        <v>8</v>
      </c>
      <c r="E8" s="45" t="n">
        <v>41694</v>
      </c>
      <c r="F8" s="16" t="s">
        <v>34</v>
      </c>
      <c r="G8" s="222" t="n">
        <v>500</v>
      </c>
      <c r="H8" s="487"/>
      <c r="I8" s="334"/>
      <c r="J8" s="488"/>
      <c r="K8" s="335"/>
      <c r="L8" s="333"/>
      <c r="M8" s="334"/>
      <c r="N8" s="487"/>
      <c r="O8" s="489"/>
      <c r="P8" s="345" t="n">
        <f aca="false">SUM(I8:O8)</f>
        <v>0</v>
      </c>
    </row>
    <row r="9" customFormat="false" ht="15" hidden="false" customHeight="true" outlineLevel="0" collapsed="false">
      <c r="A9" s="23" t="n">
        <v>3101</v>
      </c>
      <c r="B9" s="486" t="s">
        <v>266</v>
      </c>
      <c r="C9" s="44" t="s">
        <v>267</v>
      </c>
      <c r="D9" s="24" t="s">
        <v>8</v>
      </c>
      <c r="E9" s="45" t="n">
        <v>41757</v>
      </c>
      <c r="F9" s="16" t="s">
        <v>34</v>
      </c>
      <c r="G9" s="222" t="n">
        <v>500</v>
      </c>
      <c r="H9" s="487"/>
      <c r="I9" s="334"/>
      <c r="J9" s="488"/>
      <c r="K9" s="335"/>
      <c r="L9" s="333"/>
      <c r="M9" s="334"/>
      <c r="N9" s="487"/>
      <c r="O9" s="489"/>
      <c r="P9" s="345" t="n">
        <f aca="false">SUM(I9:O9)</f>
        <v>0</v>
      </c>
    </row>
    <row r="10" customFormat="false" ht="15" hidden="false" customHeight="true" outlineLevel="0" collapsed="false">
      <c r="A10" s="23" t="n">
        <v>3102</v>
      </c>
      <c r="B10" s="486" t="s">
        <v>298</v>
      </c>
      <c r="C10" s="44" t="s">
        <v>299</v>
      </c>
      <c r="D10" s="24" t="s">
        <v>26</v>
      </c>
      <c r="E10" s="45" t="n">
        <v>41563</v>
      </c>
      <c r="F10" s="16" t="s">
        <v>34</v>
      </c>
      <c r="G10" s="222" t="n">
        <v>737</v>
      </c>
      <c r="H10" s="487"/>
      <c r="I10" s="334"/>
      <c r="J10" s="488"/>
      <c r="K10" s="335"/>
      <c r="L10" s="333"/>
      <c r="M10" s="334"/>
      <c r="N10" s="487"/>
      <c r="O10" s="489"/>
      <c r="P10" s="345" t="n">
        <f aca="false">SUM(I10:O10)</f>
        <v>0</v>
      </c>
    </row>
    <row r="11" customFormat="false" ht="15" hidden="false" customHeight="true" outlineLevel="0" collapsed="false">
      <c r="A11" s="23" t="n">
        <v>3103</v>
      </c>
      <c r="B11" s="486" t="s">
        <v>298</v>
      </c>
      <c r="C11" s="44" t="s">
        <v>300</v>
      </c>
      <c r="D11" s="24" t="s">
        <v>26</v>
      </c>
      <c r="E11" s="45" t="n">
        <v>41563</v>
      </c>
      <c r="F11" s="16" t="s">
        <v>34</v>
      </c>
      <c r="G11" s="222" t="n">
        <v>697</v>
      </c>
      <c r="H11" s="487"/>
      <c r="I11" s="334"/>
      <c r="J11" s="488"/>
      <c r="K11" s="335"/>
      <c r="L11" s="333"/>
      <c r="M11" s="334"/>
      <c r="N11" s="487"/>
      <c r="O11" s="489"/>
      <c r="P11" s="345" t="n">
        <f aca="false">SUM(I11:O11)</f>
        <v>0</v>
      </c>
    </row>
    <row r="12" customFormat="false" ht="15" hidden="false" customHeight="true" outlineLevel="0" collapsed="false">
      <c r="A12" s="23" t="n">
        <v>3104</v>
      </c>
      <c r="B12" s="486" t="s">
        <v>399</v>
      </c>
      <c r="C12" s="44" t="s">
        <v>400</v>
      </c>
      <c r="D12" s="24" t="s">
        <v>8</v>
      </c>
      <c r="E12" s="45" t="n">
        <v>41465</v>
      </c>
      <c r="F12" s="16" t="s">
        <v>34</v>
      </c>
      <c r="G12" s="222" t="n">
        <v>500</v>
      </c>
      <c r="H12" s="487"/>
      <c r="I12" s="334"/>
      <c r="J12" s="488"/>
      <c r="K12" s="335"/>
      <c r="L12" s="333"/>
      <c r="M12" s="334"/>
      <c r="N12" s="487"/>
      <c r="O12" s="489"/>
      <c r="P12" s="345" t="n">
        <f aca="false">SUM(I12:O12)</f>
        <v>0</v>
      </c>
    </row>
    <row r="13" customFormat="false" ht="15" hidden="false" customHeight="true" outlineLevel="0" collapsed="false">
      <c r="A13" s="23" t="n">
        <v>3105</v>
      </c>
      <c r="B13" s="486" t="s">
        <v>432</v>
      </c>
      <c r="C13" s="44" t="s">
        <v>376</v>
      </c>
      <c r="D13" s="24" t="s">
        <v>8</v>
      </c>
      <c r="E13" s="45" t="n">
        <v>41657</v>
      </c>
      <c r="F13" s="16" t="s">
        <v>34</v>
      </c>
      <c r="G13" s="222" t="n">
        <v>660</v>
      </c>
      <c r="H13" s="487" t="s">
        <v>1346</v>
      </c>
      <c r="I13" s="334" t="n">
        <v>10</v>
      </c>
      <c r="J13" s="488"/>
      <c r="K13" s="335"/>
      <c r="L13" s="333"/>
      <c r="M13" s="334"/>
      <c r="N13" s="487"/>
      <c r="O13" s="489"/>
      <c r="P13" s="345" t="n">
        <f aca="false">SUM(I13:O13)</f>
        <v>10</v>
      </c>
    </row>
    <row r="14" customFormat="false" ht="15" hidden="false" customHeight="true" outlineLevel="0" collapsed="false">
      <c r="A14" s="23" t="n">
        <v>3106</v>
      </c>
      <c r="B14" s="486" t="s">
        <v>530</v>
      </c>
      <c r="C14" s="44" t="s">
        <v>531</v>
      </c>
      <c r="D14" s="24" t="s">
        <v>26</v>
      </c>
      <c r="E14" s="45" t="n">
        <v>41787</v>
      </c>
      <c r="F14" s="16" t="s">
        <v>34</v>
      </c>
      <c r="G14" s="222" t="n">
        <v>500</v>
      </c>
      <c r="H14" s="487"/>
      <c r="I14" s="334"/>
      <c r="J14" s="488"/>
      <c r="K14" s="335"/>
      <c r="L14" s="333"/>
      <c r="M14" s="334"/>
      <c r="N14" s="487"/>
      <c r="O14" s="489"/>
      <c r="P14" s="345" t="n">
        <f aca="false">SUM(I14:O14)</f>
        <v>0</v>
      </c>
    </row>
    <row r="15" customFormat="false" ht="15" hidden="false" customHeight="true" outlineLevel="0" collapsed="false">
      <c r="A15" s="23" t="n">
        <v>3107</v>
      </c>
      <c r="B15" s="486" t="s">
        <v>540</v>
      </c>
      <c r="C15" s="44" t="s">
        <v>542</v>
      </c>
      <c r="D15" s="24" t="s">
        <v>8</v>
      </c>
      <c r="E15" s="45" t="n">
        <v>41700</v>
      </c>
      <c r="F15" s="16" t="s">
        <v>34</v>
      </c>
      <c r="G15" s="222" t="n">
        <v>525</v>
      </c>
      <c r="H15" s="487" t="s">
        <v>1346</v>
      </c>
      <c r="I15" s="334" t="n">
        <v>7</v>
      </c>
      <c r="J15" s="488"/>
      <c r="K15" s="335"/>
      <c r="L15" s="333"/>
      <c r="M15" s="334"/>
      <c r="N15" s="487"/>
      <c r="O15" s="489"/>
      <c r="P15" s="345" t="n">
        <f aca="false">SUM(I15:O15)</f>
        <v>7</v>
      </c>
    </row>
    <row r="16" customFormat="false" ht="15" hidden="false" customHeight="true" outlineLevel="0" collapsed="false">
      <c r="A16" s="23" t="n">
        <v>3108</v>
      </c>
      <c r="B16" s="486" t="s">
        <v>573</v>
      </c>
      <c r="C16" s="44" t="s">
        <v>574</v>
      </c>
      <c r="D16" s="24" t="s">
        <v>8</v>
      </c>
      <c r="E16" s="45" t="n">
        <v>41507</v>
      </c>
      <c r="F16" s="16" t="s">
        <v>34</v>
      </c>
      <c r="G16" s="222" t="n">
        <v>500</v>
      </c>
      <c r="H16" s="487"/>
      <c r="I16" s="334"/>
      <c r="J16" s="487"/>
      <c r="K16" s="334"/>
      <c r="L16" s="333"/>
      <c r="M16" s="334"/>
      <c r="N16" s="487"/>
      <c r="O16" s="489"/>
      <c r="P16" s="345" t="n">
        <f aca="false">SUM(I16:O16)</f>
        <v>0</v>
      </c>
    </row>
    <row r="17" customFormat="false" ht="15" hidden="false" customHeight="true" outlineLevel="0" collapsed="false">
      <c r="A17" s="23" t="n">
        <v>3109</v>
      </c>
      <c r="B17" s="486" t="s">
        <v>585</v>
      </c>
      <c r="C17" s="44" t="s">
        <v>587</v>
      </c>
      <c r="D17" s="24" t="s">
        <v>8</v>
      </c>
      <c r="E17" s="45" t="n">
        <v>41412</v>
      </c>
      <c r="F17" s="16" t="s">
        <v>34</v>
      </c>
      <c r="G17" s="222" t="n">
        <v>1456</v>
      </c>
      <c r="H17" s="487"/>
      <c r="I17" s="334"/>
      <c r="J17" s="487"/>
      <c r="K17" s="334"/>
      <c r="L17" s="333"/>
      <c r="M17" s="334"/>
      <c r="N17" s="487"/>
      <c r="O17" s="489"/>
      <c r="P17" s="345" t="n">
        <f aca="false">SUM(I17:O17)</f>
        <v>0</v>
      </c>
    </row>
    <row r="18" customFormat="false" ht="15" hidden="false" customHeight="true" outlineLevel="0" collapsed="false">
      <c r="A18" s="23" t="n">
        <v>3110</v>
      </c>
      <c r="B18" s="486" t="s">
        <v>632</v>
      </c>
      <c r="C18" s="44" t="s">
        <v>634</v>
      </c>
      <c r="D18" s="24" t="s">
        <v>8</v>
      </c>
      <c r="E18" s="45" t="n">
        <v>41798</v>
      </c>
      <c r="F18" s="16" t="s">
        <v>34</v>
      </c>
      <c r="G18" s="222" t="n">
        <v>851</v>
      </c>
      <c r="H18" s="487"/>
      <c r="I18" s="334"/>
      <c r="J18" s="488"/>
      <c r="K18" s="350"/>
      <c r="L18" s="333"/>
      <c r="M18" s="334"/>
      <c r="N18" s="487"/>
      <c r="O18" s="489"/>
      <c r="P18" s="345" t="n">
        <f aca="false">SUM(I18:O18)</f>
        <v>0</v>
      </c>
    </row>
    <row r="19" customFormat="false" ht="15" hidden="false" customHeight="true" outlineLevel="0" collapsed="false">
      <c r="A19" s="23" t="n">
        <v>3111</v>
      </c>
      <c r="B19" s="486" t="s">
        <v>677</v>
      </c>
      <c r="C19" s="44" t="s">
        <v>678</v>
      </c>
      <c r="D19" s="24" t="s">
        <v>8</v>
      </c>
      <c r="E19" s="45" t="n">
        <v>41602</v>
      </c>
      <c r="F19" s="16" t="s">
        <v>34</v>
      </c>
      <c r="G19" s="222" t="n">
        <v>500</v>
      </c>
      <c r="H19" s="487"/>
      <c r="I19" s="334"/>
      <c r="J19" s="488"/>
      <c r="K19" s="350"/>
      <c r="L19" s="333"/>
      <c r="M19" s="334"/>
      <c r="N19" s="487"/>
      <c r="O19" s="489"/>
      <c r="P19" s="345" t="n">
        <f aca="false">SUM(I19:O19)</f>
        <v>0</v>
      </c>
    </row>
    <row r="20" customFormat="false" ht="15" hidden="false" customHeight="true" outlineLevel="0" collapsed="false">
      <c r="A20" s="23" t="n">
        <v>3112</v>
      </c>
      <c r="B20" s="486" t="s">
        <v>679</v>
      </c>
      <c r="C20" s="44" t="s">
        <v>680</v>
      </c>
      <c r="D20" s="24" t="s">
        <v>8</v>
      </c>
      <c r="E20" s="45" t="n">
        <v>41454</v>
      </c>
      <c r="F20" s="16" t="s">
        <v>34</v>
      </c>
      <c r="G20" s="222" t="n">
        <v>500</v>
      </c>
      <c r="H20" s="487"/>
      <c r="I20" s="334"/>
      <c r="J20" s="488"/>
      <c r="K20" s="490"/>
      <c r="L20" s="333"/>
      <c r="M20" s="334"/>
      <c r="N20" s="487"/>
      <c r="O20" s="489"/>
      <c r="P20" s="345" t="n">
        <f aca="false">SUM(I20:O20)</f>
        <v>0</v>
      </c>
    </row>
    <row r="21" customFormat="false" ht="15" hidden="false" customHeight="true" outlineLevel="0" collapsed="false">
      <c r="A21" s="23" t="n">
        <v>3113</v>
      </c>
      <c r="B21" s="486" t="s">
        <v>737</v>
      </c>
      <c r="C21" s="44" t="s">
        <v>738</v>
      </c>
      <c r="D21" s="24" t="s">
        <v>8</v>
      </c>
      <c r="E21" s="45" t="n">
        <v>41476</v>
      </c>
      <c r="F21" s="16" t="s">
        <v>34</v>
      </c>
      <c r="G21" s="222" t="n">
        <v>500</v>
      </c>
      <c r="H21" s="487"/>
      <c r="I21" s="334"/>
      <c r="J21" s="488"/>
      <c r="K21" s="335"/>
      <c r="L21" s="333"/>
      <c r="M21" s="334"/>
      <c r="N21" s="487"/>
      <c r="O21" s="489"/>
      <c r="P21" s="345" t="n">
        <f aca="false">SUM(I21:O21)</f>
        <v>0</v>
      </c>
    </row>
    <row r="22" customFormat="false" ht="15" hidden="false" customHeight="true" outlineLevel="0" collapsed="false">
      <c r="A22" s="23" t="n">
        <v>3114</v>
      </c>
      <c r="B22" s="486" t="s">
        <v>816</v>
      </c>
      <c r="C22" s="44" t="s">
        <v>817</v>
      </c>
      <c r="D22" s="24" t="s">
        <v>8</v>
      </c>
      <c r="E22" s="45" t="n">
        <v>41730</v>
      </c>
      <c r="F22" s="16" t="s">
        <v>34</v>
      </c>
      <c r="G22" s="222" t="n">
        <v>576</v>
      </c>
      <c r="H22" s="487"/>
      <c r="I22" s="334"/>
      <c r="J22" s="488"/>
      <c r="K22" s="335"/>
      <c r="L22" s="333"/>
      <c r="M22" s="334"/>
      <c r="N22" s="487"/>
      <c r="O22" s="489"/>
      <c r="P22" s="345" t="n">
        <f aca="false">SUM(I22:O22)</f>
        <v>0</v>
      </c>
    </row>
    <row r="23" customFormat="false" ht="15" hidden="false" customHeight="true" outlineLevel="0" collapsed="false">
      <c r="A23" s="23" t="n">
        <v>3115</v>
      </c>
      <c r="B23" s="486" t="s">
        <v>832</v>
      </c>
      <c r="C23" s="44" t="s">
        <v>406</v>
      </c>
      <c r="D23" s="24" t="s">
        <v>8</v>
      </c>
      <c r="E23" s="45" t="n">
        <v>41800</v>
      </c>
      <c r="F23" s="16" t="s">
        <v>34</v>
      </c>
      <c r="G23" s="222" t="n">
        <v>815</v>
      </c>
      <c r="H23" s="487"/>
      <c r="I23" s="334"/>
      <c r="J23" s="488"/>
      <c r="K23" s="335"/>
      <c r="L23" s="333"/>
      <c r="M23" s="334"/>
      <c r="N23" s="487"/>
      <c r="O23" s="489"/>
      <c r="P23" s="345" t="n">
        <f aca="false">SUM(I23:O23)</f>
        <v>0</v>
      </c>
    </row>
    <row r="24" customFormat="false" ht="15" hidden="false" customHeight="true" outlineLevel="0" collapsed="false">
      <c r="A24" s="23" t="n">
        <v>3116</v>
      </c>
      <c r="B24" s="486" t="s">
        <v>833</v>
      </c>
      <c r="C24" s="44" t="s">
        <v>834</v>
      </c>
      <c r="D24" s="24" t="s">
        <v>8</v>
      </c>
      <c r="E24" s="45" t="n">
        <v>41963</v>
      </c>
      <c r="F24" s="16" t="s">
        <v>34</v>
      </c>
      <c r="G24" s="222" t="n">
        <v>500</v>
      </c>
      <c r="H24" s="487"/>
      <c r="I24" s="334"/>
      <c r="J24" s="488"/>
      <c r="K24" s="335"/>
      <c r="L24" s="333"/>
      <c r="M24" s="334"/>
      <c r="N24" s="487"/>
      <c r="O24" s="489"/>
      <c r="P24" s="345" t="n">
        <f aca="false">SUM(I24:O24)</f>
        <v>0</v>
      </c>
    </row>
    <row r="25" customFormat="false" ht="15" hidden="false" customHeight="true" outlineLevel="0" collapsed="false">
      <c r="A25" s="23" t="n">
        <v>3117</v>
      </c>
      <c r="B25" s="486" t="s">
        <v>837</v>
      </c>
      <c r="C25" s="44" t="s">
        <v>838</v>
      </c>
      <c r="D25" s="24" t="s">
        <v>8</v>
      </c>
      <c r="E25" s="45" t="n">
        <v>41983</v>
      </c>
      <c r="F25" s="16" t="s">
        <v>34</v>
      </c>
      <c r="G25" s="222" t="n">
        <v>500</v>
      </c>
      <c r="H25" s="487"/>
      <c r="I25" s="334"/>
      <c r="J25" s="488"/>
      <c r="K25" s="335"/>
      <c r="L25" s="333"/>
      <c r="M25" s="334"/>
      <c r="N25" s="487"/>
      <c r="O25" s="489"/>
      <c r="P25" s="345" t="n">
        <f aca="false">SUM(I25:O25)</f>
        <v>0</v>
      </c>
    </row>
    <row r="26" customFormat="false" ht="15" hidden="false" customHeight="true" outlineLevel="0" collapsed="false">
      <c r="A26" s="23" t="n">
        <v>3118</v>
      </c>
      <c r="B26" s="486" t="s">
        <v>864</v>
      </c>
      <c r="C26" s="44" t="s">
        <v>67</v>
      </c>
      <c r="D26" s="24" t="s">
        <v>8</v>
      </c>
      <c r="E26" s="45" t="n">
        <v>41435</v>
      </c>
      <c r="F26" s="16" t="s">
        <v>34</v>
      </c>
      <c r="G26" s="222" t="n">
        <v>500</v>
      </c>
      <c r="H26" s="487"/>
      <c r="I26" s="334"/>
      <c r="J26" s="488"/>
      <c r="K26" s="335"/>
      <c r="L26" s="333"/>
      <c r="M26" s="334"/>
      <c r="N26" s="487"/>
      <c r="O26" s="489"/>
      <c r="P26" s="345" t="n">
        <f aca="false">SUM(I26:O26)</f>
        <v>0</v>
      </c>
    </row>
    <row r="27" customFormat="false" ht="15" hidden="false" customHeight="true" outlineLevel="0" collapsed="false">
      <c r="A27" s="23" t="n">
        <v>3119</v>
      </c>
      <c r="B27" s="486" t="s">
        <v>913</v>
      </c>
      <c r="C27" s="44" t="s">
        <v>915</v>
      </c>
      <c r="D27" s="24" t="s">
        <v>26</v>
      </c>
      <c r="E27" s="45" t="n">
        <v>41529</v>
      </c>
      <c r="F27" s="16" t="s">
        <v>34</v>
      </c>
      <c r="G27" s="222" t="n">
        <v>500</v>
      </c>
      <c r="H27" s="425" t="s">
        <v>1346</v>
      </c>
      <c r="I27" s="334" t="n">
        <v>1</v>
      </c>
      <c r="J27" s="487"/>
      <c r="K27" s="334"/>
      <c r="L27" s="333"/>
      <c r="M27" s="334"/>
      <c r="N27" s="487"/>
      <c r="O27" s="489"/>
      <c r="P27" s="345" t="n">
        <f aca="false">SUM(I27:O27)</f>
        <v>1</v>
      </c>
    </row>
    <row r="28" customFormat="false" ht="15" hidden="false" customHeight="true" outlineLevel="0" collapsed="false">
      <c r="A28" s="23" t="n">
        <v>3120</v>
      </c>
      <c r="B28" s="486" t="s">
        <v>929</v>
      </c>
      <c r="C28" s="44" t="s">
        <v>930</v>
      </c>
      <c r="D28" s="24" t="s">
        <v>8</v>
      </c>
      <c r="E28" s="45" t="n">
        <v>41431</v>
      </c>
      <c r="F28" s="16" t="s">
        <v>34</v>
      </c>
      <c r="G28" s="222" t="n">
        <v>500</v>
      </c>
      <c r="H28" s="487"/>
      <c r="I28" s="334"/>
      <c r="J28" s="488"/>
      <c r="K28" s="335"/>
      <c r="L28" s="333"/>
      <c r="M28" s="334"/>
      <c r="N28" s="487"/>
      <c r="O28" s="489"/>
      <c r="P28" s="345" t="n">
        <f aca="false">SUM(I28:O28)</f>
        <v>0</v>
      </c>
    </row>
    <row r="29" customFormat="false" ht="15" hidden="false" customHeight="true" outlineLevel="0" collapsed="false">
      <c r="A29" s="23" t="n">
        <v>3121</v>
      </c>
      <c r="B29" s="486" t="s">
        <v>1028</v>
      </c>
      <c r="C29" s="44" t="s">
        <v>634</v>
      </c>
      <c r="D29" s="24" t="s">
        <v>8</v>
      </c>
      <c r="E29" s="45" t="n">
        <v>41745</v>
      </c>
      <c r="F29" s="16" t="s">
        <v>34</v>
      </c>
      <c r="G29" s="222" t="n">
        <v>715</v>
      </c>
      <c r="H29" s="487" t="s">
        <v>1346</v>
      </c>
      <c r="I29" s="334" t="n">
        <v>11</v>
      </c>
      <c r="J29" s="487"/>
      <c r="K29" s="334"/>
      <c r="L29" s="333"/>
      <c r="M29" s="334"/>
      <c r="N29" s="487"/>
      <c r="O29" s="489"/>
      <c r="P29" s="345" t="n">
        <f aca="false">SUM(I29:O29)</f>
        <v>11</v>
      </c>
    </row>
    <row r="30" customFormat="false" ht="15" hidden="false" customHeight="true" outlineLevel="0" collapsed="false">
      <c r="A30" s="23" t="n">
        <v>3122</v>
      </c>
      <c r="B30" s="486" t="s">
        <v>1157</v>
      </c>
      <c r="C30" s="44" t="s">
        <v>199</v>
      </c>
      <c r="D30" s="24" t="s">
        <v>8</v>
      </c>
      <c r="E30" s="45" t="n">
        <v>41375</v>
      </c>
      <c r="F30" s="16" t="s">
        <v>34</v>
      </c>
      <c r="G30" s="222" t="n">
        <v>512</v>
      </c>
      <c r="H30" s="487"/>
      <c r="I30" s="334"/>
      <c r="J30" s="487"/>
      <c r="K30" s="334"/>
      <c r="L30" s="333"/>
      <c r="M30" s="334"/>
      <c r="N30" s="487"/>
      <c r="O30" s="489"/>
      <c r="P30" s="345" t="n">
        <f aca="false">SUM(I30:O30)</f>
        <v>0</v>
      </c>
    </row>
    <row r="31" customFormat="false" ht="15" hidden="false" customHeight="true" outlineLevel="0" collapsed="false">
      <c r="A31" s="23" t="n">
        <v>3123</v>
      </c>
      <c r="B31" s="486" t="s">
        <v>1182</v>
      </c>
      <c r="C31" s="44" t="s">
        <v>1183</v>
      </c>
      <c r="D31" s="24" t="s">
        <v>8</v>
      </c>
      <c r="E31" s="45" t="n">
        <v>41509</v>
      </c>
      <c r="F31" s="16" t="s">
        <v>34</v>
      </c>
      <c r="G31" s="222" t="n">
        <v>500</v>
      </c>
      <c r="H31" s="487"/>
      <c r="I31" s="334"/>
      <c r="J31" s="488"/>
      <c r="K31" s="335"/>
      <c r="L31" s="333"/>
      <c r="M31" s="334"/>
      <c r="N31" s="487"/>
      <c r="O31" s="489"/>
      <c r="P31" s="345" t="n">
        <f aca="false">SUM(I31:O31)</f>
        <v>0</v>
      </c>
    </row>
    <row r="32" customFormat="false" ht="15" hidden="false" customHeight="true" outlineLevel="0" collapsed="false">
      <c r="A32" s="23" t="n">
        <v>3124</v>
      </c>
      <c r="B32" s="486" t="s">
        <v>1205</v>
      </c>
      <c r="C32" s="44" t="s">
        <v>1206</v>
      </c>
      <c r="D32" s="24" t="s">
        <v>26</v>
      </c>
      <c r="E32" s="45" t="n">
        <v>41809</v>
      </c>
      <c r="F32" s="16" t="s">
        <v>34</v>
      </c>
      <c r="G32" s="222" t="n">
        <v>500</v>
      </c>
      <c r="H32" s="487"/>
      <c r="I32" s="334"/>
      <c r="J32" s="487"/>
      <c r="K32" s="334"/>
      <c r="L32" s="333"/>
      <c r="M32" s="334"/>
      <c r="N32" s="487"/>
      <c r="O32" s="489"/>
      <c r="P32" s="345" t="n">
        <f aca="false">SUM(I32:O32)</f>
        <v>0</v>
      </c>
    </row>
    <row r="33" customFormat="false" ht="14.25" hidden="false" customHeight="true" outlineLevel="0" collapsed="false">
      <c r="A33" s="23" t="n">
        <v>3125</v>
      </c>
      <c r="B33" s="486" t="s">
        <v>1257</v>
      </c>
      <c r="C33" s="44" t="s">
        <v>250</v>
      </c>
      <c r="D33" s="24" t="s">
        <v>8</v>
      </c>
      <c r="E33" s="45" t="n">
        <v>41967</v>
      </c>
      <c r="F33" s="16" t="s">
        <v>34</v>
      </c>
      <c r="G33" s="222" t="n">
        <v>617</v>
      </c>
      <c r="H33" s="487" t="s">
        <v>1346</v>
      </c>
      <c r="I33" s="334" t="n">
        <v>9</v>
      </c>
      <c r="J33" s="488"/>
      <c r="K33" s="335"/>
      <c r="L33" s="333"/>
      <c r="M33" s="334"/>
      <c r="N33" s="487"/>
      <c r="O33" s="489"/>
      <c r="P33" s="345" t="n">
        <f aca="false">SUM(I33:O33)</f>
        <v>9</v>
      </c>
    </row>
    <row r="34" customFormat="false" ht="14.25" hidden="false" customHeight="true" outlineLevel="0" collapsed="false">
      <c r="A34" s="23" t="n">
        <v>3126</v>
      </c>
      <c r="B34" s="486" t="s">
        <v>1266</v>
      </c>
      <c r="C34" s="44" t="s">
        <v>1267</v>
      </c>
      <c r="D34" s="24" t="s">
        <v>8</v>
      </c>
      <c r="E34" s="45" t="n">
        <v>41975</v>
      </c>
      <c r="F34" s="16" t="s">
        <v>34</v>
      </c>
      <c r="G34" s="222" t="n">
        <v>636</v>
      </c>
      <c r="H34" s="487" t="s">
        <v>1346</v>
      </c>
      <c r="I34" s="334" t="n">
        <v>9</v>
      </c>
      <c r="J34" s="488"/>
      <c r="K34" s="335"/>
      <c r="L34" s="333"/>
      <c r="M34" s="334"/>
      <c r="N34" s="487"/>
      <c r="O34" s="489"/>
      <c r="P34" s="345" t="n">
        <f aca="false">SUM(I34:O34)</f>
        <v>9</v>
      </c>
    </row>
    <row r="35" customFormat="false" ht="14.25" hidden="false" customHeight="true" outlineLevel="0" collapsed="false">
      <c r="A35" s="23" t="n">
        <v>3127</v>
      </c>
      <c r="B35" s="486" t="s">
        <v>1273</v>
      </c>
      <c r="C35" s="44" t="s">
        <v>112</v>
      </c>
      <c r="D35" s="24" t="s">
        <v>8</v>
      </c>
      <c r="E35" s="45" t="n">
        <v>41696</v>
      </c>
      <c r="F35" s="16" t="s">
        <v>34</v>
      </c>
      <c r="G35" s="222" t="n">
        <v>500</v>
      </c>
      <c r="H35" s="487" t="s">
        <v>1346</v>
      </c>
      <c r="I35" s="334" t="n">
        <v>1</v>
      </c>
      <c r="J35" s="487"/>
      <c r="K35" s="334"/>
      <c r="L35" s="333"/>
      <c r="M35" s="334"/>
      <c r="N35" s="487"/>
      <c r="O35" s="489"/>
      <c r="P35" s="345" t="n">
        <f aca="false">SUM(I35:O35)</f>
        <v>1</v>
      </c>
    </row>
    <row r="36" customFormat="false" ht="15" hidden="false" customHeight="true" outlineLevel="0" collapsed="false">
      <c r="A36" s="23" t="n">
        <v>3128</v>
      </c>
      <c r="B36" s="486" t="s">
        <v>1309</v>
      </c>
      <c r="C36" s="44" t="s">
        <v>1310</v>
      </c>
      <c r="D36" s="24" t="s">
        <v>8</v>
      </c>
      <c r="E36" s="45" t="n">
        <v>41678</v>
      </c>
      <c r="F36" s="16" t="s">
        <v>34</v>
      </c>
      <c r="G36" s="222" t="n">
        <v>500</v>
      </c>
      <c r="H36" s="487"/>
      <c r="I36" s="334"/>
      <c r="J36" s="487"/>
      <c r="K36" s="334"/>
      <c r="L36" s="333"/>
      <c r="M36" s="334"/>
      <c r="N36" s="487"/>
      <c r="O36" s="489"/>
      <c r="P36" s="345" t="n">
        <f aca="false">SUM(I36:O36)</f>
        <v>0</v>
      </c>
    </row>
    <row r="37" customFormat="false" ht="15" hidden="false" customHeight="true" outlineLevel="0" collapsed="false">
      <c r="A37" s="23" t="n">
        <v>3130</v>
      </c>
      <c r="B37" s="39" t="s">
        <v>658</v>
      </c>
      <c r="C37" s="39" t="s">
        <v>659</v>
      </c>
      <c r="D37" s="24" t="s">
        <v>8</v>
      </c>
      <c r="E37" s="33" t="n">
        <v>41640</v>
      </c>
      <c r="F37" s="105" t="s">
        <v>119</v>
      </c>
      <c r="G37" s="225" t="n">
        <v>500</v>
      </c>
      <c r="H37" s="487"/>
      <c r="I37" s="334"/>
      <c r="J37" s="487"/>
      <c r="K37" s="334"/>
      <c r="L37" s="333"/>
      <c r="M37" s="334"/>
      <c r="N37" s="487"/>
      <c r="O37" s="489"/>
      <c r="P37" s="345" t="n">
        <f aca="false">SUM(I37:O37)</f>
        <v>0</v>
      </c>
    </row>
    <row r="38" customFormat="false" ht="15" hidden="false" customHeight="true" outlineLevel="0" collapsed="false">
      <c r="A38" s="23" t="n">
        <v>3131</v>
      </c>
      <c r="B38" s="491" t="s">
        <v>952</v>
      </c>
      <c r="C38" s="491" t="s">
        <v>1356</v>
      </c>
      <c r="D38" s="105" t="s">
        <v>8</v>
      </c>
      <c r="E38" s="33" t="n">
        <v>41640</v>
      </c>
      <c r="F38" s="105" t="s">
        <v>119</v>
      </c>
      <c r="G38" s="225" t="n">
        <v>500</v>
      </c>
      <c r="H38" s="487"/>
      <c r="I38" s="334"/>
      <c r="J38" s="488"/>
      <c r="K38" s="335"/>
      <c r="L38" s="333"/>
      <c r="M38" s="334"/>
      <c r="N38" s="487"/>
      <c r="O38" s="489"/>
      <c r="P38" s="345" t="n">
        <f aca="false">SUM(I38:O38)</f>
        <v>0</v>
      </c>
    </row>
    <row r="39" customFormat="false" ht="15" hidden="false" customHeight="true" outlineLevel="0" collapsed="false">
      <c r="A39" s="44" t="n">
        <v>3037</v>
      </c>
      <c r="B39" s="51" t="s">
        <v>329</v>
      </c>
      <c r="C39" s="51" t="s">
        <v>330</v>
      </c>
      <c r="D39" s="36" t="s">
        <v>26</v>
      </c>
      <c r="E39" s="37" t="n">
        <v>41718</v>
      </c>
      <c r="F39" s="16" t="s">
        <v>143</v>
      </c>
      <c r="G39" s="24" t="s">
        <v>70</v>
      </c>
      <c r="H39" s="487" t="s">
        <v>1346</v>
      </c>
      <c r="I39" s="334" t="n">
        <v>7</v>
      </c>
      <c r="J39" s="487"/>
      <c r="K39" s="334"/>
      <c r="L39" s="333"/>
      <c r="M39" s="334"/>
      <c r="N39" s="487"/>
      <c r="O39" s="489"/>
      <c r="P39" s="345" t="n">
        <f aca="false">SUM(I39:O39)</f>
        <v>7</v>
      </c>
    </row>
    <row r="40" customFormat="false" ht="14.25" hidden="false" customHeight="true" outlineLevel="0" collapsed="false">
      <c r="A40" s="44" t="n">
        <v>3077</v>
      </c>
      <c r="B40" s="51" t="s">
        <v>635</v>
      </c>
      <c r="C40" s="51" t="s">
        <v>78</v>
      </c>
      <c r="D40" s="36" t="s">
        <v>8</v>
      </c>
      <c r="E40" s="37" t="n">
        <v>41292</v>
      </c>
      <c r="F40" s="16" t="s">
        <v>143</v>
      </c>
      <c r="G40" s="24" t="n">
        <v>500</v>
      </c>
      <c r="H40" s="487"/>
      <c r="I40" s="334"/>
      <c r="J40" s="488"/>
      <c r="K40" s="335"/>
      <c r="L40" s="333"/>
      <c r="M40" s="334"/>
      <c r="N40" s="487"/>
      <c r="O40" s="489"/>
      <c r="P40" s="345" t="n">
        <f aca="false">SUM(I40:O40)</f>
        <v>0</v>
      </c>
    </row>
    <row r="41" customFormat="false" ht="14.25" hidden="false" customHeight="true" outlineLevel="0" collapsed="false">
      <c r="A41" s="44" t="n">
        <v>3053</v>
      </c>
      <c r="B41" s="51" t="s">
        <v>1239</v>
      </c>
      <c r="C41" s="51" t="s">
        <v>31</v>
      </c>
      <c r="D41" s="36" t="s">
        <v>8</v>
      </c>
      <c r="E41" s="37" t="n">
        <v>41540</v>
      </c>
      <c r="F41" s="16" t="s">
        <v>143</v>
      </c>
      <c r="G41" s="24" t="s">
        <v>70</v>
      </c>
      <c r="H41" s="487"/>
      <c r="I41" s="334"/>
      <c r="J41" s="488"/>
      <c r="K41" s="335"/>
      <c r="L41" s="333"/>
      <c r="M41" s="334"/>
      <c r="N41" s="487"/>
      <c r="O41" s="489"/>
      <c r="P41" s="345" t="n">
        <f aca="false">SUM(I41:O41)</f>
        <v>0</v>
      </c>
    </row>
    <row r="42" customFormat="false" ht="14.25" hidden="false" customHeight="true" outlineLevel="0" collapsed="false">
      <c r="A42" s="44" t="n">
        <v>3041</v>
      </c>
      <c r="B42" s="34" t="s">
        <v>24</v>
      </c>
      <c r="C42" s="35" t="s">
        <v>25</v>
      </c>
      <c r="D42" s="36" t="s">
        <v>26</v>
      </c>
      <c r="E42" s="37" t="n">
        <v>41694</v>
      </c>
      <c r="F42" s="16" t="s">
        <v>12</v>
      </c>
      <c r="G42" s="16" t="n">
        <v>500</v>
      </c>
      <c r="H42" s="487" t="s">
        <v>1346</v>
      </c>
      <c r="I42" s="334" t="n">
        <v>1</v>
      </c>
      <c r="J42" s="488"/>
      <c r="K42" s="335"/>
      <c r="L42" s="333"/>
      <c r="M42" s="334"/>
      <c r="N42" s="487"/>
      <c r="O42" s="489"/>
      <c r="P42" s="345" t="n">
        <f aca="false">SUM(I42:O42)</f>
        <v>1</v>
      </c>
    </row>
    <row r="43" customFormat="false" ht="14.25" hidden="false" customHeight="true" outlineLevel="0" collapsed="false">
      <c r="A43" s="44" t="n">
        <v>3022</v>
      </c>
      <c r="B43" s="35" t="s">
        <v>206</v>
      </c>
      <c r="C43" s="34" t="s">
        <v>207</v>
      </c>
      <c r="D43" s="36" t="s">
        <v>8</v>
      </c>
      <c r="E43" s="37" t="n">
        <v>41834</v>
      </c>
      <c r="F43" s="16" t="s">
        <v>12</v>
      </c>
      <c r="G43" s="16" t="n">
        <v>500</v>
      </c>
      <c r="H43" s="487" t="s">
        <v>1346</v>
      </c>
      <c r="I43" s="334" t="n">
        <v>7</v>
      </c>
      <c r="J43" s="487"/>
      <c r="K43" s="334"/>
      <c r="L43" s="333"/>
      <c r="M43" s="334"/>
      <c r="N43" s="487"/>
      <c r="O43" s="489"/>
      <c r="P43" s="345" t="n">
        <f aca="false">SUM(I43:O43)</f>
        <v>7</v>
      </c>
    </row>
    <row r="44" customFormat="false" ht="15" hidden="false" customHeight="true" outlineLevel="0" collapsed="false">
      <c r="A44" s="23" t="n">
        <v>3129</v>
      </c>
      <c r="B44" s="39" t="s">
        <v>240</v>
      </c>
      <c r="C44" s="39" t="s">
        <v>241</v>
      </c>
      <c r="D44" s="24" t="s">
        <v>8</v>
      </c>
      <c r="E44" s="32" t="n">
        <v>41910</v>
      </c>
      <c r="F44" s="105" t="s">
        <v>12</v>
      </c>
      <c r="G44" s="225" t="n">
        <v>532</v>
      </c>
      <c r="H44" s="488" t="s">
        <v>1346</v>
      </c>
      <c r="I44" s="335" t="n">
        <v>8</v>
      </c>
      <c r="J44" s="488"/>
      <c r="K44" s="335"/>
      <c r="L44" s="355"/>
      <c r="M44" s="335"/>
      <c r="N44" s="488"/>
      <c r="O44" s="492"/>
      <c r="P44" s="354" t="n">
        <f aca="false">SUM(I44:O44)</f>
        <v>8</v>
      </c>
    </row>
    <row r="45" customFormat="false" ht="15" hidden="false" customHeight="true" outlineLevel="0" collapsed="false">
      <c r="A45" s="44" t="n">
        <v>3013</v>
      </c>
      <c r="B45" s="35" t="s">
        <v>240</v>
      </c>
      <c r="C45" s="34" t="s">
        <v>239</v>
      </c>
      <c r="D45" s="36" t="s">
        <v>8</v>
      </c>
      <c r="E45" s="37" t="n">
        <v>41910</v>
      </c>
      <c r="F45" s="16" t="s">
        <v>12</v>
      </c>
      <c r="G45" s="16" t="n">
        <v>500</v>
      </c>
      <c r="H45" s="487"/>
      <c r="I45" s="334"/>
      <c r="J45" s="488"/>
      <c r="K45" s="335"/>
      <c r="L45" s="333"/>
      <c r="M45" s="334"/>
      <c r="N45" s="487"/>
      <c r="O45" s="489"/>
      <c r="P45" s="345" t="n">
        <f aca="false">SUM(I45:O45)</f>
        <v>0</v>
      </c>
    </row>
    <row r="46" customFormat="false" ht="14.25" hidden="false" customHeight="true" outlineLevel="0" collapsed="false">
      <c r="A46" s="44" t="n">
        <v>3058</v>
      </c>
      <c r="B46" s="35" t="s">
        <v>615</v>
      </c>
      <c r="C46" s="34" t="s">
        <v>447</v>
      </c>
      <c r="D46" s="36" t="s">
        <v>8</v>
      </c>
      <c r="E46" s="37" t="n">
        <v>41462</v>
      </c>
      <c r="F46" s="16" t="s">
        <v>12</v>
      </c>
      <c r="G46" s="16" t="n">
        <v>500</v>
      </c>
      <c r="H46" s="487"/>
      <c r="I46" s="334"/>
      <c r="J46" s="487"/>
      <c r="K46" s="334"/>
      <c r="L46" s="333"/>
      <c r="M46" s="334"/>
      <c r="N46" s="487"/>
      <c r="O46" s="489"/>
      <c r="P46" s="345" t="n">
        <f aca="false">SUM(I46:O46)</f>
        <v>0</v>
      </c>
    </row>
    <row r="47" customFormat="false" ht="15" hidden="false" customHeight="true" outlineLevel="0" collapsed="false">
      <c r="A47" s="44" t="n">
        <v>3003</v>
      </c>
      <c r="B47" s="35" t="s">
        <v>619</v>
      </c>
      <c r="C47" s="34" t="s">
        <v>620</v>
      </c>
      <c r="D47" s="36" t="s">
        <v>26</v>
      </c>
      <c r="E47" s="37" t="n">
        <v>41984</v>
      </c>
      <c r="F47" s="16" t="s">
        <v>12</v>
      </c>
      <c r="G47" s="16" t="n">
        <v>500</v>
      </c>
      <c r="H47" s="487"/>
      <c r="I47" s="334"/>
      <c r="J47" s="487"/>
      <c r="K47" s="334"/>
      <c r="L47" s="333"/>
      <c r="M47" s="334"/>
      <c r="N47" s="487"/>
      <c r="O47" s="489"/>
      <c r="P47" s="345" t="n">
        <f aca="false">SUM(I47:O47)</f>
        <v>0</v>
      </c>
    </row>
    <row r="48" customFormat="false" ht="15" hidden="false" customHeight="true" outlineLevel="0" collapsed="false">
      <c r="A48" s="44" t="n">
        <v>3068</v>
      </c>
      <c r="B48" s="35" t="s">
        <v>701</v>
      </c>
      <c r="C48" s="34" t="s">
        <v>702</v>
      </c>
      <c r="D48" s="36" t="s">
        <v>8</v>
      </c>
      <c r="E48" s="37" t="n">
        <v>41376</v>
      </c>
      <c r="F48" s="16" t="s">
        <v>12</v>
      </c>
      <c r="G48" s="16" t="n">
        <v>500</v>
      </c>
      <c r="H48" s="487" t="s">
        <v>1346</v>
      </c>
      <c r="I48" s="334" t="n">
        <v>8</v>
      </c>
      <c r="J48" s="488"/>
      <c r="K48" s="335"/>
      <c r="L48" s="333"/>
      <c r="M48" s="334"/>
      <c r="N48" s="487"/>
      <c r="O48" s="489"/>
      <c r="P48" s="345" t="n">
        <f aca="false">SUM(I48:O48)</f>
        <v>8</v>
      </c>
    </row>
    <row r="49" customFormat="false" ht="14.25" hidden="false" customHeight="true" outlineLevel="0" collapsed="false">
      <c r="A49" s="44" t="n">
        <v>3025</v>
      </c>
      <c r="B49" s="35" t="s">
        <v>795</v>
      </c>
      <c r="C49" s="34" t="s">
        <v>796</v>
      </c>
      <c r="D49" s="36" t="s">
        <v>8</v>
      </c>
      <c r="E49" s="37" t="n">
        <v>41802</v>
      </c>
      <c r="F49" s="16" t="s">
        <v>12</v>
      </c>
      <c r="G49" s="16" t="n">
        <v>500</v>
      </c>
      <c r="H49" s="487"/>
      <c r="I49" s="334"/>
      <c r="J49" s="488"/>
      <c r="K49" s="335"/>
      <c r="L49" s="333"/>
      <c r="M49" s="334"/>
      <c r="N49" s="487"/>
      <c r="O49" s="489"/>
      <c r="P49" s="345" t="n">
        <f aca="false">SUM(I49:O49)</f>
        <v>0</v>
      </c>
    </row>
    <row r="50" customFormat="false" ht="15" hidden="false" customHeight="true" outlineLevel="0" collapsed="false">
      <c r="A50" s="44" t="n">
        <v>3023</v>
      </c>
      <c r="B50" s="229" t="s">
        <v>866</v>
      </c>
      <c r="C50" s="230" t="s">
        <v>867</v>
      </c>
      <c r="D50" s="36" t="s">
        <v>8</v>
      </c>
      <c r="E50" s="37" t="n">
        <v>41828</v>
      </c>
      <c r="F50" s="16" t="s">
        <v>12</v>
      </c>
      <c r="G50" s="16" t="n">
        <v>500</v>
      </c>
      <c r="H50" s="487" t="s">
        <v>1346</v>
      </c>
      <c r="I50" s="334" t="n">
        <v>3</v>
      </c>
      <c r="J50" s="488"/>
      <c r="K50" s="335"/>
      <c r="L50" s="333"/>
      <c r="M50" s="334"/>
      <c r="N50" s="487"/>
      <c r="O50" s="489"/>
      <c r="P50" s="345" t="n">
        <f aca="false">SUM(I50:O50)</f>
        <v>3</v>
      </c>
    </row>
    <row r="51" customFormat="false" ht="14.25" hidden="false" customHeight="true" outlineLevel="0" collapsed="false">
      <c r="A51" s="44" t="n">
        <v>3064</v>
      </c>
      <c r="B51" s="35" t="s">
        <v>992</v>
      </c>
      <c r="C51" s="34" t="s">
        <v>993</v>
      </c>
      <c r="D51" s="36" t="s">
        <v>8</v>
      </c>
      <c r="E51" s="37" t="n">
        <v>41415</v>
      </c>
      <c r="F51" s="16" t="s">
        <v>12</v>
      </c>
      <c r="G51" s="16" t="n">
        <v>500</v>
      </c>
      <c r="H51" s="487"/>
      <c r="I51" s="334"/>
      <c r="J51" s="487"/>
      <c r="K51" s="334"/>
      <c r="L51" s="333"/>
      <c r="M51" s="334"/>
      <c r="N51" s="487"/>
      <c r="O51" s="489"/>
      <c r="P51" s="345" t="n">
        <f aca="false">SUM(I51:O51)</f>
        <v>0</v>
      </c>
    </row>
    <row r="52" customFormat="false" ht="14.25" hidden="false" customHeight="true" outlineLevel="0" collapsed="false">
      <c r="A52" s="44" t="n">
        <v>3060</v>
      </c>
      <c r="B52" s="35" t="s">
        <v>1076</v>
      </c>
      <c r="C52" s="34" t="s">
        <v>114</v>
      </c>
      <c r="D52" s="36" t="s">
        <v>8</v>
      </c>
      <c r="E52" s="37" t="n">
        <v>41435</v>
      </c>
      <c r="F52" s="16" t="s">
        <v>12</v>
      </c>
      <c r="G52" s="16" t="n">
        <v>500</v>
      </c>
      <c r="H52" s="487" t="s">
        <v>1346</v>
      </c>
      <c r="I52" s="334" t="n">
        <v>7</v>
      </c>
      <c r="J52" s="487"/>
      <c r="K52" s="334"/>
      <c r="L52" s="333"/>
      <c r="M52" s="334"/>
      <c r="N52" s="487"/>
      <c r="O52" s="489"/>
      <c r="P52" s="345" t="n">
        <f aca="false">SUM(I52:O52)</f>
        <v>7</v>
      </c>
    </row>
    <row r="53" customFormat="false" ht="15" hidden="false" customHeight="true" outlineLevel="0" collapsed="false">
      <c r="A53" s="44" t="n">
        <v>3001</v>
      </c>
      <c r="B53" s="229" t="s">
        <v>1314</v>
      </c>
      <c r="C53" s="230" t="s">
        <v>1315</v>
      </c>
      <c r="D53" s="36" t="s">
        <v>8</v>
      </c>
      <c r="E53" s="37" t="n">
        <v>41992</v>
      </c>
      <c r="F53" s="16" t="s">
        <v>12</v>
      </c>
      <c r="G53" s="16" t="n">
        <v>500</v>
      </c>
      <c r="H53" s="487"/>
      <c r="I53" s="334"/>
      <c r="J53" s="487"/>
      <c r="K53" s="334"/>
      <c r="L53" s="333"/>
      <c r="M53" s="334"/>
      <c r="N53" s="487"/>
      <c r="O53" s="489"/>
      <c r="P53" s="345" t="n">
        <f aca="false">SUM(I53:O53)</f>
        <v>0</v>
      </c>
    </row>
    <row r="54" customFormat="false" ht="14.25" hidden="false" customHeight="true" outlineLevel="0" collapsed="false">
      <c r="A54" s="44" t="n">
        <v>3050</v>
      </c>
      <c r="B54" s="79" t="s">
        <v>86</v>
      </c>
      <c r="C54" s="79" t="s">
        <v>87</v>
      </c>
      <c r="D54" s="36" t="s">
        <v>8</v>
      </c>
      <c r="E54" s="37" t="n">
        <v>41607</v>
      </c>
      <c r="F54" s="16" t="s">
        <v>52</v>
      </c>
      <c r="G54" s="224" t="s">
        <v>70</v>
      </c>
      <c r="H54" s="487" t="s">
        <v>1346</v>
      </c>
      <c r="I54" s="334" t="n">
        <v>8</v>
      </c>
      <c r="J54" s="487"/>
      <c r="K54" s="334"/>
      <c r="L54" s="333"/>
      <c r="M54" s="334"/>
      <c r="N54" s="487"/>
      <c r="O54" s="489"/>
      <c r="P54" s="345" t="n">
        <f aca="false">SUM(I54:O54)</f>
        <v>8</v>
      </c>
    </row>
    <row r="55" customFormat="false" ht="14.25" hidden="false" customHeight="true" outlineLevel="0" collapsed="false">
      <c r="A55" s="44" t="n">
        <v>3036</v>
      </c>
      <c r="B55" s="79" t="s">
        <v>89</v>
      </c>
      <c r="C55" s="79" t="s">
        <v>90</v>
      </c>
      <c r="D55" s="36" t="s">
        <v>8</v>
      </c>
      <c r="E55" s="37" t="n">
        <v>41736</v>
      </c>
      <c r="F55" s="16" t="s">
        <v>52</v>
      </c>
      <c r="G55" s="224" t="s">
        <v>70</v>
      </c>
      <c r="H55" s="488"/>
      <c r="I55" s="335"/>
      <c r="J55" s="488"/>
      <c r="K55" s="335"/>
      <c r="L55" s="355"/>
      <c r="M55" s="335"/>
      <c r="N55" s="488"/>
      <c r="O55" s="492"/>
      <c r="P55" s="345" t="n">
        <f aca="false">SUM(I55:O55)</f>
        <v>0</v>
      </c>
    </row>
    <row r="56" customFormat="false" ht="15" hidden="false" customHeight="true" outlineLevel="0" collapsed="false">
      <c r="A56" s="44" t="n">
        <v>3076</v>
      </c>
      <c r="B56" s="79" t="s">
        <v>110</v>
      </c>
      <c r="C56" s="79" t="s">
        <v>14</v>
      </c>
      <c r="D56" s="36" t="s">
        <v>8</v>
      </c>
      <c r="E56" s="37" t="n">
        <v>41304</v>
      </c>
      <c r="F56" s="16" t="s">
        <v>52</v>
      </c>
      <c r="G56" s="224" t="s">
        <v>70</v>
      </c>
      <c r="H56" s="487"/>
      <c r="I56" s="334"/>
      <c r="J56" s="487"/>
      <c r="K56" s="334"/>
      <c r="L56" s="333"/>
      <c r="M56" s="334"/>
      <c r="N56" s="487"/>
      <c r="O56" s="489"/>
      <c r="P56" s="345" t="n">
        <f aca="false">SUM(I56:O56)</f>
        <v>0</v>
      </c>
    </row>
    <row r="57" customFormat="false" ht="15" hidden="false" customHeight="true" outlineLevel="0" collapsed="false">
      <c r="A57" s="44" t="n">
        <v>3055</v>
      </c>
      <c r="B57" s="79" t="s">
        <v>194</v>
      </c>
      <c r="C57" s="79" t="s">
        <v>195</v>
      </c>
      <c r="D57" s="36" t="s">
        <v>8</v>
      </c>
      <c r="E57" s="37" t="n">
        <v>41482</v>
      </c>
      <c r="F57" s="16" t="s">
        <v>52</v>
      </c>
      <c r="G57" s="224" t="s">
        <v>70</v>
      </c>
      <c r="H57" s="487" t="s">
        <v>1346</v>
      </c>
      <c r="I57" s="334" t="n">
        <v>7</v>
      </c>
      <c r="J57" s="488"/>
      <c r="K57" s="335"/>
      <c r="L57" s="333"/>
      <c r="M57" s="334"/>
      <c r="N57" s="487"/>
      <c r="O57" s="489"/>
      <c r="P57" s="345" t="n">
        <f aca="false">SUM(I57:O57)</f>
        <v>7</v>
      </c>
    </row>
    <row r="58" customFormat="false" ht="15" hidden="false" customHeight="true" outlineLevel="0" collapsed="false">
      <c r="A58" s="44" t="n">
        <v>3061</v>
      </c>
      <c r="B58" s="79" t="s">
        <v>230</v>
      </c>
      <c r="C58" s="79" t="s">
        <v>75</v>
      </c>
      <c r="D58" s="36" t="s">
        <v>8</v>
      </c>
      <c r="E58" s="37" t="n">
        <v>41424</v>
      </c>
      <c r="F58" s="16" t="s">
        <v>52</v>
      </c>
      <c r="G58" s="224" t="s">
        <v>70</v>
      </c>
      <c r="H58" s="487" t="s">
        <v>1346</v>
      </c>
      <c r="I58" s="334" t="n">
        <v>1</v>
      </c>
      <c r="J58" s="487"/>
      <c r="K58" s="334"/>
      <c r="L58" s="333"/>
      <c r="M58" s="334"/>
      <c r="N58" s="487"/>
      <c r="O58" s="489"/>
      <c r="P58" s="345" t="n">
        <f aca="false">SUM(I58:O58)</f>
        <v>1</v>
      </c>
    </row>
    <row r="59" customFormat="false" ht="15" hidden="false" customHeight="true" outlineLevel="0" collapsed="false">
      <c r="A59" s="44" t="n">
        <v>3052</v>
      </c>
      <c r="B59" s="79" t="s">
        <v>258</v>
      </c>
      <c r="C59" s="79" t="s">
        <v>260</v>
      </c>
      <c r="D59" s="36" t="s">
        <v>8</v>
      </c>
      <c r="E59" s="37" t="n">
        <v>41543</v>
      </c>
      <c r="F59" s="16" t="s">
        <v>52</v>
      </c>
      <c r="G59" s="224" t="s">
        <v>70</v>
      </c>
      <c r="H59" s="487"/>
      <c r="I59" s="334"/>
      <c r="J59" s="487"/>
      <c r="K59" s="334"/>
      <c r="L59" s="333"/>
      <c r="M59" s="334"/>
      <c r="N59" s="487"/>
      <c r="O59" s="489"/>
      <c r="P59" s="345" t="n">
        <f aca="false">SUM(I59:O59)</f>
        <v>0</v>
      </c>
    </row>
    <row r="60" customFormat="false" ht="15" hidden="false" customHeight="true" outlineLevel="0" collapsed="false">
      <c r="A60" s="44" t="n">
        <v>3035</v>
      </c>
      <c r="B60" s="79" t="s">
        <v>270</v>
      </c>
      <c r="C60" s="79" t="s">
        <v>271</v>
      </c>
      <c r="D60" s="36" t="s">
        <v>8</v>
      </c>
      <c r="E60" s="37" t="n">
        <v>41739</v>
      </c>
      <c r="F60" s="16" t="s">
        <v>52</v>
      </c>
      <c r="G60" s="224" t="s">
        <v>70</v>
      </c>
      <c r="H60" s="487"/>
      <c r="I60" s="334"/>
      <c r="J60" s="487"/>
      <c r="K60" s="334"/>
      <c r="L60" s="333"/>
      <c r="M60" s="334"/>
      <c r="N60" s="487"/>
      <c r="O60" s="489"/>
      <c r="P60" s="345" t="n">
        <f aca="false">SUM(I60:O60)</f>
        <v>0</v>
      </c>
    </row>
    <row r="61" customFormat="false" ht="15" hidden="false" customHeight="true" outlineLevel="0" collapsed="false">
      <c r="A61" s="44" t="n">
        <v>3010</v>
      </c>
      <c r="B61" s="79" t="s">
        <v>291</v>
      </c>
      <c r="C61" s="79" t="s">
        <v>112</v>
      </c>
      <c r="D61" s="36" t="s">
        <v>8</v>
      </c>
      <c r="E61" s="37" t="n">
        <v>41935</v>
      </c>
      <c r="F61" s="16" t="s">
        <v>52</v>
      </c>
      <c r="G61" s="224" t="s">
        <v>70</v>
      </c>
      <c r="H61" s="487" t="s">
        <v>1346</v>
      </c>
      <c r="I61" s="334" t="n">
        <v>8</v>
      </c>
      <c r="J61" s="488"/>
      <c r="K61" s="335"/>
      <c r="L61" s="333"/>
      <c r="M61" s="334"/>
      <c r="N61" s="487"/>
      <c r="O61" s="489"/>
      <c r="P61" s="345" t="n">
        <f aca="false">SUM(I61:O61)</f>
        <v>8</v>
      </c>
    </row>
    <row r="62" customFormat="false" ht="15" hidden="false" customHeight="true" outlineLevel="0" collapsed="false">
      <c r="A62" s="44" t="n">
        <v>3043</v>
      </c>
      <c r="B62" s="79" t="s">
        <v>312</v>
      </c>
      <c r="C62" s="79" t="s">
        <v>78</v>
      </c>
      <c r="D62" s="36" t="s">
        <v>8</v>
      </c>
      <c r="E62" s="37" t="n">
        <v>41676</v>
      </c>
      <c r="F62" s="16" t="s">
        <v>52</v>
      </c>
      <c r="G62" s="224" t="s">
        <v>70</v>
      </c>
      <c r="H62" s="487" t="s">
        <v>1346</v>
      </c>
      <c r="I62" s="334" t="n">
        <v>4</v>
      </c>
      <c r="J62" s="487"/>
      <c r="K62" s="334"/>
      <c r="L62" s="333"/>
      <c r="M62" s="334"/>
      <c r="N62" s="487"/>
      <c r="O62" s="489"/>
      <c r="P62" s="345" t="n">
        <f aca="false">SUM(I62:O62)</f>
        <v>4</v>
      </c>
    </row>
    <row r="63" customFormat="false" ht="15" hidden="false" customHeight="true" outlineLevel="0" collapsed="false">
      <c r="A63" s="44" t="n">
        <v>3032</v>
      </c>
      <c r="B63" s="79" t="s">
        <v>360</v>
      </c>
      <c r="C63" s="79" t="s">
        <v>361</v>
      </c>
      <c r="D63" s="36" t="s">
        <v>8</v>
      </c>
      <c r="E63" s="37" t="n">
        <v>41769</v>
      </c>
      <c r="F63" s="16" t="s">
        <v>52</v>
      </c>
      <c r="G63" s="224" t="s">
        <v>70</v>
      </c>
      <c r="H63" s="487" t="s">
        <v>1346</v>
      </c>
      <c r="I63" s="334" t="n">
        <v>1</v>
      </c>
      <c r="J63" s="487"/>
      <c r="K63" s="334"/>
      <c r="L63" s="333"/>
      <c r="M63" s="334"/>
      <c r="N63" s="487"/>
      <c r="O63" s="489"/>
      <c r="P63" s="345" t="n">
        <f aca="false">SUM(I63:O63)</f>
        <v>1</v>
      </c>
    </row>
    <row r="64" customFormat="false" ht="15" hidden="false" customHeight="true" outlineLevel="0" collapsed="false">
      <c r="A64" s="44" t="n">
        <v>3071</v>
      </c>
      <c r="B64" s="79" t="s">
        <v>389</v>
      </c>
      <c r="C64" s="79" t="s">
        <v>390</v>
      </c>
      <c r="D64" s="36" t="s">
        <v>8</v>
      </c>
      <c r="E64" s="37" t="n">
        <v>41349</v>
      </c>
      <c r="F64" s="16" t="s">
        <v>52</v>
      </c>
      <c r="G64" s="224" t="s">
        <v>70</v>
      </c>
      <c r="H64" s="487" t="s">
        <v>1346</v>
      </c>
      <c r="I64" s="334" t="n">
        <v>8</v>
      </c>
      <c r="J64" s="488"/>
      <c r="K64" s="335"/>
      <c r="L64" s="333"/>
      <c r="M64" s="334"/>
      <c r="N64" s="487"/>
      <c r="O64" s="489"/>
      <c r="P64" s="345" t="n">
        <f aca="false">SUM(I64:O64)</f>
        <v>8</v>
      </c>
      <c r="Z64" s="311"/>
    </row>
    <row r="65" customFormat="false" ht="15" hidden="false" customHeight="true" outlineLevel="0" collapsed="false">
      <c r="A65" s="44" t="n">
        <v>3075</v>
      </c>
      <c r="B65" s="79" t="s">
        <v>425</v>
      </c>
      <c r="C65" s="79" t="s">
        <v>127</v>
      </c>
      <c r="D65" s="36" t="s">
        <v>8</v>
      </c>
      <c r="E65" s="37" t="n">
        <v>41313</v>
      </c>
      <c r="F65" s="16" t="s">
        <v>52</v>
      </c>
      <c r="G65" s="224" t="s">
        <v>70</v>
      </c>
      <c r="H65" s="487" t="s">
        <v>1346</v>
      </c>
      <c r="I65" s="334" t="n">
        <v>2</v>
      </c>
      <c r="J65" s="487"/>
      <c r="K65" s="334"/>
      <c r="L65" s="333"/>
      <c r="M65" s="334"/>
      <c r="N65" s="487"/>
      <c r="O65" s="489"/>
      <c r="P65" s="345" t="n">
        <f aca="false">SUM(I65:O65)</f>
        <v>2</v>
      </c>
    </row>
    <row r="66" customFormat="false" ht="15" hidden="false" customHeight="true" outlineLevel="0" collapsed="false">
      <c r="A66" s="44" t="n">
        <v>3070</v>
      </c>
      <c r="B66" s="79" t="s">
        <v>535</v>
      </c>
      <c r="C66" s="79" t="s">
        <v>536</v>
      </c>
      <c r="D66" s="36" t="s">
        <v>8</v>
      </c>
      <c r="E66" s="37" t="n">
        <v>41371</v>
      </c>
      <c r="F66" s="16" t="s">
        <v>52</v>
      </c>
      <c r="G66" s="224" t="s">
        <v>70</v>
      </c>
      <c r="H66" s="487"/>
      <c r="I66" s="334"/>
      <c r="J66" s="488"/>
      <c r="K66" s="335"/>
      <c r="L66" s="333"/>
      <c r="M66" s="334"/>
      <c r="N66" s="487"/>
      <c r="O66" s="489"/>
      <c r="P66" s="345" t="n">
        <f aca="false">SUM(I66:O66)</f>
        <v>0</v>
      </c>
    </row>
    <row r="67" customFormat="false" ht="15" hidden="false" customHeight="true" outlineLevel="0" collapsed="false">
      <c r="A67" s="44" t="n">
        <v>3046</v>
      </c>
      <c r="B67" s="79" t="s">
        <v>1357</v>
      </c>
      <c r="C67" s="79" t="s">
        <v>1358</v>
      </c>
      <c r="D67" s="36" t="s">
        <v>8</v>
      </c>
      <c r="E67" s="37" t="n">
        <v>41652</v>
      </c>
      <c r="F67" s="16" t="s">
        <v>52</v>
      </c>
      <c r="G67" s="224" t="s">
        <v>70</v>
      </c>
      <c r="H67" s="487"/>
      <c r="I67" s="334"/>
      <c r="J67" s="488"/>
      <c r="K67" s="335"/>
      <c r="L67" s="333"/>
      <c r="M67" s="334"/>
      <c r="N67" s="487"/>
      <c r="O67" s="489"/>
      <c r="P67" s="345" t="n">
        <f aca="false">SUM(I67:O67)</f>
        <v>0</v>
      </c>
      <c r="S67" s="290"/>
    </row>
    <row r="68" customFormat="false" ht="15" hidden="false" customHeight="true" outlineLevel="0" collapsed="false">
      <c r="A68" s="44" t="n">
        <v>3006</v>
      </c>
      <c r="B68" s="79" t="s">
        <v>712</v>
      </c>
      <c r="C68" s="79" t="s">
        <v>259</v>
      </c>
      <c r="D68" s="36" t="s">
        <v>8</v>
      </c>
      <c r="E68" s="37" t="n">
        <v>41969</v>
      </c>
      <c r="F68" s="16" t="s">
        <v>52</v>
      </c>
      <c r="G68" s="224" t="s">
        <v>70</v>
      </c>
      <c r="H68" s="487"/>
      <c r="I68" s="334"/>
      <c r="J68" s="488"/>
      <c r="K68" s="335"/>
      <c r="L68" s="333"/>
      <c r="M68" s="334"/>
      <c r="N68" s="487"/>
      <c r="O68" s="489"/>
      <c r="P68" s="345" t="n">
        <f aca="false">SUM(I68:O68)</f>
        <v>0</v>
      </c>
      <c r="S68" s="290"/>
    </row>
    <row r="69" customFormat="false" ht="15" hidden="false" customHeight="true" outlineLevel="0" collapsed="false">
      <c r="A69" s="44" t="n">
        <v>3042</v>
      </c>
      <c r="B69" s="79" t="s">
        <v>714</v>
      </c>
      <c r="C69" s="79" t="s">
        <v>215</v>
      </c>
      <c r="D69" s="36" t="s">
        <v>8</v>
      </c>
      <c r="E69" s="37" t="n">
        <v>41682</v>
      </c>
      <c r="F69" s="16" t="s">
        <v>52</v>
      </c>
      <c r="G69" s="224" t="s">
        <v>70</v>
      </c>
      <c r="H69" s="487" t="s">
        <v>1346</v>
      </c>
      <c r="I69" s="334" t="n">
        <v>1</v>
      </c>
      <c r="J69" s="488"/>
      <c r="K69" s="335"/>
      <c r="L69" s="333"/>
      <c r="M69" s="334"/>
      <c r="N69" s="487"/>
      <c r="O69" s="489"/>
      <c r="P69" s="345" t="n">
        <f aca="false">SUM(I69:O69)</f>
        <v>1</v>
      </c>
    </row>
    <row r="70" customFormat="false" ht="15" hidden="false" customHeight="true" outlineLevel="0" collapsed="false">
      <c r="A70" s="44" t="n">
        <v>3005</v>
      </c>
      <c r="B70" s="79" t="s">
        <v>775</v>
      </c>
      <c r="C70" s="79" t="s">
        <v>778</v>
      </c>
      <c r="D70" s="36" t="s">
        <v>8</v>
      </c>
      <c r="E70" s="37" t="n">
        <v>41979</v>
      </c>
      <c r="F70" s="16" t="s">
        <v>52</v>
      </c>
      <c r="G70" s="224" t="s">
        <v>70</v>
      </c>
      <c r="H70" s="487" t="s">
        <v>1346</v>
      </c>
      <c r="I70" s="334" t="n">
        <v>7</v>
      </c>
      <c r="J70" s="487"/>
      <c r="K70" s="334"/>
      <c r="L70" s="333"/>
      <c r="M70" s="334"/>
      <c r="N70" s="487"/>
      <c r="O70" s="489"/>
      <c r="P70" s="345" t="n">
        <f aca="false">SUM(I70:O70)</f>
        <v>7</v>
      </c>
    </row>
    <row r="71" customFormat="false" ht="15" hidden="false" customHeight="true" outlineLevel="0" collapsed="false">
      <c r="A71" s="44" t="n">
        <v>3018</v>
      </c>
      <c r="B71" s="79" t="s">
        <v>807</v>
      </c>
      <c r="C71" s="79" t="s">
        <v>214</v>
      </c>
      <c r="D71" s="36" t="s">
        <v>8</v>
      </c>
      <c r="E71" s="37" t="n">
        <v>41874</v>
      </c>
      <c r="F71" s="16" t="s">
        <v>52</v>
      </c>
      <c r="G71" s="224" t="s">
        <v>70</v>
      </c>
      <c r="H71" s="487"/>
      <c r="I71" s="334"/>
      <c r="J71" s="488"/>
      <c r="K71" s="335"/>
      <c r="L71" s="333"/>
      <c r="M71" s="334"/>
      <c r="N71" s="487"/>
      <c r="O71" s="489"/>
      <c r="P71" s="345" t="n">
        <f aca="false">SUM(I71:O71)</f>
        <v>0</v>
      </c>
    </row>
    <row r="72" customFormat="false" ht="15" hidden="false" customHeight="true" outlineLevel="0" collapsed="false">
      <c r="A72" s="44" t="n">
        <v>3056</v>
      </c>
      <c r="B72" s="79" t="s">
        <v>896</v>
      </c>
      <c r="C72" s="79" t="s">
        <v>437</v>
      </c>
      <c r="D72" s="36" t="s">
        <v>8</v>
      </c>
      <c r="E72" s="37" t="n">
        <v>41471</v>
      </c>
      <c r="F72" s="16" t="s">
        <v>52</v>
      </c>
      <c r="G72" s="224" t="s">
        <v>70</v>
      </c>
      <c r="H72" s="487" t="s">
        <v>1346</v>
      </c>
      <c r="I72" s="334" t="n">
        <v>7</v>
      </c>
      <c r="J72" s="487"/>
      <c r="K72" s="334"/>
      <c r="L72" s="333"/>
      <c r="M72" s="334"/>
      <c r="N72" s="487"/>
      <c r="O72" s="489"/>
      <c r="P72" s="345" t="n">
        <f aca="false">SUM(I72:O72)</f>
        <v>7</v>
      </c>
    </row>
    <row r="73" customFormat="false" ht="15" hidden="false" customHeight="true" outlineLevel="0" collapsed="false">
      <c r="A73" s="44" t="n">
        <v>3049</v>
      </c>
      <c r="B73" s="79" t="s">
        <v>922</v>
      </c>
      <c r="C73" s="79" t="s">
        <v>923</v>
      </c>
      <c r="D73" s="36" t="s">
        <v>8</v>
      </c>
      <c r="E73" s="37" t="n">
        <v>41650</v>
      </c>
      <c r="F73" s="16" t="s">
        <v>52</v>
      </c>
      <c r="G73" s="224" t="s">
        <v>70</v>
      </c>
      <c r="H73" s="487"/>
      <c r="I73" s="334"/>
      <c r="J73" s="488"/>
      <c r="K73" s="335"/>
      <c r="L73" s="333"/>
      <c r="M73" s="334"/>
      <c r="N73" s="487"/>
      <c r="O73" s="489"/>
      <c r="P73" s="345" t="n">
        <f aca="false">SUM(I73:O73)</f>
        <v>0</v>
      </c>
    </row>
    <row r="74" customFormat="false" ht="15" hidden="false" customHeight="true" outlineLevel="0" collapsed="false">
      <c r="A74" s="44" t="n">
        <v>3015</v>
      </c>
      <c r="B74" s="79" t="s">
        <v>1011</v>
      </c>
      <c r="C74" s="79" t="s">
        <v>406</v>
      </c>
      <c r="D74" s="36" t="s">
        <v>8</v>
      </c>
      <c r="E74" s="37" t="n">
        <v>41906</v>
      </c>
      <c r="F74" s="16" t="s">
        <v>52</v>
      </c>
      <c r="G74" s="224" t="s">
        <v>70</v>
      </c>
      <c r="H74" s="487"/>
      <c r="I74" s="334"/>
      <c r="J74" s="487"/>
      <c r="K74" s="334"/>
      <c r="L74" s="333"/>
      <c r="M74" s="334"/>
      <c r="N74" s="487"/>
      <c r="O74" s="489"/>
      <c r="P74" s="345" t="n">
        <f aca="false">SUM(I74:O74)</f>
        <v>0</v>
      </c>
    </row>
    <row r="75" customFormat="false" ht="15" hidden="false" customHeight="true" outlineLevel="0" collapsed="false">
      <c r="A75" s="44" t="n">
        <v>3039</v>
      </c>
      <c r="B75" s="79" t="s">
        <v>1012</v>
      </c>
      <c r="C75" s="79" t="s">
        <v>250</v>
      </c>
      <c r="D75" s="36" t="s">
        <v>8</v>
      </c>
      <c r="E75" s="37" t="n">
        <v>41711</v>
      </c>
      <c r="F75" s="16" t="s">
        <v>52</v>
      </c>
      <c r="G75" s="224" t="s">
        <v>70</v>
      </c>
      <c r="H75" s="487"/>
      <c r="I75" s="334"/>
      <c r="J75" s="487"/>
      <c r="K75" s="334"/>
      <c r="L75" s="333"/>
      <c r="M75" s="334"/>
      <c r="N75" s="487"/>
      <c r="O75" s="489"/>
      <c r="P75" s="345" t="n">
        <f aca="false">SUM(I75:O75)</f>
        <v>0</v>
      </c>
    </row>
    <row r="76" customFormat="false" ht="15" hidden="false" customHeight="true" outlineLevel="0" collapsed="false">
      <c r="A76" s="44" t="n">
        <v>3029</v>
      </c>
      <c r="B76" s="79" t="s">
        <v>1037</v>
      </c>
      <c r="C76" s="79" t="s">
        <v>1038</v>
      </c>
      <c r="D76" s="36" t="s">
        <v>26</v>
      </c>
      <c r="E76" s="37" t="n">
        <v>41772</v>
      </c>
      <c r="F76" s="16" t="s">
        <v>52</v>
      </c>
      <c r="G76" s="224" t="s">
        <v>70</v>
      </c>
      <c r="H76" s="487"/>
      <c r="I76" s="334"/>
      <c r="J76" s="487"/>
      <c r="K76" s="334"/>
      <c r="L76" s="333"/>
      <c r="M76" s="334"/>
      <c r="N76" s="487"/>
      <c r="O76" s="489"/>
      <c r="P76" s="345" t="n">
        <f aca="false">SUM(I76:O76)</f>
        <v>0</v>
      </c>
    </row>
    <row r="77" customFormat="false" ht="15" hidden="false" customHeight="true" outlineLevel="0" collapsed="false">
      <c r="A77" s="44" t="n">
        <v>3004</v>
      </c>
      <c r="B77" s="79" t="s">
        <v>1039</v>
      </c>
      <c r="C77" s="79" t="s">
        <v>63</v>
      </c>
      <c r="D77" s="36" t="s">
        <v>8</v>
      </c>
      <c r="E77" s="37" t="n">
        <v>41984</v>
      </c>
      <c r="F77" s="16" t="s">
        <v>52</v>
      </c>
      <c r="G77" s="224" t="s">
        <v>70</v>
      </c>
      <c r="H77" s="487"/>
      <c r="I77" s="334"/>
      <c r="J77" s="487"/>
      <c r="K77" s="334"/>
      <c r="L77" s="333"/>
      <c r="M77" s="334"/>
      <c r="N77" s="487"/>
      <c r="O77" s="489"/>
      <c r="P77" s="345" t="n">
        <f aca="false">SUM(I77:O77)</f>
        <v>0</v>
      </c>
    </row>
    <row r="78" customFormat="false" ht="15" hidden="false" customHeight="true" outlineLevel="0" collapsed="false">
      <c r="A78" s="44" t="n">
        <v>3047</v>
      </c>
      <c r="B78" s="79" t="s">
        <v>1088</v>
      </c>
      <c r="C78" s="79" t="s">
        <v>1089</v>
      </c>
      <c r="D78" s="36" t="s">
        <v>8</v>
      </c>
      <c r="E78" s="37" t="n">
        <v>41652</v>
      </c>
      <c r="F78" s="16" t="s">
        <v>52</v>
      </c>
      <c r="G78" s="224" t="s">
        <v>70</v>
      </c>
      <c r="H78" s="487"/>
      <c r="I78" s="334"/>
      <c r="J78" s="487"/>
      <c r="K78" s="334"/>
      <c r="L78" s="333"/>
      <c r="M78" s="334"/>
      <c r="N78" s="487"/>
      <c r="O78" s="489"/>
      <c r="P78" s="345" t="n">
        <f aca="false">SUM(I78:O78)</f>
        <v>0</v>
      </c>
    </row>
    <row r="79" customFormat="false" ht="15" hidden="false" customHeight="true" outlineLevel="0" collapsed="false">
      <c r="A79" s="44" t="n">
        <v>3065</v>
      </c>
      <c r="B79" s="79" t="s">
        <v>1162</v>
      </c>
      <c r="C79" s="79" t="s">
        <v>1163</v>
      </c>
      <c r="D79" s="36" t="s">
        <v>8</v>
      </c>
      <c r="E79" s="37" t="n">
        <v>41404</v>
      </c>
      <c r="F79" s="16" t="s">
        <v>52</v>
      </c>
      <c r="G79" s="224" t="s">
        <v>70</v>
      </c>
      <c r="H79" s="487" t="s">
        <v>1346</v>
      </c>
      <c r="I79" s="334" t="n">
        <v>1</v>
      </c>
      <c r="J79" s="487"/>
      <c r="K79" s="334"/>
      <c r="L79" s="333"/>
      <c r="M79" s="334"/>
      <c r="N79" s="487"/>
      <c r="O79" s="489"/>
      <c r="P79" s="345" t="n">
        <f aca="false">SUM(I79:O79)</f>
        <v>1</v>
      </c>
    </row>
    <row r="80" customFormat="false" ht="15" hidden="false" customHeight="true" outlineLevel="0" collapsed="false">
      <c r="A80" s="44" t="n">
        <v>3000</v>
      </c>
      <c r="B80" s="79" t="s">
        <v>1165</v>
      </c>
      <c r="C80" s="79" t="s">
        <v>1166</v>
      </c>
      <c r="D80" s="36" t="s">
        <v>8</v>
      </c>
      <c r="E80" s="37" t="n">
        <v>42003</v>
      </c>
      <c r="F80" s="16" t="s">
        <v>52</v>
      </c>
      <c r="G80" s="224" t="s">
        <v>70</v>
      </c>
      <c r="H80" s="487"/>
      <c r="I80" s="334"/>
      <c r="J80" s="487"/>
      <c r="K80" s="334"/>
      <c r="L80" s="333"/>
      <c r="M80" s="334"/>
      <c r="N80" s="487"/>
      <c r="O80" s="489"/>
      <c r="P80" s="345" t="n">
        <f aca="false">SUM(I80:O80)</f>
        <v>0</v>
      </c>
    </row>
    <row r="81" customFormat="false" ht="15" hidden="false" customHeight="true" outlineLevel="0" collapsed="false">
      <c r="A81" s="44" t="n">
        <v>3028</v>
      </c>
      <c r="B81" s="79" t="s">
        <v>1184</v>
      </c>
      <c r="C81" s="79" t="s">
        <v>1185</v>
      </c>
      <c r="D81" s="36" t="s">
        <v>8</v>
      </c>
      <c r="E81" s="37" t="n">
        <v>41773</v>
      </c>
      <c r="F81" s="16" t="s">
        <v>52</v>
      </c>
      <c r="G81" s="224" t="s">
        <v>1186</v>
      </c>
      <c r="H81" s="487" t="s">
        <v>1346</v>
      </c>
      <c r="I81" s="334" t="n">
        <v>10</v>
      </c>
      <c r="J81" s="487"/>
      <c r="K81" s="334"/>
      <c r="L81" s="333"/>
      <c r="M81" s="334"/>
      <c r="N81" s="487"/>
      <c r="O81" s="489"/>
      <c r="P81" s="345" t="n">
        <f aca="false">SUM(I81:O81)</f>
        <v>10</v>
      </c>
    </row>
    <row r="82" customFormat="false" ht="15" hidden="false" customHeight="true" outlineLevel="0" collapsed="false">
      <c r="A82" s="44" t="n">
        <v>3062</v>
      </c>
      <c r="B82" s="79" t="s">
        <v>1213</v>
      </c>
      <c r="C82" s="79" t="s">
        <v>593</v>
      </c>
      <c r="D82" s="36" t="s">
        <v>8</v>
      </c>
      <c r="E82" s="37" t="n">
        <v>41422</v>
      </c>
      <c r="F82" s="16" t="s">
        <v>52</v>
      </c>
      <c r="G82" s="224" t="s">
        <v>70</v>
      </c>
      <c r="H82" s="487"/>
      <c r="I82" s="334"/>
      <c r="J82" s="488"/>
      <c r="K82" s="335"/>
      <c r="L82" s="333"/>
      <c r="M82" s="334"/>
      <c r="N82" s="487"/>
      <c r="O82" s="489"/>
      <c r="P82" s="345" t="n">
        <f aca="false">SUM(I82:O82)</f>
        <v>0</v>
      </c>
    </row>
    <row r="83" customFormat="false" ht="15" hidden="false" customHeight="true" outlineLevel="0" collapsed="false">
      <c r="A83" s="44" t="n">
        <v>3040</v>
      </c>
      <c r="B83" s="79" t="s">
        <v>1219</v>
      </c>
      <c r="C83" s="79" t="s">
        <v>778</v>
      </c>
      <c r="D83" s="36" t="s">
        <v>8</v>
      </c>
      <c r="E83" s="37" t="n">
        <v>41705</v>
      </c>
      <c r="F83" s="16" t="s">
        <v>52</v>
      </c>
      <c r="G83" s="224" t="s">
        <v>70</v>
      </c>
      <c r="H83" s="487"/>
      <c r="I83" s="334"/>
      <c r="J83" s="487"/>
      <c r="K83" s="334"/>
      <c r="L83" s="333"/>
      <c r="M83" s="334"/>
      <c r="N83" s="487"/>
      <c r="O83" s="489"/>
      <c r="P83" s="345" t="n">
        <f aca="false">SUM(I83:O83)</f>
        <v>0</v>
      </c>
    </row>
    <row r="84" customFormat="false" ht="15" hidden="false" customHeight="true" outlineLevel="0" collapsed="false">
      <c r="A84" s="44" t="n">
        <v>3033</v>
      </c>
      <c r="B84" s="79" t="s">
        <v>1233</v>
      </c>
      <c r="C84" s="79" t="s">
        <v>908</v>
      </c>
      <c r="D84" s="36" t="s">
        <v>8</v>
      </c>
      <c r="E84" s="37" t="n">
        <v>41762</v>
      </c>
      <c r="F84" s="16" t="s">
        <v>52</v>
      </c>
      <c r="G84" s="224" t="s">
        <v>70</v>
      </c>
      <c r="H84" s="487"/>
      <c r="I84" s="334"/>
      <c r="J84" s="488"/>
      <c r="K84" s="335"/>
      <c r="L84" s="333"/>
      <c r="M84" s="334"/>
      <c r="N84" s="487"/>
      <c r="O84" s="489"/>
      <c r="P84" s="345" t="n">
        <f aca="false">SUM(I84:O84)</f>
        <v>0</v>
      </c>
    </row>
    <row r="85" customFormat="false" ht="14.25" hidden="false" customHeight="true" outlineLevel="0" collapsed="false">
      <c r="A85" s="44" t="n">
        <v>3063</v>
      </c>
      <c r="B85" s="79" t="s">
        <v>1295</v>
      </c>
      <c r="C85" s="79" t="s">
        <v>1296</v>
      </c>
      <c r="D85" s="36" t="s">
        <v>8</v>
      </c>
      <c r="E85" s="37" t="n">
        <v>41418</v>
      </c>
      <c r="F85" s="16" t="s">
        <v>52</v>
      </c>
      <c r="G85" s="224" t="s">
        <v>70</v>
      </c>
      <c r="H85" s="487"/>
      <c r="I85" s="334"/>
      <c r="J85" s="487"/>
      <c r="K85" s="334"/>
      <c r="L85" s="333"/>
      <c r="M85" s="334"/>
      <c r="N85" s="487"/>
      <c r="O85" s="489"/>
      <c r="P85" s="345" t="n">
        <f aca="false">SUM(I85:O85)</f>
        <v>0</v>
      </c>
    </row>
    <row r="86" customFormat="false" ht="15" hidden="false" customHeight="true" outlineLevel="0" collapsed="false">
      <c r="A86" s="44" t="n">
        <v>3020</v>
      </c>
      <c r="B86" s="79" t="s">
        <v>1327</v>
      </c>
      <c r="C86" s="79" t="s">
        <v>14</v>
      </c>
      <c r="D86" s="36" t="s">
        <v>8</v>
      </c>
      <c r="E86" s="37" t="n">
        <v>41862</v>
      </c>
      <c r="F86" s="16" t="s">
        <v>52</v>
      </c>
      <c r="G86" s="224" t="s">
        <v>70</v>
      </c>
      <c r="H86" s="487" t="s">
        <v>1346</v>
      </c>
      <c r="I86" s="334" t="n">
        <v>7</v>
      </c>
      <c r="J86" s="487"/>
      <c r="K86" s="334"/>
      <c r="L86" s="333"/>
      <c r="M86" s="334"/>
      <c r="N86" s="487"/>
      <c r="O86" s="489"/>
      <c r="P86" s="345" t="n">
        <f aca="false">SUM(I86:O86)</f>
        <v>7</v>
      </c>
    </row>
    <row r="87" customFormat="false" ht="15" hidden="false" customHeight="true" outlineLevel="0" collapsed="false">
      <c r="A87" s="44" t="n">
        <v>3074</v>
      </c>
      <c r="B87" s="51" t="s">
        <v>216</v>
      </c>
      <c r="C87" s="51" t="s">
        <v>217</v>
      </c>
      <c r="D87" s="36" t="s">
        <v>8</v>
      </c>
      <c r="E87" s="37" t="n">
        <v>41316</v>
      </c>
      <c r="F87" s="16" t="s">
        <v>197</v>
      </c>
      <c r="G87" s="24" t="n">
        <v>500</v>
      </c>
      <c r="H87" s="487" t="s">
        <v>1346</v>
      </c>
      <c r="I87" s="334" t="n">
        <v>1</v>
      </c>
      <c r="J87" s="487"/>
      <c r="K87" s="334"/>
      <c r="L87" s="333"/>
      <c r="M87" s="334"/>
      <c r="N87" s="487"/>
      <c r="O87" s="489"/>
      <c r="P87" s="345" t="n">
        <f aca="false">SUM(I87:O87)</f>
        <v>1</v>
      </c>
    </row>
    <row r="88" customFormat="false" ht="15" hidden="false" customHeight="true" outlineLevel="0" collapsed="false">
      <c r="A88" s="223" t="n">
        <v>3026</v>
      </c>
      <c r="B88" s="51" t="s">
        <v>564</v>
      </c>
      <c r="C88" s="51" t="s">
        <v>565</v>
      </c>
      <c r="D88" s="36" t="s">
        <v>8</v>
      </c>
      <c r="E88" s="37" t="n">
        <v>41786</v>
      </c>
      <c r="F88" s="16" t="s">
        <v>197</v>
      </c>
      <c r="G88" s="24" t="n">
        <v>500</v>
      </c>
      <c r="H88" s="487"/>
      <c r="I88" s="334"/>
      <c r="J88" s="487"/>
      <c r="K88" s="334"/>
      <c r="L88" s="333"/>
      <c r="M88" s="334"/>
      <c r="N88" s="487"/>
      <c r="O88" s="489"/>
      <c r="P88" s="345" t="n">
        <f aca="false">SUM(I88:O88)</f>
        <v>0</v>
      </c>
    </row>
    <row r="89" customFormat="false" ht="15" hidden="false" customHeight="true" outlineLevel="0" collapsed="false">
      <c r="A89" s="223" t="n">
        <v>3059</v>
      </c>
      <c r="B89" s="51" t="s">
        <v>752</v>
      </c>
      <c r="C89" s="51" t="s">
        <v>753</v>
      </c>
      <c r="D89" s="36" t="s">
        <v>8</v>
      </c>
      <c r="E89" s="37" t="n">
        <v>41455</v>
      </c>
      <c r="F89" s="16" t="s">
        <v>197</v>
      </c>
      <c r="G89" s="24" t="n">
        <v>500</v>
      </c>
      <c r="H89" s="487"/>
      <c r="I89" s="334"/>
      <c r="J89" s="487"/>
      <c r="K89" s="334"/>
      <c r="L89" s="333"/>
      <c r="M89" s="334"/>
      <c r="N89" s="487"/>
      <c r="O89" s="489"/>
      <c r="P89" s="345" t="n">
        <f aca="false">SUM(I89:O89)</f>
        <v>0</v>
      </c>
    </row>
    <row r="90" customFormat="false" ht="15" hidden="false" customHeight="true" outlineLevel="0" collapsed="false">
      <c r="A90" s="223" t="n">
        <v>3073</v>
      </c>
      <c r="B90" s="51" t="s">
        <v>36</v>
      </c>
      <c r="C90" s="51" t="s">
        <v>37</v>
      </c>
      <c r="D90" s="36" t="s">
        <v>8</v>
      </c>
      <c r="E90" s="52" t="n">
        <v>41339</v>
      </c>
      <c r="F90" s="16" t="s">
        <v>20</v>
      </c>
      <c r="G90" s="24" t="n">
        <v>500</v>
      </c>
      <c r="H90" s="487"/>
      <c r="I90" s="334"/>
      <c r="J90" s="487"/>
      <c r="K90" s="334"/>
      <c r="L90" s="333"/>
      <c r="M90" s="334"/>
      <c r="N90" s="487"/>
      <c r="O90" s="489"/>
      <c r="P90" s="345" t="n">
        <f aca="false">SUM(I90:O90)</f>
        <v>0</v>
      </c>
    </row>
    <row r="91" customFormat="false" ht="15" hidden="false" customHeight="true" outlineLevel="0" collapsed="false">
      <c r="A91" s="223" t="n">
        <v>3019</v>
      </c>
      <c r="B91" s="51" t="s">
        <v>173</v>
      </c>
      <c r="C91" s="51" t="s">
        <v>123</v>
      </c>
      <c r="D91" s="36" t="s">
        <v>8</v>
      </c>
      <c r="E91" s="52" t="n">
        <v>41863</v>
      </c>
      <c r="F91" s="24" t="s">
        <v>20</v>
      </c>
      <c r="G91" s="24" t="n">
        <v>500</v>
      </c>
      <c r="H91" s="487"/>
      <c r="I91" s="334"/>
      <c r="J91" s="487"/>
      <c r="K91" s="334"/>
      <c r="L91" s="333"/>
      <c r="M91" s="334"/>
      <c r="N91" s="487"/>
      <c r="O91" s="489"/>
      <c r="P91" s="345" t="n">
        <f aca="false">SUM(I91:O91)</f>
        <v>0</v>
      </c>
    </row>
    <row r="92" customFormat="false" ht="15" hidden="false" customHeight="true" outlineLevel="0" collapsed="false">
      <c r="A92" s="223" t="n">
        <v>3014</v>
      </c>
      <c r="B92" s="51" t="s">
        <v>374</v>
      </c>
      <c r="C92" s="51" t="s">
        <v>375</v>
      </c>
      <c r="D92" s="36" t="s">
        <v>8</v>
      </c>
      <c r="E92" s="52" t="n">
        <v>41908</v>
      </c>
      <c r="F92" s="24" t="s">
        <v>20</v>
      </c>
      <c r="G92" s="24" t="n">
        <v>500</v>
      </c>
      <c r="H92" s="487" t="s">
        <v>1346</v>
      </c>
      <c r="I92" s="334" t="n">
        <v>1</v>
      </c>
      <c r="J92" s="487"/>
      <c r="K92" s="334"/>
      <c r="L92" s="333"/>
      <c r="M92" s="334"/>
      <c r="N92" s="487"/>
      <c r="O92" s="489"/>
      <c r="P92" s="345" t="n">
        <f aca="false">SUM(I92:O92)</f>
        <v>1</v>
      </c>
    </row>
    <row r="93" customFormat="false" ht="15" hidden="false" customHeight="true" outlineLevel="0" collapsed="false">
      <c r="A93" s="223" t="n">
        <v>3016</v>
      </c>
      <c r="B93" s="51" t="s">
        <v>504</v>
      </c>
      <c r="C93" s="51" t="s">
        <v>505</v>
      </c>
      <c r="D93" s="36" t="s">
        <v>8</v>
      </c>
      <c r="E93" s="52" t="n">
        <v>41902</v>
      </c>
      <c r="F93" s="24" t="s">
        <v>20</v>
      </c>
      <c r="G93" s="24" t="n">
        <v>500</v>
      </c>
      <c r="H93" s="487"/>
      <c r="I93" s="334"/>
      <c r="J93" s="487"/>
      <c r="K93" s="334"/>
      <c r="L93" s="333"/>
      <c r="M93" s="334"/>
      <c r="N93" s="487"/>
      <c r="O93" s="489"/>
      <c r="P93" s="345" t="n">
        <f aca="false">SUM(I93:O93)</f>
        <v>0</v>
      </c>
    </row>
    <row r="94" customFormat="false" ht="15" hidden="false" customHeight="true" outlineLevel="0" collapsed="false">
      <c r="A94" s="223" t="n">
        <v>3038</v>
      </c>
      <c r="B94" s="51" t="s">
        <v>599</v>
      </c>
      <c r="C94" s="51" t="s">
        <v>601</v>
      </c>
      <c r="D94" s="36" t="s">
        <v>8</v>
      </c>
      <c r="E94" s="52" t="n">
        <v>41714</v>
      </c>
      <c r="F94" s="24" t="s">
        <v>20</v>
      </c>
      <c r="G94" s="24" t="n">
        <v>500</v>
      </c>
      <c r="H94" s="487"/>
      <c r="I94" s="334"/>
      <c r="J94" s="487"/>
      <c r="K94" s="334"/>
      <c r="L94" s="333"/>
      <c r="M94" s="334"/>
      <c r="N94" s="487"/>
      <c r="O94" s="489"/>
      <c r="P94" s="345" t="n">
        <f aca="false">SUM(I94:O94)</f>
        <v>0</v>
      </c>
    </row>
    <row r="95" customFormat="false" ht="15" hidden="false" customHeight="true" outlineLevel="0" collapsed="false">
      <c r="A95" s="223" t="n">
        <v>3021</v>
      </c>
      <c r="B95" s="51" t="s">
        <v>770</v>
      </c>
      <c r="C95" s="51" t="s">
        <v>771</v>
      </c>
      <c r="D95" s="36" t="s">
        <v>8</v>
      </c>
      <c r="E95" s="52" t="n">
        <v>41839</v>
      </c>
      <c r="F95" s="24" t="s">
        <v>20</v>
      </c>
      <c r="G95" s="24" t="n">
        <v>500</v>
      </c>
      <c r="H95" s="487"/>
      <c r="I95" s="334"/>
      <c r="J95" s="487"/>
      <c r="K95" s="334"/>
      <c r="L95" s="333"/>
      <c r="M95" s="334"/>
      <c r="N95" s="487"/>
      <c r="O95" s="489"/>
      <c r="P95" s="345" t="n">
        <f aca="false">SUM(I95:O95)</f>
        <v>0</v>
      </c>
    </row>
    <row r="96" customFormat="false" ht="15" hidden="false" customHeight="true" outlineLevel="0" collapsed="false">
      <c r="A96" s="223" t="n">
        <v>3078</v>
      </c>
      <c r="B96" s="51" t="s">
        <v>868</v>
      </c>
      <c r="C96" s="51" t="s">
        <v>869</v>
      </c>
      <c r="D96" s="36" t="s">
        <v>8</v>
      </c>
      <c r="E96" s="52" t="n">
        <v>41288</v>
      </c>
      <c r="F96" s="16" t="s">
        <v>20</v>
      </c>
      <c r="G96" s="24" t="n">
        <v>500</v>
      </c>
      <c r="H96" s="487"/>
      <c r="I96" s="334"/>
      <c r="J96" s="487"/>
      <c r="K96" s="334"/>
      <c r="L96" s="333"/>
      <c r="M96" s="334"/>
      <c r="N96" s="487"/>
      <c r="O96" s="489"/>
      <c r="P96" s="345" t="n">
        <f aca="false">SUM(I96:O96)</f>
        <v>0</v>
      </c>
    </row>
    <row r="97" customFormat="false" ht="15" hidden="false" customHeight="true" outlineLevel="0" collapsed="false">
      <c r="A97" s="223" t="n">
        <v>3057</v>
      </c>
      <c r="B97" s="108" t="s">
        <v>347</v>
      </c>
      <c r="C97" s="115" t="s">
        <v>78</v>
      </c>
      <c r="D97" s="36" t="s">
        <v>8</v>
      </c>
      <c r="E97" s="37" t="n">
        <v>41466</v>
      </c>
      <c r="F97" s="16" t="s">
        <v>29</v>
      </c>
      <c r="G97" s="24" t="s">
        <v>70</v>
      </c>
      <c r="H97" s="487"/>
      <c r="I97" s="334"/>
      <c r="J97" s="487"/>
      <c r="K97" s="334"/>
      <c r="L97" s="333"/>
      <c r="M97" s="334"/>
      <c r="N97" s="487"/>
      <c r="O97" s="489"/>
      <c r="P97" s="345" t="n">
        <f aca="false">SUM(I97:O97)</f>
        <v>0</v>
      </c>
    </row>
    <row r="98" customFormat="false" ht="15" hidden="false" customHeight="true" outlineLevel="0" collapsed="false">
      <c r="A98" s="223" t="n">
        <v>3051</v>
      </c>
      <c r="B98" s="108" t="s">
        <v>366</v>
      </c>
      <c r="C98" s="115" t="s">
        <v>61</v>
      </c>
      <c r="D98" s="36" t="s">
        <v>8</v>
      </c>
      <c r="E98" s="37" t="n">
        <v>41567</v>
      </c>
      <c r="F98" s="16" t="s">
        <v>29</v>
      </c>
      <c r="G98" s="24" t="s">
        <v>70</v>
      </c>
      <c r="H98" s="487"/>
      <c r="I98" s="334"/>
      <c r="J98" s="487"/>
      <c r="K98" s="334"/>
      <c r="L98" s="333"/>
      <c r="M98" s="334"/>
      <c r="N98" s="487"/>
      <c r="O98" s="489"/>
      <c r="P98" s="345" t="n">
        <f aca="false">SUM(I98:O98)</f>
        <v>0</v>
      </c>
    </row>
    <row r="99" customFormat="false" ht="15" hidden="false" customHeight="true" outlineLevel="0" collapsed="false">
      <c r="A99" s="223" t="n">
        <v>3045</v>
      </c>
      <c r="B99" s="123" t="s">
        <v>509</v>
      </c>
      <c r="C99" s="123" t="s">
        <v>510</v>
      </c>
      <c r="D99" s="36" t="s">
        <v>26</v>
      </c>
      <c r="E99" s="37" t="n">
        <v>41657</v>
      </c>
      <c r="F99" s="16" t="s">
        <v>29</v>
      </c>
      <c r="G99" s="24" t="s">
        <v>70</v>
      </c>
      <c r="H99" s="487"/>
      <c r="I99" s="334"/>
      <c r="J99" s="487"/>
      <c r="K99" s="334"/>
      <c r="L99" s="333"/>
      <c r="M99" s="334"/>
      <c r="N99" s="487"/>
      <c r="O99" s="489"/>
      <c r="P99" s="345" t="n">
        <f aca="false">SUM(I99:O99)</f>
        <v>0</v>
      </c>
    </row>
    <row r="100" customFormat="false" ht="15" hidden="false" customHeight="true" outlineLevel="0" collapsed="false">
      <c r="A100" s="223" t="n">
        <v>3008</v>
      </c>
      <c r="B100" s="108" t="s">
        <v>522</v>
      </c>
      <c r="C100" s="115" t="s">
        <v>61</v>
      </c>
      <c r="D100" s="36" t="s">
        <v>8</v>
      </c>
      <c r="E100" s="37" t="n">
        <v>41953</v>
      </c>
      <c r="F100" s="16" t="s">
        <v>29</v>
      </c>
      <c r="G100" s="24" t="s">
        <v>70</v>
      </c>
      <c r="H100" s="487"/>
      <c r="I100" s="334"/>
      <c r="J100" s="487"/>
      <c r="K100" s="334"/>
      <c r="L100" s="333"/>
      <c r="M100" s="334"/>
      <c r="N100" s="487"/>
      <c r="O100" s="489"/>
      <c r="P100" s="345" t="n">
        <f aca="false">SUM(I100:O100)</f>
        <v>0</v>
      </c>
    </row>
    <row r="101" customFormat="false" ht="15" hidden="false" customHeight="true" outlineLevel="0" collapsed="false">
      <c r="A101" s="223" t="n">
        <v>3030</v>
      </c>
      <c r="B101" s="108" t="s">
        <v>567</v>
      </c>
      <c r="C101" s="115" t="s">
        <v>406</v>
      </c>
      <c r="D101" s="36" t="s">
        <v>8</v>
      </c>
      <c r="E101" s="37" t="n">
        <v>41771</v>
      </c>
      <c r="F101" s="16" t="s">
        <v>29</v>
      </c>
      <c r="G101" s="24" t="s">
        <v>70</v>
      </c>
      <c r="H101" s="487"/>
      <c r="I101" s="334"/>
      <c r="J101" s="487"/>
      <c r="K101" s="334"/>
      <c r="L101" s="333"/>
      <c r="M101" s="334"/>
      <c r="N101" s="487"/>
      <c r="O101" s="489"/>
      <c r="P101" s="345" t="n">
        <f aca="false">SUM(I101:O101)</f>
        <v>0</v>
      </c>
    </row>
    <row r="102" customFormat="false" ht="15" hidden="false" customHeight="true" outlineLevel="0" collapsed="false">
      <c r="A102" s="223" t="n">
        <v>3054</v>
      </c>
      <c r="B102" s="108" t="s">
        <v>688</v>
      </c>
      <c r="C102" s="115" t="s">
        <v>689</v>
      </c>
      <c r="D102" s="36" t="s">
        <v>8</v>
      </c>
      <c r="E102" s="37" t="n">
        <v>41533</v>
      </c>
      <c r="F102" s="16" t="s">
        <v>29</v>
      </c>
      <c r="G102" s="24" t="s">
        <v>70</v>
      </c>
      <c r="H102" s="487"/>
      <c r="I102" s="334"/>
      <c r="J102" s="487"/>
      <c r="K102" s="334"/>
      <c r="L102" s="333"/>
      <c r="M102" s="334"/>
      <c r="N102" s="487"/>
      <c r="O102" s="489"/>
      <c r="P102" s="345" t="n">
        <f aca="false">SUM(I102:O102)</f>
        <v>0</v>
      </c>
    </row>
    <row r="103" customFormat="false" ht="14.25" hidden="false" customHeight="true" outlineLevel="0" collapsed="false">
      <c r="A103" s="223" t="n">
        <v>3007</v>
      </c>
      <c r="B103" s="108" t="s">
        <v>718</v>
      </c>
      <c r="C103" s="115" t="s">
        <v>719</v>
      </c>
      <c r="D103" s="36" t="s">
        <v>8</v>
      </c>
      <c r="E103" s="37" t="n">
        <v>41956</v>
      </c>
      <c r="F103" s="16" t="s">
        <v>29</v>
      </c>
      <c r="G103" s="24" t="s">
        <v>70</v>
      </c>
      <c r="H103" s="487" t="s">
        <v>1346</v>
      </c>
      <c r="I103" s="334" t="n">
        <v>2</v>
      </c>
      <c r="J103" s="487"/>
      <c r="K103" s="334"/>
      <c r="L103" s="333"/>
      <c r="M103" s="334"/>
      <c r="N103" s="487"/>
      <c r="O103" s="489"/>
      <c r="P103" s="345" t="n">
        <f aca="false">SUM(I103:O103)</f>
        <v>2</v>
      </c>
    </row>
    <row r="104" customFormat="false" ht="15" hidden="false" customHeight="true" outlineLevel="0" collapsed="false">
      <c r="A104" s="223" t="n">
        <v>3031</v>
      </c>
      <c r="B104" s="108" t="s">
        <v>872</v>
      </c>
      <c r="C104" s="115" t="s">
        <v>417</v>
      </c>
      <c r="D104" s="36" t="s">
        <v>8</v>
      </c>
      <c r="E104" s="37" t="n">
        <v>41770</v>
      </c>
      <c r="F104" s="16" t="s">
        <v>29</v>
      </c>
      <c r="G104" s="24" t="s">
        <v>70</v>
      </c>
      <c r="H104" s="487" t="s">
        <v>1346</v>
      </c>
      <c r="I104" s="334" t="n">
        <v>2</v>
      </c>
      <c r="J104" s="487"/>
      <c r="K104" s="334"/>
      <c r="L104" s="333"/>
      <c r="M104" s="334"/>
      <c r="N104" s="487"/>
      <c r="O104" s="489"/>
      <c r="P104" s="345" t="n">
        <f aca="false">SUM(I104:O104)</f>
        <v>2</v>
      </c>
    </row>
    <row r="105" customFormat="false" ht="15" hidden="false" customHeight="true" outlineLevel="0" collapsed="false">
      <c r="A105" s="223" t="n">
        <v>3066</v>
      </c>
      <c r="B105" s="108" t="s">
        <v>888</v>
      </c>
      <c r="C105" s="115" t="s">
        <v>61</v>
      </c>
      <c r="D105" s="36" t="s">
        <v>8</v>
      </c>
      <c r="E105" s="37" t="n">
        <v>41389</v>
      </c>
      <c r="F105" s="16" t="s">
        <v>29</v>
      </c>
      <c r="G105" s="24" t="s">
        <v>70</v>
      </c>
      <c r="H105" s="487"/>
      <c r="I105" s="334"/>
      <c r="J105" s="487"/>
      <c r="K105" s="334"/>
      <c r="L105" s="333"/>
      <c r="M105" s="334"/>
      <c r="N105" s="487"/>
      <c r="O105" s="489"/>
      <c r="P105" s="345" t="n">
        <f aca="false">SUM(I105:O105)</f>
        <v>0</v>
      </c>
      <c r="Z105" s="311"/>
    </row>
    <row r="106" customFormat="false" ht="15" hidden="false" customHeight="true" outlineLevel="0" collapsed="false">
      <c r="A106" s="223" t="n">
        <v>3017</v>
      </c>
      <c r="B106" s="108" t="s">
        <v>956</v>
      </c>
      <c r="C106" s="115" t="s">
        <v>955</v>
      </c>
      <c r="D106" s="36" t="s">
        <v>8</v>
      </c>
      <c r="E106" s="37" t="n">
        <v>41875</v>
      </c>
      <c r="F106" s="16" t="s">
        <v>29</v>
      </c>
      <c r="G106" s="24" t="s">
        <v>70</v>
      </c>
      <c r="H106" s="487"/>
      <c r="I106" s="334"/>
      <c r="J106" s="487"/>
      <c r="K106" s="334"/>
      <c r="L106" s="333"/>
      <c r="M106" s="334"/>
      <c r="N106" s="487"/>
      <c r="O106" s="489"/>
      <c r="P106" s="345" t="n">
        <f aca="false">SUM(I106:O106)</f>
        <v>0</v>
      </c>
    </row>
    <row r="107" customFormat="false" ht="12.75" hidden="false" customHeight="true" outlineLevel="0" collapsed="false">
      <c r="A107" s="223" t="n">
        <v>3012</v>
      </c>
      <c r="B107" s="108" t="s">
        <v>999</v>
      </c>
      <c r="C107" s="115" t="s">
        <v>1000</v>
      </c>
      <c r="D107" s="36" t="s">
        <v>8</v>
      </c>
      <c r="E107" s="37" t="n">
        <v>41919</v>
      </c>
      <c r="F107" s="16" t="s">
        <v>29</v>
      </c>
      <c r="G107" s="24" t="s">
        <v>70</v>
      </c>
      <c r="H107" s="487"/>
      <c r="I107" s="334"/>
      <c r="J107" s="487"/>
      <c r="K107" s="334"/>
      <c r="L107" s="333"/>
      <c r="M107" s="334"/>
      <c r="N107" s="487"/>
      <c r="O107" s="489"/>
      <c r="P107" s="345" t="n">
        <f aca="false">SUM(I107:O107)</f>
        <v>0</v>
      </c>
    </row>
    <row r="108" customFormat="false" ht="15" hidden="false" customHeight="true" outlineLevel="0" collapsed="false">
      <c r="A108" s="223" t="n">
        <v>3024</v>
      </c>
      <c r="B108" s="123" t="s">
        <v>1031</v>
      </c>
      <c r="C108" s="123" t="s">
        <v>1032</v>
      </c>
      <c r="D108" s="36" t="s">
        <v>26</v>
      </c>
      <c r="E108" s="37" t="n">
        <v>41828</v>
      </c>
      <c r="F108" s="16" t="s">
        <v>29</v>
      </c>
      <c r="G108" s="24" t="s">
        <v>70</v>
      </c>
      <c r="H108" s="487" t="s">
        <v>1346</v>
      </c>
      <c r="I108" s="334" t="n">
        <v>1</v>
      </c>
      <c r="J108" s="487"/>
      <c r="K108" s="334"/>
      <c r="L108" s="333"/>
      <c r="M108" s="334"/>
      <c r="N108" s="487"/>
      <c r="O108" s="489"/>
      <c r="P108" s="345" t="n">
        <f aca="false">SUM(I108:O108)</f>
        <v>1</v>
      </c>
    </row>
    <row r="109" customFormat="false" ht="15" hidden="false" customHeight="true" outlineLevel="0" collapsed="false">
      <c r="A109" s="223" t="n">
        <v>3009</v>
      </c>
      <c r="B109" s="108" t="s">
        <v>1158</v>
      </c>
      <c r="C109" s="115" t="s">
        <v>1159</v>
      </c>
      <c r="D109" s="36" t="s">
        <v>8</v>
      </c>
      <c r="E109" s="37" t="n">
        <v>41949</v>
      </c>
      <c r="F109" s="16" t="s">
        <v>29</v>
      </c>
      <c r="G109" s="24" t="s">
        <v>70</v>
      </c>
      <c r="H109" s="487"/>
      <c r="I109" s="334"/>
      <c r="J109" s="487"/>
      <c r="K109" s="334"/>
      <c r="L109" s="333"/>
      <c r="M109" s="334"/>
      <c r="N109" s="487"/>
      <c r="O109" s="489"/>
      <c r="P109" s="345" t="n">
        <f aca="false">SUM(I109:O109)</f>
        <v>0</v>
      </c>
    </row>
    <row r="110" customFormat="false" ht="12.75" hidden="false" customHeight="true" outlineLevel="0" collapsed="false">
      <c r="A110" s="223" t="n">
        <v>3069</v>
      </c>
      <c r="B110" s="108" t="s">
        <v>1193</v>
      </c>
      <c r="C110" s="115" t="s">
        <v>79</v>
      </c>
      <c r="D110" s="36" t="s">
        <v>8</v>
      </c>
      <c r="E110" s="37" t="n">
        <v>41373</v>
      </c>
      <c r="F110" s="16" t="s">
        <v>29</v>
      </c>
      <c r="G110" s="24" t="s">
        <v>70</v>
      </c>
      <c r="H110" s="487" t="s">
        <v>1346</v>
      </c>
      <c r="I110" s="334" t="n">
        <v>2</v>
      </c>
      <c r="J110" s="487"/>
      <c r="K110" s="334"/>
      <c r="L110" s="333"/>
      <c r="M110" s="334"/>
      <c r="N110" s="487"/>
      <c r="O110" s="489"/>
      <c r="P110" s="345" t="n">
        <f aca="false">SUM(I110:O110)</f>
        <v>2</v>
      </c>
      <c r="Z110" s="311"/>
    </row>
    <row r="111" customFormat="false" ht="12.75" hidden="false" customHeight="true" outlineLevel="0" collapsed="false">
      <c r="A111" s="223" t="n">
        <v>3072</v>
      </c>
      <c r="B111" s="108" t="s">
        <v>1207</v>
      </c>
      <c r="C111" s="115" t="s">
        <v>736</v>
      </c>
      <c r="D111" s="36" t="s">
        <v>8</v>
      </c>
      <c r="E111" s="37" t="n">
        <v>41345</v>
      </c>
      <c r="F111" s="16" t="s">
        <v>29</v>
      </c>
      <c r="G111" s="24" t="s">
        <v>70</v>
      </c>
      <c r="H111" s="487"/>
      <c r="I111" s="334"/>
      <c r="J111" s="487"/>
      <c r="K111" s="334"/>
      <c r="L111" s="333"/>
      <c r="M111" s="334"/>
      <c r="N111" s="487"/>
      <c r="O111" s="489"/>
      <c r="P111" s="345" t="n">
        <f aca="false">SUM(I111:O111)</f>
        <v>0</v>
      </c>
    </row>
    <row r="112" customFormat="false" ht="12.75" hidden="false" customHeight="true" outlineLevel="0" collapsed="false">
      <c r="A112" s="223" t="n">
        <v>3048</v>
      </c>
      <c r="B112" s="108" t="s">
        <v>1265</v>
      </c>
      <c r="C112" s="115" t="s">
        <v>165</v>
      </c>
      <c r="D112" s="36" t="s">
        <v>8</v>
      </c>
      <c r="E112" s="37" t="n">
        <v>41651</v>
      </c>
      <c r="F112" s="16" t="s">
        <v>29</v>
      </c>
      <c r="G112" s="24" t="s">
        <v>70</v>
      </c>
      <c r="H112" s="487" t="s">
        <v>1346</v>
      </c>
      <c r="I112" s="334" t="n">
        <v>1</v>
      </c>
      <c r="J112" s="487"/>
      <c r="K112" s="334"/>
      <c r="L112" s="333"/>
      <c r="M112" s="334"/>
      <c r="N112" s="487"/>
      <c r="O112" s="489"/>
      <c r="P112" s="345" t="n">
        <f aca="false">SUM(I112:O112)</f>
        <v>1</v>
      </c>
    </row>
    <row r="113" customFormat="false" ht="12.75" hidden="false" customHeight="true" outlineLevel="0" collapsed="false">
      <c r="A113" s="223" t="n">
        <v>3079</v>
      </c>
      <c r="B113" s="108" t="s">
        <v>1305</v>
      </c>
      <c r="C113" s="115" t="s">
        <v>355</v>
      </c>
      <c r="D113" s="36" t="s">
        <v>8</v>
      </c>
      <c r="E113" s="37" t="n">
        <v>41286</v>
      </c>
      <c r="F113" s="16" t="s">
        <v>29</v>
      </c>
      <c r="G113" s="24" t="s">
        <v>70</v>
      </c>
      <c r="H113" s="487"/>
      <c r="I113" s="334"/>
      <c r="J113" s="487"/>
      <c r="K113" s="334"/>
      <c r="L113" s="333"/>
      <c r="M113" s="334"/>
      <c r="N113" s="487"/>
      <c r="O113" s="489"/>
      <c r="P113" s="345" t="n">
        <f aca="false">SUM(I113:O113)</f>
        <v>0</v>
      </c>
    </row>
    <row r="114" customFormat="false" ht="12.75" hidden="false" customHeight="true" outlineLevel="0" collapsed="false">
      <c r="A114" s="223" t="n">
        <v>3027</v>
      </c>
      <c r="B114" s="108" t="s">
        <v>301</v>
      </c>
      <c r="C114" s="108" t="s">
        <v>302</v>
      </c>
      <c r="D114" s="36" t="s">
        <v>8</v>
      </c>
      <c r="E114" s="37" t="n">
        <v>41773</v>
      </c>
      <c r="F114" s="109" t="s">
        <v>129</v>
      </c>
      <c r="G114" s="109" t="n">
        <v>500</v>
      </c>
      <c r="H114" s="487" t="s">
        <v>1346</v>
      </c>
      <c r="I114" s="334" t="n">
        <v>8</v>
      </c>
      <c r="J114" s="487"/>
      <c r="K114" s="334"/>
      <c r="L114" s="333"/>
      <c r="M114" s="334"/>
      <c r="N114" s="487"/>
      <c r="O114" s="489"/>
      <c r="P114" s="345" t="n">
        <f aca="false">SUM(I114:O114)</f>
        <v>8</v>
      </c>
    </row>
    <row r="115" customFormat="false" ht="12.75" hidden="false" customHeight="true" outlineLevel="0" collapsed="false">
      <c r="A115" s="223" t="n">
        <v>3011</v>
      </c>
      <c r="B115" s="108" t="s">
        <v>784</v>
      </c>
      <c r="C115" s="108" t="s">
        <v>271</v>
      </c>
      <c r="D115" s="36" t="s">
        <v>8</v>
      </c>
      <c r="E115" s="37" t="n">
        <v>41927</v>
      </c>
      <c r="F115" s="109" t="s">
        <v>129</v>
      </c>
      <c r="G115" s="109" t="n">
        <v>500</v>
      </c>
      <c r="H115" s="487" t="s">
        <v>1346</v>
      </c>
      <c r="I115" s="334" t="n">
        <v>5</v>
      </c>
      <c r="J115" s="487"/>
      <c r="K115" s="334"/>
      <c r="L115" s="333"/>
      <c r="M115" s="334"/>
      <c r="N115" s="487"/>
      <c r="O115" s="489"/>
      <c r="P115" s="345" t="n">
        <f aca="false">SUM(I115:O115)</f>
        <v>5</v>
      </c>
    </row>
    <row r="116" customFormat="false" ht="12.75" hidden="false" customHeight="true" outlineLevel="0" collapsed="false">
      <c r="A116" s="223" t="n">
        <v>3034</v>
      </c>
      <c r="B116" s="108" t="s">
        <v>808</v>
      </c>
      <c r="C116" s="108" t="s">
        <v>809</v>
      </c>
      <c r="D116" s="36" t="s">
        <v>8</v>
      </c>
      <c r="E116" s="37" t="n">
        <v>41742</v>
      </c>
      <c r="F116" s="109" t="s">
        <v>129</v>
      </c>
      <c r="G116" s="109" t="n">
        <v>500</v>
      </c>
      <c r="H116" s="487" t="s">
        <v>1346</v>
      </c>
      <c r="I116" s="334" t="n">
        <v>1</v>
      </c>
      <c r="J116" s="487"/>
      <c r="K116" s="334"/>
      <c r="L116" s="333"/>
      <c r="M116" s="334"/>
      <c r="N116" s="487"/>
      <c r="O116" s="489"/>
      <c r="P116" s="345" t="n">
        <f aca="false">SUM(I116:O116)</f>
        <v>1</v>
      </c>
    </row>
    <row r="117" customFormat="false" ht="12.75" hidden="false" customHeight="true" outlineLevel="0" collapsed="false">
      <c r="A117" s="223" t="n">
        <v>3044</v>
      </c>
      <c r="B117" s="108" t="s">
        <v>1151</v>
      </c>
      <c r="C117" s="108" t="s">
        <v>127</v>
      </c>
      <c r="D117" s="36" t="s">
        <v>8</v>
      </c>
      <c r="E117" s="37" t="n">
        <v>41660</v>
      </c>
      <c r="F117" s="109" t="s">
        <v>129</v>
      </c>
      <c r="G117" s="109" t="n">
        <v>500</v>
      </c>
      <c r="H117" s="487" t="s">
        <v>1346</v>
      </c>
      <c r="I117" s="334" t="n">
        <v>3</v>
      </c>
      <c r="J117" s="487"/>
      <c r="K117" s="334"/>
      <c r="L117" s="333"/>
      <c r="M117" s="334"/>
      <c r="N117" s="487"/>
      <c r="O117" s="489"/>
      <c r="P117" s="345" t="n">
        <f aca="false">SUM(I117:O117)</f>
        <v>3</v>
      </c>
    </row>
    <row r="118" customFormat="false" ht="12.75" hidden="false" customHeight="true" outlineLevel="0" collapsed="false">
      <c r="A118" s="223" t="n">
        <v>3067</v>
      </c>
      <c r="B118" s="108" t="s">
        <v>1168</v>
      </c>
      <c r="C118" s="108" t="s">
        <v>79</v>
      </c>
      <c r="D118" s="36" t="s">
        <v>8</v>
      </c>
      <c r="E118" s="37" t="n">
        <v>41378</v>
      </c>
      <c r="F118" s="109" t="s">
        <v>129</v>
      </c>
      <c r="G118" s="109" t="n">
        <v>500</v>
      </c>
      <c r="H118" s="487"/>
      <c r="I118" s="334"/>
      <c r="J118" s="487"/>
      <c r="K118" s="334"/>
      <c r="L118" s="333"/>
      <c r="M118" s="334"/>
      <c r="N118" s="487"/>
      <c r="O118" s="489"/>
      <c r="P118" s="345" t="n">
        <f aca="false">SUM(I118:O118)</f>
        <v>0</v>
      </c>
    </row>
    <row r="119" customFormat="false" ht="12.75" hidden="false" customHeight="true" outlineLevel="0" collapsed="false">
      <c r="A119" s="223" t="n">
        <v>3002</v>
      </c>
      <c r="B119" s="108" t="s">
        <v>1222</v>
      </c>
      <c r="C119" s="108" t="s">
        <v>822</v>
      </c>
      <c r="D119" s="36" t="s">
        <v>8</v>
      </c>
      <c r="E119" s="37" t="n">
        <v>41986</v>
      </c>
      <c r="F119" s="109" t="s">
        <v>129</v>
      </c>
      <c r="G119" s="109" t="n">
        <v>563</v>
      </c>
      <c r="H119" s="487" t="s">
        <v>1346</v>
      </c>
      <c r="I119" s="334" t="n">
        <v>9</v>
      </c>
      <c r="J119" s="487"/>
      <c r="K119" s="334"/>
      <c r="L119" s="333"/>
      <c r="M119" s="334"/>
      <c r="N119" s="487"/>
      <c r="O119" s="489"/>
      <c r="P119" s="345" t="n">
        <f aca="false">SUM(I119:O119)</f>
        <v>9</v>
      </c>
    </row>
    <row r="120" customFormat="false" ht="12.75" hidden="false" customHeight="true" outlineLevel="0" collapsed="false">
      <c r="A120" s="493" t="n">
        <v>3099</v>
      </c>
      <c r="B120" s="23" t="s">
        <v>13</v>
      </c>
      <c r="C120" s="23" t="s">
        <v>14</v>
      </c>
      <c r="D120" s="24" t="s">
        <v>8</v>
      </c>
      <c r="E120" s="43" t="n">
        <v>41307</v>
      </c>
      <c r="F120" s="16" t="s">
        <v>9</v>
      </c>
      <c r="G120" s="222" t="n">
        <v>574</v>
      </c>
      <c r="H120" s="487" t="s">
        <v>1346</v>
      </c>
      <c r="I120" s="334" t="n">
        <v>13</v>
      </c>
      <c r="J120" s="487"/>
      <c r="K120" s="334"/>
      <c r="L120" s="333"/>
      <c r="M120" s="334"/>
      <c r="N120" s="487"/>
      <c r="O120" s="489"/>
      <c r="P120" s="345" t="n">
        <f aca="false">SUM(I120:O120)</f>
        <v>13</v>
      </c>
    </row>
    <row r="121" customFormat="false" ht="12.75" hidden="false" customHeight="true" outlineLevel="0" collapsed="false">
      <c r="A121" s="493" t="n">
        <v>3096</v>
      </c>
      <c r="B121" s="23" t="s">
        <v>44</v>
      </c>
      <c r="C121" s="23" t="s">
        <v>45</v>
      </c>
      <c r="D121" s="24" t="s">
        <v>26</v>
      </c>
      <c r="E121" s="43" t="n">
        <v>41620</v>
      </c>
      <c r="F121" s="16" t="s">
        <v>9</v>
      </c>
      <c r="G121" s="222" t="n">
        <v>575</v>
      </c>
      <c r="H121" s="487"/>
      <c r="I121" s="334"/>
      <c r="J121" s="487"/>
      <c r="K121" s="334"/>
      <c r="L121" s="333"/>
      <c r="M121" s="334"/>
      <c r="N121" s="487"/>
      <c r="O121" s="489"/>
      <c r="P121" s="345" t="n">
        <f aca="false">SUM(I121:O121)</f>
        <v>0</v>
      </c>
    </row>
    <row r="122" customFormat="false" ht="15" hidden="false" customHeight="true" outlineLevel="0" collapsed="false">
      <c r="A122" s="493" t="n">
        <v>3090</v>
      </c>
      <c r="B122" s="23" t="s">
        <v>186</v>
      </c>
      <c r="C122" s="23" t="s">
        <v>185</v>
      </c>
      <c r="D122" s="24" t="s">
        <v>8</v>
      </c>
      <c r="E122" s="43" t="n">
        <v>41783</v>
      </c>
      <c r="F122" s="16" t="s">
        <v>9</v>
      </c>
      <c r="G122" s="222" t="n">
        <v>500</v>
      </c>
      <c r="H122" s="487"/>
      <c r="I122" s="334"/>
      <c r="J122" s="487"/>
      <c r="K122" s="334"/>
      <c r="L122" s="333"/>
      <c r="M122" s="334"/>
      <c r="N122" s="487"/>
      <c r="O122" s="489"/>
      <c r="P122" s="345" t="n">
        <f aca="false">SUM(I122:O122)</f>
        <v>0</v>
      </c>
    </row>
    <row r="123" customFormat="false" ht="15" hidden="false" customHeight="true" outlineLevel="0" collapsed="false">
      <c r="A123" s="493" t="n">
        <v>3095</v>
      </c>
      <c r="B123" s="23" t="s">
        <v>328</v>
      </c>
      <c r="C123" s="23" t="s">
        <v>78</v>
      </c>
      <c r="D123" s="24" t="s">
        <v>8</v>
      </c>
      <c r="E123" s="43" t="n">
        <v>41823</v>
      </c>
      <c r="F123" s="16" t="s">
        <v>9</v>
      </c>
      <c r="G123" s="222" t="n">
        <v>500</v>
      </c>
      <c r="H123" s="487" t="s">
        <v>1346</v>
      </c>
      <c r="I123" s="334" t="n">
        <v>7</v>
      </c>
      <c r="J123" s="487"/>
      <c r="K123" s="334"/>
      <c r="L123" s="333"/>
      <c r="M123" s="334"/>
      <c r="N123" s="487"/>
      <c r="O123" s="489"/>
      <c r="P123" s="345" t="n">
        <f aca="false">SUM(I123:O123)</f>
        <v>7</v>
      </c>
    </row>
    <row r="124" customFormat="false" ht="15" hidden="false" customHeight="true" outlineLevel="0" collapsed="false">
      <c r="A124" s="493" t="n">
        <v>3098</v>
      </c>
      <c r="B124" s="23" t="s">
        <v>596</v>
      </c>
      <c r="C124" s="23" t="s">
        <v>455</v>
      </c>
      <c r="D124" s="24" t="s">
        <v>8</v>
      </c>
      <c r="E124" s="43" t="n">
        <v>41280</v>
      </c>
      <c r="F124" s="16" t="s">
        <v>9</v>
      </c>
      <c r="G124" s="222" t="n">
        <v>500</v>
      </c>
      <c r="H124" s="487"/>
      <c r="I124" s="334"/>
      <c r="J124" s="487"/>
      <c r="K124" s="334"/>
      <c r="L124" s="333"/>
      <c r="M124" s="334"/>
      <c r="N124" s="487"/>
      <c r="O124" s="489"/>
      <c r="P124" s="345" t="n">
        <f aca="false">SUM(I124:O124)</f>
        <v>0</v>
      </c>
    </row>
    <row r="125" customFormat="false" ht="15" hidden="false" customHeight="true" outlineLevel="0" collapsed="false">
      <c r="A125" s="493" t="n">
        <v>3094</v>
      </c>
      <c r="B125" s="23" t="s">
        <v>766</v>
      </c>
      <c r="C125" s="23" t="s">
        <v>14</v>
      </c>
      <c r="D125" s="24" t="s">
        <v>8</v>
      </c>
      <c r="E125" s="43" t="n">
        <v>41915</v>
      </c>
      <c r="F125" s="16" t="s">
        <v>9</v>
      </c>
      <c r="G125" s="222" t="n">
        <v>500</v>
      </c>
      <c r="H125" s="487" t="s">
        <v>1346</v>
      </c>
      <c r="I125" s="334" t="n">
        <v>8</v>
      </c>
      <c r="J125" s="487"/>
      <c r="K125" s="334"/>
      <c r="L125" s="333"/>
      <c r="M125" s="334"/>
      <c r="N125" s="487"/>
      <c r="O125" s="489"/>
      <c r="P125" s="345" t="n">
        <f aca="false">SUM(I125:O125)</f>
        <v>8</v>
      </c>
    </row>
    <row r="126" customFormat="false" ht="15" hidden="false" customHeight="true" outlineLevel="0" collapsed="false">
      <c r="A126" s="493" t="n">
        <v>3091</v>
      </c>
      <c r="B126" s="23" t="s">
        <v>843</v>
      </c>
      <c r="C126" s="23" t="s">
        <v>574</v>
      </c>
      <c r="D126" s="24" t="s">
        <v>8</v>
      </c>
      <c r="E126" s="43" t="n">
        <v>41725</v>
      </c>
      <c r="F126" s="16" t="s">
        <v>9</v>
      </c>
      <c r="G126" s="222" t="n">
        <v>500</v>
      </c>
      <c r="H126" s="487"/>
      <c r="I126" s="334"/>
      <c r="J126" s="487"/>
      <c r="K126" s="334"/>
      <c r="L126" s="333"/>
      <c r="M126" s="334"/>
      <c r="N126" s="487"/>
      <c r="O126" s="489"/>
      <c r="P126" s="345" t="n">
        <f aca="false">SUM(I126:O126)</f>
        <v>0</v>
      </c>
    </row>
    <row r="127" customFormat="false" ht="15" hidden="false" customHeight="true" outlineLevel="0" collapsed="false">
      <c r="A127" s="493" t="n">
        <v>3092</v>
      </c>
      <c r="B127" s="23" t="s">
        <v>926</v>
      </c>
      <c r="C127" s="23" t="s">
        <v>771</v>
      </c>
      <c r="D127" s="24" t="s">
        <v>8</v>
      </c>
      <c r="E127" s="43" t="n">
        <v>41793</v>
      </c>
      <c r="F127" s="16" t="s">
        <v>9</v>
      </c>
      <c r="G127" s="222" t="n">
        <v>500</v>
      </c>
      <c r="H127" s="487"/>
      <c r="I127" s="334"/>
      <c r="J127" s="487"/>
      <c r="K127" s="334"/>
      <c r="L127" s="333"/>
      <c r="M127" s="334"/>
      <c r="N127" s="487"/>
      <c r="O127" s="489"/>
      <c r="P127" s="345" t="n">
        <f aca="false">SUM(I127:O127)</f>
        <v>0</v>
      </c>
    </row>
    <row r="128" customFormat="false" ht="15" hidden="false" customHeight="true" outlineLevel="0" collapsed="false">
      <c r="A128" s="493" t="n">
        <v>3093</v>
      </c>
      <c r="B128" s="23" t="s">
        <v>565</v>
      </c>
      <c r="C128" s="23" t="s">
        <v>123</v>
      </c>
      <c r="D128" s="24" t="s">
        <v>8</v>
      </c>
      <c r="E128" s="43" t="n">
        <v>41667</v>
      </c>
      <c r="F128" s="16" t="s">
        <v>9</v>
      </c>
      <c r="G128" s="222" t="n">
        <v>515</v>
      </c>
      <c r="H128" s="487"/>
      <c r="I128" s="334"/>
      <c r="J128" s="487"/>
      <c r="K128" s="334"/>
      <c r="L128" s="333"/>
      <c r="M128" s="334"/>
      <c r="N128" s="487"/>
      <c r="O128" s="489"/>
      <c r="P128" s="345" t="n">
        <f aca="false">SUM(I128:O128)</f>
        <v>0</v>
      </c>
    </row>
    <row r="129" customFormat="false" ht="15" hidden="false" customHeight="true" outlineLevel="0" collapsed="false">
      <c r="A129" s="493" t="n">
        <v>3097</v>
      </c>
      <c r="B129" s="23" t="s">
        <v>1146</v>
      </c>
      <c r="C129" s="23" t="s">
        <v>1145</v>
      </c>
      <c r="D129" s="24" t="s">
        <v>8</v>
      </c>
      <c r="E129" s="43" t="n">
        <v>41639</v>
      </c>
      <c r="F129" s="16" t="s">
        <v>9</v>
      </c>
      <c r="G129" s="222" t="n">
        <v>500</v>
      </c>
      <c r="H129" s="487" t="s">
        <v>1346</v>
      </c>
      <c r="I129" s="334" t="n">
        <v>7</v>
      </c>
      <c r="J129" s="487"/>
      <c r="K129" s="334"/>
      <c r="L129" s="333"/>
      <c r="M129" s="334"/>
      <c r="N129" s="487"/>
      <c r="O129" s="489"/>
      <c r="P129" s="345" t="n">
        <f aca="false">SUM(I129:O129)</f>
        <v>7</v>
      </c>
    </row>
    <row r="130" customFormat="false" ht="15" hidden="false" customHeight="true" outlineLevel="0" collapsed="false">
      <c r="A130" s="493" t="n">
        <v>3080</v>
      </c>
      <c r="B130" s="23" t="s">
        <v>15</v>
      </c>
      <c r="C130" s="23" t="s">
        <v>16</v>
      </c>
      <c r="D130" s="24" t="s">
        <v>8</v>
      </c>
      <c r="E130" s="25" t="n">
        <v>41973</v>
      </c>
      <c r="F130" s="16" t="s">
        <v>17</v>
      </c>
      <c r="G130" s="222" t="n">
        <v>500</v>
      </c>
      <c r="H130" s="487" t="s">
        <v>1346</v>
      </c>
      <c r="I130" s="334" t="n">
        <v>7</v>
      </c>
      <c r="J130" s="487"/>
      <c r="K130" s="334"/>
      <c r="L130" s="333"/>
      <c r="M130" s="334"/>
      <c r="N130" s="487"/>
      <c r="O130" s="489"/>
      <c r="P130" s="345" t="n">
        <f aca="false">SUM(I130:O130)</f>
        <v>7</v>
      </c>
    </row>
    <row r="131" customFormat="false" ht="15" hidden="false" customHeight="true" outlineLevel="0" collapsed="false">
      <c r="A131" s="493" t="n">
        <v>3081</v>
      </c>
      <c r="B131" s="23" t="s">
        <v>313</v>
      </c>
      <c r="C131" s="23" t="s">
        <v>314</v>
      </c>
      <c r="D131" s="24" t="s">
        <v>8</v>
      </c>
      <c r="E131" s="364" t="n">
        <v>41637</v>
      </c>
      <c r="F131" s="16" t="s">
        <v>17</v>
      </c>
      <c r="G131" s="222" t="n">
        <v>500</v>
      </c>
      <c r="H131" s="487"/>
      <c r="I131" s="334"/>
      <c r="J131" s="487"/>
      <c r="K131" s="334"/>
      <c r="L131" s="333"/>
      <c r="M131" s="334"/>
      <c r="N131" s="487"/>
      <c r="O131" s="489"/>
      <c r="P131" s="345" t="n">
        <f aca="false">SUM(I131:O131)</f>
        <v>0</v>
      </c>
    </row>
    <row r="132" customFormat="false" ht="15" hidden="false" customHeight="true" outlineLevel="0" collapsed="false">
      <c r="A132" s="493" t="n">
        <v>3082</v>
      </c>
      <c r="B132" s="23" t="s">
        <v>397</v>
      </c>
      <c r="C132" s="23" t="s">
        <v>398</v>
      </c>
      <c r="D132" s="24" t="s">
        <v>8</v>
      </c>
      <c r="E132" s="25" t="n">
        <v>41792</v>
      </c>
      <c r="F132" s="16" t="s">
        <v>17</v>
      </c>
      <c r="G132" s="222" t="n">
        <v>500</v>
      </c>
      <c r="H132" s="487"/>
      <c r="I132" s="334"/>
      <c r="J132" s="487"/>
      <c r="K132" s="334"/>
      <c r="L132" s="333"/>
      <c r="M132" s="334"/>
      <c r="N132" s="487"/>
      <c r="O132" s="489"/>
      <c r="P132" s="345" t="n">
        <f aca="false">SUM(I132:O132)</f>
        <v>0</v>
      </c>
    </row>
    <row r="133" customFormat="false" ht="15" hidden="false" customHeight="true" outlineLevel="0" collapsed="false">
      <c r="A133" s="493" t="n">
        <v>3083</v>
      </c>
      <c r="B133" s="23" t="s">
        <v>465</v>
      </c>
      <c r="C133" s="23" t="s">
        <v>217</v>
      </c>
      <c r="D133" s="24" t="s">
        <v>8</v>
      </c>
      <c r="E133" s="25" t="n">
        <v>41691</v>
      </c>
      <c r="F133" s="16" t="s">
        <v>17</v>
      </c>
      <c r="G133" s="222" t="n">
        <v>500</v>
      </c>
      <c r="H133" s="487" t="s">
        <v>1346</v>
      </c>
      <c r="I133" s="334" t="n">
        <v>3</v>
      </c>
      <c r="J133" s="487"/>
      <c r="K133" s="334"/>
      <c r="L133" s="333"/>
      <c r="M133" s="334"/>
      <c r="N133" s="487"/>
      <c r="O133" s="489"/>
      <c r="P133" s="345" t="n">
        <f aca="false">SUM(I133:O133)</f>
        <v>3</v>
      </c>
    </row>
    <row r="134" customFormat="false" ht="12.75" hidden="false" customHeight="true" outlineLevel="0" collapsed="false">
      <c r="A134" s="493" t="n">
        <v>3084</v>
      </c>
      <c r="B134" s="23" t="s">
        <v>502</v>
      </c>
      <c r="C134" s="23" t="s">
        <v>37</v>
      </c>
      <c r="D134" s="24" t="s">
        <v>8</v>
      </c>
      <c r="E134" s="25" t="n">
        <v>41762</v>
      </c>
      <c r="F134" s="16" t="s">
        <v>17</v>
      </c>
      <c r="G134" s="222" t="n">
        <v>500</v>
      </c>
      <c r="H134" s="487"/>
      <c r="I134" s="334"/>
      <c r="J134" s="487"/>
      <c r="K134" s="334"/>
      <c r="L134" s="333"/>
      <c r="M134" s="334"/>
      <c r="N134" s="487"/>
      <c r="O134" s="489"/>
      <c r="P134" s="345" t="n">
        <f aca="false">SUM(I134:O134)</f>
        <v>0</v>
      </c>
    </row>
    <row r="135" customFormat="false" ht="12.75" hidden="false" customHeight="true" outlineLevel="0" collapsed="false">
      <c r="A135" s="493" t="n">
        <v>3085</v>
      </c>
      <c r="B135" s="23" t="s">
        <v>697</v>
      </c>
      <c r="C135" s="23" t="s">
        <v>698</v>
      </c>
      <c r="D135" s="24" t="s">
        <v>8</v>
      </c>
      <c r="E135" s="128" t="n">
        <v>41938</v>
      </c>
      <c r="F135" s="16" t="s">
        <v>17</v>
      </c>
      <c r="G135" s="222" t="n">
        <v>500</v>
      </c>
      <c r="H135" s="487" t="s">
        <v>1346</v>
      </c>
      <c r="I135" s="334" t="n">
        <v>3</v>
      </c>
      <c r="J135" s="487"/>
      <c r="K135" s="334"/>
      <c r="L135" s="333"/>
      <c r="M135" s="334"/>
      <c r="N135" s="487"/>
      <c r="O135" s="489"/>
      <c r="P135" s="345" t="n">
        <f aca="false">SUM(I135:O135)</f>
        <v>3</v>
      </c>
    </row>
    <row r="136" customFormat="false" ht="12.75" hidden="false" customHeight="true" outlineLevel="0" collapsed="false">
      <c r="A136" s="493" t="n">
        <v>3086</v>
      </c>
      <c r="B136" s="23" t="s">
        <v>948</v>
      </c>
      <c r="C136" s="23" t="s">
        <v>949</v>
      </c>
      <c r="D136" s="24" t="s">
        <v>8</v>
      </c>
      <c r="E136" s="25" t="n">
        <v>41488</v>
      </c>
      <c r="F136" s="16" t="s">
        <v>17</v>
      </c>
      <c r="G136" s="222" t="n">
        <v>500</v>
      </c>
      <c r="H136" s="487" t="s">
        <v>1346</v>
      </c>
      <c r="I136" s="334" t="n">
        <v>2</v>
      </c>
      <c r="J136" s="487"/>
      <c r="K136" s="334"/>
      <c r="L136" s="333"/>
      <c r="M136" s="334"/>
      <c r="N136" s="487"/>
      <c r="O136" s="489"/>
      <c r="P136" s="345" t="n">
        <f aca="false">SUM(I136:O136)</f>
        <v>2</v>
      </c>
    </row>
    <row r="137" customFormat="false" ht="12.75" hidden="false" customHeight="true" outlineLevel="0" collapsed="false">
      <c r="A137" s="493" t="n">
        <v>3087</v>
      </c>
      <c r="B137" s="23" t="s">
        <v>1002</v>
      </c>
      <c r="C137" s="23" t="s">
        <v>584</v>
      </c>
      <c r="D137" s="24" t="s">
        <v>8</v>
      </c>
      <c r="E137" s="25" t="n">
        <v>41715</v>
      </c>
      <c r="F137" s="16" t="s">
        <v>17</v>
      </c>
      <c r="G137" s="222" t="n">
        <v>500</v>
      </c>
      <c r="H137" s="487"/>
      <c r="I137" s="334"/>
      <c r="J137" s="487"/>
      <c r="K137" s="334"/>
      <c r="L137" s="333"/>
      <c r="M137" s="334"/>
      <c r="N137" s="487"/>
      <c r="O137" s="489"/>
      <c r="P137" s="345" t="n">
        <f aca="false">SUM(I137:O137)</f>
        <v>0</v>
      </c>
    </row>
    <row r="138" customFormat="false" ht="12.75" hidden="false" customHeight="true" outlineLevel="0" collapsed="false">
      <c r="A138" s="493" t="n">
        <v>3088</v>
      </c>
      <c r="B138" s="23" t="s">
        <v>1098</v>
      </c>
      <c r="C138" s="23" t="s">
        <v>1099</v>
      </c>
      <c r="D138" s="24" t="s">
        <v>8</v>
      </c>
      <c r="E138" s="25" t="n">
        <v>41855</v>
      </c>
      <c r="F138" s="16" t="s">
        <v>17</v>
      </c>
      <c r="G138" s="222" t="n">
        <v>500</v>
      </c>
      <c r="H138" s="487" t="s">
        <v>1346</v>
      </c>
      <c r="I138" s="334" t="n">
        <v>4</v>
      </c>
      <c r="J138" s="487"/>
      <c r="K138" s="334"/>
      <c r="L138" s="333"/>
      <c r="M138" s="334"/>
      <c r="N138" s="487"/>
      <c r="O138" s="489"/>
      <c r="P138" s="345" t="n">
        <f aca="false">SUM(I138:O138)</f>
        <v>4</v>
      </c>
    </row>
    <row r="139" customFormat="false" ht="12.75" hidden="false" customHeight="true" outlineLevel="0" collapsed="false">
      <c r="A139" s="493" t="n">
        <v>3089</v>
      </c>
      <c r="B139" s="23" t="s">
        <v>1153</v>
      </c>
      <c r="C139" s="23" t="s">
        <v>417</v>
      </c>
      <c r="D139" s="24" t="s">
        <v>8</v>
      </c>
      <c r="E139" s="25" t="n">
        <v>41313</v>
      </c>
      <c r="F139" s="16" t="s">
        <v>17</v>
      </c>
      <c r="G139" s="222" t="n">
        <v>500</v>
      </c>
      <c r="H139" s="487" t="s">
        <v>1346</v>
      </c>
      <c r="I139" s="334" t="n">
        <v>8</v>
      </c>
      <c r="J139" s="487"/>
      <c r="K139" s="334"/>
      <c r="L139" s="333"/>
      <c r="M139" s="334"/>
      <c r="N139" s="487"/>
      <c r="O139" s="489"/>
      <c r="P139" s="345" t="n">
        <f aca="false">SUM(I139:O139)</f>
        <v>8</v>
      </c>
    </row>
    <row r="140" customFormat="false" ht="12.75" hidden="false" customHeight="true" outlineLevel="0" collapsed="false">
      <c r="A140" s="223" t="n">
        <v>3132</v>
      </c>
      <c r="B140" s="208" t="s">
        <v>840</v>
      </c>
      <c r="C140" s="39" t="s">
        <v>81</v>
      </c>
      <c r="D140" s="14" t="s">
        <v>8</v>
      </c>
      <c r="E140" s="25" t="n">
        <v>41313</v>
      </c>
      <c r="F140" s="16" t="s">
        <v>29</v>
      </c>
      <c r="G140" s="222" t="n">
        <v>500</v>
      </c>
      <c r="H140" s="487" t="s">
        <v>1346</v>
      </c>
      <c r="I140" s="334" t="n">
        <v>7</v>
      </c>
      <c r="J140" s="487"/>
      <c r="K140" s="334"/>
      <c r="L140" s="333"/>
      <c r="M140" s="334"/>
      <c r="N140" s="487"/>
      <c r="O140" s="489"/>
      <c r="P140" s="345" t="n">
        <f aca="false">SUM(I140:O140)</f>
        <v>7</v>
      </c>
    </row>
    <row r="141" customFormat="false" ht="13.5" hidden="false" customHeight="true" outlineLevel="0" collapsed="false">
      <c r="A141" s="223" t="n">
        <v>3133</v>
      </c>
      <c r="B141" s="39" t="s">
        <v>1115</v>
      </c>
      <c r="C141" s="129" t="s">
        <v>406</v>
      </c>
      <c r="D141" s="14" t="s">
        <v>8</v>
      </c>
      <c r="E141" s="73" t="n">
        <v>41823</v>
      </c>
      <c r="F141" s="16" t="s">
        <v>29</v>
      </c>
      <c r="G141" s="222" t="n">
        <v>500</v>
      </c>
      <c r="H141" s="487" t="s">
        <v>1346</v>
      </c>
      <c r="I141" s="334" t="n">
        <v>9</v>
      </c>
      <c r="J141" s="487"/>
      <c r="K141" s="334"/>
      <c r="L141" s="333"/>
      <c r="M141" s="334"/>
      <c r="N141" s="487"/>
      <c r="O141" s="489"/>
      <c r="P141" s="345" t="n">
        <f aca="false">SUM(I141:O141)</f>
        <v>9</v>
      </c>
    </row>
    <row r="142" customFormat="false" ht="12.75" hidden="false" customHeight="true" outlineLevel="0" collapsed="false">
      <c r="A142" s="223" t="n">
        <v>3134</v>
      </c>
      <c r="B142" s="39" t="s">
        <v>856</v>
      </c>
      <c r="C142" s="34" t="s">
        <v>541</v>
      </c>
      <c r="D142" s="14" t="s">
        <v>8</v>
      </c>
      <c r="E142" s="41" t="n">
        <v>41455</v>
      </c>
      <c r="F142" s="16" t="s">
        <v>29</v>
      </c>
      <c r="G142" s="222" t="n">
        <v>500</v>
      </c>
      <c r="H142" s="487" t="s">
        <v>1346</v>
      </c>
      <c r="I142" s="334" t="n">
        <v>7</v>
      </c>
      <c r="J142" s="487"/>
      <c r="K142" s="334"/>
      <c r="L142" s="333"/>
      <c r="M142" s="334"/>
      <c r="N142" s="487"/>
      <c r="O142" s="489"/>
      <c r="P142" s="345" t="n">
        <f aca="false">SUM(I142:O142)</f>
        <v>7</v>
      </c>
    </row>
    <row r="143" customFormat="false" ht="12.75" hidden="false" customHeight="true" outlineLevel="0" collapsed="false">
      <c r="A143" s="365" t="n">
        <v>3135</v>
      </c>
      <c r="B143" s="62" t="s">
        <v>801</v>
      </c>
      <c r="C143" s="62" t="s">
        <v>802</v>
      </c>
      <c r="D143" s="14" t="s">
        <v>8</v>
      </c>
      <c r="E143" s="138" t="n">
        <v>41481</v>
      </c>
      <c r="F143" s="16" t="s">
        <v>34</v>
      </c>
      <c r="G143" s="62" t="n">
        <v>500</v>
      </c>
      <c r="H143" s="488" t="s">
        <v>1346</v>
      </c>
      <c r="I143" s="335" t="n">
        <v>1</v>
      </c>
      <c r="J143" s="488"/>
      <c r="K143" s="335"/>
      <c r="L143" s="355"/>
      <c r="M143" s="335"/>
      <c r="N143" s="488"/>
      <c r="O143" s="492"/>
      <c r="P143" s="354" t="n">
        <f aca="false">SUM(I143:O143)</f>
        <v>1</v>
      </c>
    </row>
    <row r="144" customFormat="false" ht="12.75" hidden="false" customHeight="true" outlineLevel="0" collapsed="false">
      <c r="A144" s="379" t="n">
        <v>3136</v>
      </c>
      <c r="B144" s="100" t="s">
        <v>1359</v>
      </c>
      <c r="C144" s="100" t="s">
        <v>214</v>
      </c>
      <c r="D144" s="88" t="s">
        <v>1360</v>
      </c>
      <c r="E144" s="89" t="n">
        <v>41273</v>
      </c>
      <c r="F144" s="90" t="s">
        <v>12</v>
      </c>
      <c r="G144" s="494" t="n">
        <v>500</v>
      </c>
      <c r="H144" s="333" t="s">
        <v>1351</v>
      </c>
      <c r="I144" s="334" t="n">
        <v>2</v>
      </c>
      <c r="J144" s="487"/>
      <c r="K144" s="334"/>
      <c r="L144" s="333"/>
      <c r="M144" s="334"/>
      <c r="N144" s="487"/>
      <c r="O144" s="489"/>
      <c r="P144" s="345" t="n">
        <f aca="false">SUM(I144:O144)</f>
        <v>2</v>
      </c>
    </row>
    <row r="145" customFormat="false" ht="12.75" hidden="false" customHeight="true" outlineLevel="0" collapsed="false">
      <c r="A145" s="379" t="n">
        <v>3137</v>
      </c>
      <c r="B145" s="40" t="s">
        <v>1361</v>
      </c>
      <c r="C145" s="40" t="s">
        <v>1362</v>
      </c>
      <c r="D145" s="14" t="s">
        <v>1360</v>
      </c>
      <c r="E145" s="59" t="n">
        <v>41185</v>
      </c>
      <c r="F145" s="16" t="s">
        <v>12</v>
      </c>
      <c r="G145" s="495" t="n">
        <v>500</v>
      </c>
      <c r="H145" s="333" t="s">
        <v>1351</v>
      </c>
      <c r="I145" s="334" t="n">
        <v>7</v>
      </c>
      <c r="J145" s="487"/>
      <c r="K145" s="334"/>
      <c r="L145" s="333"/>
      <c r="M145" s="334"/>
      <c r="N145" s="487"/>
      <c r="O145" s="489"/>
      <c r="P145" s="345" t="n">
        <f aca="false">SUM(I145:O145)</f>
        <v>7</v>
      </c>
    </row>
    <row r="146" customFormat="false" ht="12.75" hidden="false" customHeight="true" outlineLevel="0" collapsed="false">
      <c r="A146" s="379" t="n">
        <v>3138</v>
      </c>
      <c r="B146" s="40" t="s">
        <v>1363</v>
      </c>
      <c r="C146" s="40" t="s">
        <v>1364</v>
      </c>
      <c r="D146" s="14" t="s">
        <v>1360</v>
      </c>
      <c r="E146" s="59" t="n">
        <v>41920</v>
      </c>
      <c r="F146" s="16" t="s">
        <v>143</v>
      </c>
      <c r="G146" s="495" t="n">
        <v>500</v>
      </c>
      <c r="H146" s="333" t="s">
        <v>1351</v>
      </c>
      <c r="I146" s="334" t="n">
        <v>7</v>
      </c>
      <c r="J146" s="487"/>
      <c r="K146" s="334"/>
      <c r="L146" s="333"/>
      <c r="M146" s="334"/>
      <c r="N146" s="487"/>
      <c r="O146" s="489"/>
      <c r="P146" s="345" t="n">
        <f aca="false">SUM(I146:O146)</f>
        <v>7</v>
      </c>
    </row>
    <row r="147" customFormat="false" ht="12.75" hidden="false" customHeight="true" outlineLevel="0" collapsed="false">
      <c r="A147" s="379" t="n">
        <v>3139</v>
      </c>
      <c r="B147" s="61" t="s">
        <v>1365</v>
      </c>
      <c r="C147" s="61" t="s">
        <v>1366</v>
      </c>
      <c r="D147" s="14" t="s">
        <v>1360</v>
      </c>
      <c r="E147" s="59" t="n">
        <v>41832</v>
      </c>
      <c r="F147" s="16" t="s">
        <v>129</v>
      </c>
      <c r="G147" s="495" t="n">
        <v>500</v>
      </c>
      <c r="H147" s="333" t="s">
        <v>1351</v>
      </c>
      <c r="I147" s="334" t="n">
        <v>2</v>
      </c>
      <c r="J147" s="487"/>
      <c r="K147" s="334"/>
      <c r="L147" s="333"/>
      <c r="M147" s="334"/>
      <c r="N147" s="487"/>
      <c r="O147" s="489"/>
      <c r="P147" s="345" t="n">
        <f aca="false">SUM(I147:O147)</f>
        <v>2</v>
      </c>
    </row>
    <row r="148" customFormat="false" ht="12.75" hidden="false" customHeight="true" outlineLevel="0" collapsed="false">
      <c r="A148" s="379"/>
      <c r="B148" s="61"/>
      <c r="C148" s="61"/>
      <c r="D148" s="14"/>
      <c r="E148" s="59"/>
      <c r="F148" s="16"/>
      <c r="G148" s="495"/>
      <c r="H148" s="333"/>
      <c r="I148" s="334"/>
      <c r="J148" s="487"/>
      <c r="K148" s="334"/>
      <c r="L148" s="333"/>
      <c r="M148" s="334"/>
      <c r="N148" s="487"/>
      <c r="O148" s="489"/>
      <c r="P148" s="345" t="n">
        <f aca="false">SUM(I148:O148)</f>
        <v>0</v>
      </c>
    </row>
    <row r="149" customFormat="false" ht="12.75" hidden="false" customHeight="true" outlineLevel="0" collapsed="false">
      <c r="A149" s="379"/>
      <c r="B149" s="40"/>
      <c r="C149" s="40"/>
      <c r="D149" s="14"/>
      <c r="E149" s="59"/>
      <c r="F149" s="16"/>
      <c r="G149" s="495"/>
      <c r="H149" s="333"/>
      <c r="I149" s="334"/>
      <c r="J149" s="487"/>
      <c r="K149" s="334"/>
      <c r="L149" s="333"/>
      <c r="M149" s="334"/>
      <c r="N149" s="487"/>
      <c r="O149" s="489"/>
      <c r="P149" s="345" t="n">
        <f aca="false">SUM(I149:O149)</f>
        <v>0</v>
      </c>
    </row>
    <row r="150" customFormat="false" ht="12.75" hidden="false" customHeight="true" outlineLevel="0" collapsed="false">
      <c r="A150" s="379"/>
      <c r="B150" s="13"/>
      <c r="C150" s="13"/>
      <c r="D150" s="14"/>
      <c r="E150" s="59"/>
      <c r="F150" s="16"/>
      <c r="G150" s="495"/>
      <c r="H150" s="333"/>
      <c r="I150" s="334"/>
      <c r="J150" s="487"/>
      <c r="K150" s="334"/>
      <c r="L150" s="333"/>
      <c r="M150" s="334"/>
      <c r="N150" s="487"/>
      <c r="O150" s="489"/>
      <c r="P150" s="345" t="n">
        <f aca="false">SUM(I150:O150)</f>
        <v>0</v>
      </c>
    </row>
    <row r="151" customFormat="false" ht="12.75" hidden="false" customHeight="true" outlineLevel="0" collapsed="false">
      <c r="A151" s="379"/>
      <c r="B151" s="40"/>
      <c r="C151" s="40"/>
      <c r="D151" s="14"/>
      <c r="E151" s="59"/>
      <c r="F151" s="16"/>
      <c r="G151" s="495"/>
      <c r="H151" s="333"/>
      <c r="I151" s="334"/>
      <c r="J151" s="487"/>
      <c r="K151" s="334"/>
      <c r="L151" s="333"/>
      <c r="M151" s="334"/>
      <c r="N151" s="487"/>
      <c r="O151" s="489"/>
      <c r="P151" s="345" t="n">
        <f aca="false">SUM(I151:O151)</f>
        <v>0</v>
      </c>
    </row>
    <row r="152" customFormat="false" ht="12.75" hidden="false" customHeight="true" outlineLevel="0" collapsed="false">
      <c r="A152" s="379"/>
      <c r="B152" s="368"/>
      <c r="C152" s="34"/>
      <c r="D152" s="14"/>
      <c r="E152" s="41"/>
      <c r="F152" s="16"/>
      <c r="G152" s="496"/>
      <c r="H152" s="333"/>
      <c r="I152" s="334"/>
      <c r="J152" s="487"/>
      <c r="K152" s="334"/>
      <c r="L152" s="333"/>
      <c r="M152" s="334"/>
      <c r="N152" s="487"/>
      <c r="O152" s="489"/>
      <c r="P152" s="345" t="n">
        <f aca="false">SUM(I152:O152)</f>
        <v>0</v>
      </c>
    </row>
    <row r="153" customFormat="false" ht="12.75" hidden="false" customHeight="true" outlineLevel="0" collapsed="false">
      <c r="A153" s="379"/>
      <c r="B153" s="61"/>
      <c r="C153" s="61"/>
      <c r="D153" s="14"/>
      <c r="E153" s="59"/>
      <c r="F153" s="16"/>
      <c r="G153" s="495"/>
      <c r="H153" s="333"/>
      <c r="I153" s="334"/>
      <c r="J153" s="487"/>
      <c r="K153" s="334"/>
      <c r="L153" s="333"/>
      <c r="M153" s="334"/>
      <c r="N153" s="487"/>
      <c r="O153" s="489"/>
      <c r="P153" s="345" t="n">
        <f aca="false">SUM(I153:O153)</f>
        <v>0</v>
      </c>
    </row>
    <row r="154" customFormat="false" ht="14.25" hidden="false" customHeight="true" outlineLevel="0" collapsed="false">
      <c r="A154" s="379"/>
      <c r="B154" s="40"/>
      <c r="C154" s="40"/>
      <c r="D154" s="14"/>
      <c r="E154" s="59"/>
      <c r="F154" s="16"/>
      <c r="G154" s="495"/>
      <c r="H154" s="333"/>
      <c r="I154" s="334"/>
      <c r="J154" s="487"/>
      <c r="K154" s="334"/>
      <c r="L154" s="333"/>
      <c r="M154" s="334"/>
      <c r="N154" s="487"/>
      <c r="O154" s="489"/>
      <c r="P154" s="345" t="n">
        <f aca="false">SUM(I154:O154)</f>
        <v>0</v>
      </c>
    </row>
    <row r="155" customFormat="false" ht="14.25" hidden="false" customHeight="true" outlineLevel="0" collapsed="false">
      <c r="A155" s="379"/>
      <c r="B155" s="40"/>
      <c r="C155" s="40"/>
      <c r="D155" s="14"/>
      <c r="E155" s="59"/>
      <c r="F155" s="16"/>
      <c r="G155" s="495"/>
      <c r="H155" s="333"/>
      <c r="I155" s="334"/>
      <c r="J155" s="487"/>
      <c r="K155" s="334"/>
      <c r="L155" s="333"/>
      <c r="M155" s="334"/>
      <c r="N155" s="487"/>
      <c r="O155" s="489"/>
      <c r="P155" s="345" t="n">
        <f aca="false">SUM(I155:O155)</f>
        <v>0</v>
      </c>
    </row>
    <row r="156" customFormat="false" ht="14.25" hidden="false" customHeight="true" outlineLevel="0" collapsed="false">
      <c r="A156" s="379"/>
      <c r="B156" s="119"/>
      <c r="C156" s="119"/>
      <c r="D156" s="85"/>
      <c r="E156" s="59"/>
      <c r="F156" s="72"/>
      <c r="G156" s="495"/>
      <c r="H156" s="333"/>
      <c r="I156" s="334"/>
      <c r="J156" s="487"/>
      <c r="K156" s="334"/>
      <c r="L156" s="333"/>
      <c r="M156" s="334"/>
      <c r="N156" s="487"/>
      <c r="O156" s="489"/>
      <c r="P156" s="345" t="n">
        <f aca="false">SUM(I156:O156)</f>
        <v>0</v>
      </c>
    </row>
    <row r="157" customFormat="false" ht="14.25" hidden="false" customHeight="true" outlineLevel="0" collapsed="false">
      <c r="A157" s="379"/>
      <c r="B157" s="13"/>
      <c r="C157" s="13"/>
      <c r="D157" s="14"/>
      <c r="E157" s="33"/>
      <c r="F157" s="16"/>
      <c r="G157" s="495"/>
      <c r="H157" s="333"/>
      <c r="I157" s="334"/>
      <c r="J157" s="487"/>
      <c r="K157" s="334"/>
      <c r="L157" s="333"/>
      <c r="M157" s="334"/>
      <c r="N157" s="487"/>
      <c r="O157" s="489"/>
      <c r="P157" s="345" t="n">
        <f aca="false">SUM(I157:O157)</f>
        <v>0</v>
      </c>
    </row>
    <row r="158" customFormat="false" ht="14.25" hidden="false" customHeight="true" outlineLevel="0" collapsed="false">
      <c r="A158" s="379"/>
      <c r="B158" s="92"/>
      <c r="C158" s="92"/>
      <c r="D158" s="88"/>
      <c r="E158" s="33"/>
      <c r="F158" s="90"/>
      <c r="G158" s="495"/>
      <c r="H158" s="333"/>
      <c r="I158" s="334"/>
      <c r="J158" s="487"/>
      <c r="K158" s="334"/>
      <c r="L158" s="333"/>
      <c r="M158" s="334"/>
      <c r="N158" s="487"/>
      <c r="O158" s="489"/>
      <c r="P158" s="345" t="n">
        <f aca="false">SUM(I158:O158)</f>
        <v>0</v>
      </c>
    </row>
    <row r="159" customFormat="false" ht="14.25" hidden="false" customHeight="true" outlineLevel="0" collapsed="false">
      <c r="A159" s="379"/>
      <c r="B159" s="13"/>
      <c r="C159" s="13"/>
      <c r="D159" s="14"/>
      <c r="E159" s="33"/>
      <c r="F159" s="16"/>
      <c r="G159" s="495"/>
      <c r="H159" s="333"/>
      <c r="I159" s="334"/>
      <c r="J159" s="487"/>
      <c r="K159" s="334"/>
      <c r="L159" s="333"/>
      <c r="M159" s="334"/>
      <c r="N159" s="487"/>
      <c r="O159" s="489"/>
      <c r="P159" s="345" t="n">
        <f aca="false">SUM(I159:O159)</f>
        <v>0</v>
      </c>
    </row>
    <row r="160" customFormat="false" ht="14.25" hidden="false" customHeight="true" outlineLevel="0" collapsed="false">
      <c r="A160" s="379"/>
      <c r="B160" s="13"/>
      <c r="C160" s="13"/>
      <c r="D160" s="14"/>
      <c r="E160" s="33"/>
      <c r="F160" s="16"/>
      <c r="G160" s="495"/>
      <c r="H160" s="333"/>
      <c r="I160" s="334"/>
      <c r="J160" s="487"/>
      <c r="K160" s="334"/>
      <c r="L160" s="333"/>
      <c r="M160" s="334"/>
      <c r="N160" s="487"/>
      <c r="O160" s="489"/>
      <c r="P160" s="345" t="n">
        <f aca="false">SUM(I160:O160)</f>
        <v>0</v>
      </c>
    </row>
    <row r="161" customFormat="false" ht="14.25" hidden="false" customHeight="true" outlineLevel="0" collapsed="false">
      <c r="A161" s="379"/>
      <c r="B161" s="13"/>
      <c r="C161" s="13"/>
      <c r="D161" s="14"/>
      <c r="E161" s="33"/>
      <c r="F161" s="16"/>
      <c r="G161" s="495"/>
      <c r="H161" s="333"/>
      <c r="I161" s="334"/>
      <c r="J161" s="487"/>
      <c r="K161" s="334"/>
      <c r="L161" s="333"/>
      <c r="M161" s="334"/>
      <c r="N161" s="487"/>
      <c r="O161" s="489"/>
      <c r="P161" s="345" t="n">
        <f aca="false">SUM(I161:O161)</f>
        <v>0</v>
      </c>
    </row>
    <row r="162" customFormat="false" ht="14.25" hidden="false" customHeight="true" outlineLevel="0" collapsed="false">
      <c r="A162" s="379"/>
      <c r="B162" s="13"/>
      <c r="C162" s="13"/>
      <c r="D162" s="14"/>
      <c r="E162" s="33"/>
      <c r="F162" s="72"/>
      <c r="G162" s="495"/>
      <c r="H162" s="333"/>
      <c r="I162" s="334"/>
      <c r="J162" s="487"/>
      <c r="K162" s="334"/>
      <c r="L162" s="333"/>
      <c r="M162" s="334"/>
      <c r="N162" s="487"/>
      <c r="O162" s="489"/>
      <c r="P162" s="345" t="n">
        <f aca="false">SUM(I162:O162)</f>
        <v>0</v>
      </c>
    </row>
    <row r="163" customFormat="false" ht="14.25" hidden="false" customHeight="true" outlineLevel="0" collapsed="false">
      <c r="A163" s="379"/>
      <c r="B163" s="13"/>
      <c r="C163" s="13"/>
      <c r="D163" s="14"/>
      <c r="E163" s="33"/>
      <c r="F163" s="16"/>
      <c r="G163" s="495"/>
      <c r="H163" s="333"/>
      <c r="I163" s="334"/>
      <c r="J163" s="487"/>
      <c r="K163" s="334"/>
      <c r="L163" s="333"/>
      <c r="M163" s="334"/>
      <c r="N163" s="487"/>
      <c r="O163" s="489"/>
      <c r="P163" s="345" t="n">
        <f aca="false">SUM(I163:O163)</f>
        <v>0</v>
      </c>
    </row>
    <row r="164" customFormat="false" ht="14.25" hidden="false" customHeight="true" outlineLevel="0" collapsed="false">
      <c r="A164" s="379"/>
      <c r="B164" s="13"/>
      <c r="C164" s="13"/>
      <c r="D164" s="14"/>
      <c r="E164" s="33"/>
      <c r="F164" s="16"/>
      <c r="G164" s="495"/>
      <c r="H164" s="333"/>
      <c r="I164" s="334"/>
      <c r="J164" s="487"/>
      <c r="K164" s="334"/>
      <c r="L164" s="333"/>
      <c r="M164" s="334"/>
      <c r="N164" s="487"/>
      <c r="O164" s="489"/>
      <c r="P164" s="345" t="n">
        <f aca="false">SUM(I164:O164)</f>
        <v>0</v>
      </c>
    </row>
    <row r="165" customFormat="false" ht="14.25" hidden="false" customHeight="true" outlineLevel="0" collapsed="false">
      <c r="A165" s="379"/>
      <c r="B165" s="13"/>
      <c r="C165" s="13"/>
      <c r="D165" s="14"/>
      <c r="E165" s="33"/>
      <c r="F165" s="16"/>
      <c r="G165" s="495"/>
      <c r="H165" s="333"/>
      <c r="I165" s="334"/>
      <c r="J165" s="487"/>
      <c r="K165" s="334"/>
      <c r="L165" s="333"/>
      <c r="M165" s="334"/>
      <c r="N165" s="487"/>
      <c r="O165" s="489"/>
      <c r="P165" s="345" t="n">
        <f aca="false">SUM(I165:O165)</f>
        <v>0</v>
      </c>
    </row>
    <row r="166" customFormat="false" ht="14.25" hidden="false" customHeight="true" outlineLevel="0" collapsed="false">
      <c r="A166" s="379"/>
      <c r="B166" s="13"/>
      <c r="C166" s="13"/>
      <c r="D166" s="14"/>
      <c r="E166" s="33"/>
      <c r="F166" s="72"/>
      <c r="G166" s="495"/>
      <c r="H166" s="333"/>
      <c r="I166" s="334"/>
      <c r="J166" s="487"/>
      <c r="K166" s="334"/>
      <c r="L166" s="333"/>
      <c r="M166" s="334"/>
      <c r="N166" s="487"/>
      <c r="O166" s="489"/>
      <c r="P166" s="345" t="n">
        <f aca="false">SUM(I166:O166)</f>
        <v>0</v>
      </c>
    </row>
    <row r="167" customFormat="false" ht="14.25" hidden="false" customHeight="true" outlineLevel="0" collapsed="false">
      <c r="A167" s="379"/>
      <c r="B167" s="13"/>
      <c r="C167" s="13"/>
      <c r="D167" s="14"/>
      <c r="E167" s="33"/>
      <c r="F167" s="16"/>
      <c r="G167" s="495"/>
      <c r="H167" s="333"/>
      <c r="I167" s="334"/>
      <c r="J167" s="487"/>
      <c r="K167" s="334"/>
      <c r="L167" s="333"/>
      <c r="M167" s="334"/>
      <c r="N167" s="487"/>
      <c r="O167" s="489"/>
      <c r="P167" s="345" t="n">
        <f aca="false">SUM(I167:O167)</f>
        <v>0</v>
      </c>
    </row>
    <row r="168" customFormat="false" ht="14.25" hidden="false" customHeight="true" outlineLevel="0" collapsed="false">
      <c r="A168" s="379"/>
      <c r="B168" s="13"/>
      <c r="C168" s="13"/>
      <c r="D168" s="14"/>
      <c r="E168" s="33"/>
      <c r="F168" s="16"/>
      <c r="G168" s="495"/>
      <c r="H168" s="333"/>
      <c r="I168" s="334"/>
      <c r="J168" s="487"/>
      <c r="K168" s="334"/>
      <c r="L168" s="333"/>
      <c r="M168" s="334"/>
      <c r="N168" s="487"/>
      <c r="O168" s="489"/>
      <c r="P168" s="345" t="n">
        <f aca="false">SUM(I168:O168)</f>
        <v>0</v>
      </c>
    </row>
    <row r="169" customFormat="false" ht="14.25" hidden="false" customHeight="true" outlineLevel="0" collapsed="false">
      <c r="A169" s="379"/>
      <c r="B169" s="13"/>
      <c r="C169" s="13"/>
      <c r="D169" s="14"/>
      <c r="E169" s="33"/>
      <c r="F169" s="16"/>
      <c r="G169" s="495"/>
      <c r="H169" s="333"/>
      <c r="I169" s="334"/>
      <c r="J169" s="487"/>
      <c r="K169" s="334"/>
      <c r="L169" s="333"/>
      <c r="M169" s="334"/>
      <c r="N169" s="487"/>
      <c r="O169" s="489"/>
      <c r="P169" s="345" t="n">
        <f aca="false">SUM(I169:O169)</f>
        <v>0</v>
      </c>
    </row>
    <row r="170" customFormat="false" ht="14.25" hidden="false" customHeight="true" outlineLevel="0" collapsed="false">
      <c r="A170" s="379"/>
      <c r="B170" s="40"/>
      <c r="C170" s="40"/>
      <c r="D170" s="14"/>
      <c r="E170" s="59"/>
      <c r="F170" s="16" t="s">
        <v>34</v>
      </c>
      <c r="G170" s="495"/>
      <c r="H170" s="333"/>
      <c r="I170" s="334"/>
      <c r="J170" s="487"/>
      <c r="K170" s="334"/>
      <c r="L170" s="333"/>
      <c r="M170" s="334"/>
      <c r="N170" s="487"/>
      <c r="O170" s="489"/>
      <c r="P170" s="345" t="n">
        <f aca="false">SUM(I170:O170)</f>
        <v>0</v>
      </c>
    </row>
    <row r="171" customFormat="false" ht="13.5" hidden="false" customHeight="true" outlineLevel="0" collapsed="false">
      <c r="A171" s="379"/>
      <c r="B171" s="13"/>
      <c r="C171" s="13"/>
      <c r="D171" s="14"/>
      <c r="E171" s="33"/>
      <c r="F171" s="16" t="s">
        <v>119</v>
      </c>
      <c r="G171" s="497"/>
      <c r="H171" s="333"/>
      <c r="I171" s="334"/>
      <c r="J171" s="487"/>
      <c r="K171" s="334"/>
      <c r="L171" s="333"/>
      <c r="M171" s="334"/>
      <c r="N171" s="487"/>
      <c r="O171" s="489"/>
      <c r="P171" s="345" t="n">
        <f aca="false">SUM(I171:O171)</f>
        <v>0</v>
      </c>
    </row>
    <row r="172" customFormat="false" ht="13.5" hidden="false" customHeight="true" outlineLevel="0" collapsed="false">
      <c r="A172" s="365"/>
      <c r="B172" s="13"/>
      <c r="C172" s="13"/>
      <c r="D172" s="14"/>
      <c r="E172" s="33"/>
      <c r="F172" s="16" t="s">
        <v>143</v>
      </c>
      <c r="G172" s="497"/>
      <c r="H172" s="333"/>
      <c r="I172" s="334"/>
      <c r="J172" s="487"/>
      <c r="K172" s="334"/>
      <c r="L172" s="333"/>
      <c r="M172" s="334"/>
      <c r="N172" s="487"/>
      <c r="O172" s="489"/>
      <c r="P172" s="345" t="n">
        <f aca="false">SUM(I172:O172)</f>
        <v>0</v>
      </c>
    </row>
    <row r="173" customFormat="false" ht="13.5" hidden="false" customHeight="true" outlineLevel="0" collapsed="false">
      <c r="A173" s="379"/>
      <c r="B173" s="13"/>
      <c r="C173" s="13"/>
      <c r="D173" s="14"/>
      <c r="E173" s="33"/>
      <c r="F173" s="72" t="s">
        <v>12</v>
      </c>
      <c r="G173" s="232"/>
      <c r="H173" s="487"/>
      <c r="I173" s="334"/>
      <c r="J173" s="333"/>
      <c r="K173" s="334"/>
      <c r="L173" s="333"/>
      <c r="M173" s="334"/>
      <c r="N173" s="333"/>
      <c r="O173" s="334"/>
      <c r="P173" s="170" t="n">
        <f aca="false">SUM(I173:O173)</f>
        <v>0</v>
      </c>
    </row>
    <row r="174" customFormat="false" ht="13.5" hidden="false" customHeight="true" outlineLevel="0" collapsed="false">
      <c r="A174" s="498"/>
      <c r="B174" s="223"/>
      <c r="C174" s="223"/>
      <c r="D174" s="135"/>
      <c r="E174" s="32"/>
      <c r="F174" s="72" t="s">
        <v>12</v>
      </c>
      <c r="G174" s="497"/>
      <c r="H174" s="333"/>
      <c r="I174" s="334"/>
      <c r="J174" s="487"/>
      <c r="K174" s="334"/>
      <c r="L174" s="333"/>
      <c r="M174" s="334"/>
      <c r="N174" s="487"/>
      <c r="O174" s="489"/>
      <c r="P174" s="345" t="n">
        <f aca="false">SUM(I174:O174)</f>
        <v>0</v>
      </c>
    </row>
    <row r="175" customFormat="false" ht="12.75" hidden="false" customHeight="true" outlineLevel="0" collapsed="false">
      <c r="A175" s="379"/>
      <c r="B175" s="486"/>
      <c r="C175" s="223"/>
      <c r="D175" s="14"/>
      <c r="E175" s="43"/>
      <c r="F175" s="72" t="s">
        <v>12</v>
      </c>
      <c r="G175" s="497"/>
      <c r="H175" s="333"/>
      <c r="I175" s="334"/>
      <c r="J175" s="487"/>
      <c r="K175" s="334"/>
      <c r="L175" s="333"/>
      <c r="M175" s="334"/>
      <c r="N175" s="487"/>
      <c r="O175" s="489"/>
      <c r="P175" s="345" t="n">
        <f aca="false">SUM(I175:O175)</f>
        <v>0</v>
      </c>
    </row>
    <row r="176" customFormat="false" ht="12.75" hidden="false" customHeight="true" outlineLevel="0" collapsed="false">
      <c r="B176" s="499"/>
      <c r="C176" s="500"/>
      <c r="D176" s="14"/>
      <c r="E176" s="501"/>
      <c r="F176" s="72" t="s">
        <v>12</v>
      </c>
      <c r="G176" s="502"/>
      <c r="H176" s="333"/>
      <c r="I176" s="334"/>
      <c r="J176" s="487"/>
      <c r="K176" s="334"/>
      <c r="L176" s="333"/>
      <c r="M176" s="334"/>
      <c r="N176" s="487"/>
      <c r="O176" s="489"/>
      <c r="P176" s="345" t="n">
        <f aca="false">SUM(I176:O176)</f>
        <v>0</v>
      </c>
    </row>
    <row r="177" customFormat="false" ht="12.75" hidden="false" customHeight="true" outlineLevel="0" collapsed="false">
      <c r="B177" s="486"/>
      <c r="C177" s="223"/>
      <c r="D177" s="14"/>
      <c r="E177" s="503"/>
      <c r="F177" s="72" t="s">
        <v>12</v>
      </c>
      <c r="G177" s="504"/>
      <c r="H177" s="333"/>
      <c r="I177" s="334"/>
      <c r="J177" s="487"/>
      <c r="K177" s="334"/>
      <c r="L177" s="333"/>
      <c r="M177" s="334"/>
      <c r="N177" s="487"/>
      <c r="O177" s="489"/>
      <c r="P177" s="345" t="n">
        <f aca="false">SUM(I177:O177)</f>
        <v>0</v>
      </c>
    </row>
    <row r="178" customFormat="false" ht="12.75" hidden="false" customHeight="true" outlineLevel="0" collapsed="false">
      <c r="B178" s="486"/>
      <c r="C178" s="223"/>
      <c r="D178" s="14"/>
      <c r="E178" s="503"/>
      <c r="F178" s="72" t="s">
        <v>12</v>
      </c>
      <c r="G178" s="504"/>
      <c r="H178" s="333"/>
      <c r="I178" s="334"/>
      <c r="J178" s="487"/>
      <c r="K178" s="334"/>
      <c r="L178" s="333"/>
      <c r="M178" s="334"/>
      <c r="N178" s="487"/>
      <c r="O178" s="489"/>
      <c r="P178" s="345" t="n">
        <f aca="false">SUM(I178:O178)</f>
        <v>0</v>
      </c>
    </row>
    <row r="179" customFormat="false" ht="12.75" hidden="false" customHeight="true" outlineLevel="0" collapsed="false">
      <c r="B179" s="486"/>
      <c r="C179" s="223"/>
      <c r="D179" s="14"/>
      <c r="E179" s="503"/>
      <c r="F179" s="72" t="s">
        <v>12</v>
      </c>
      <c r="G179" s="504"/>
      <c r="H179" s="333"/>
      <c r="I179" s="334"/>
      <c r="J179" s="487"/>
      <c r="K179" s="334"/>
      <c r="L179" s="333"/>
      <c r="M179" s="334"/>
      <c r="N179" s="487"/>
      <c r="O179" s="489"/>
      <c r="P179" s="345" t="n">
        <f aca="false">SUM(I179:O179)</f>
        <v>0</v>
      </c>
    </row>
    <row r="180" customFormat="false" ht="12.75" hidden="false" customHeight="true" outlineLevel="0" collapsed="false">
      <c r="B180" s="486"/>
      <c r="C180" s="223"/>
      <c r="D180" s="14"/>
      <c r="E180" s="503"/>
      <c r="F180" s="72" t="s">
        <v>12</v>
      </c>
      <c r="G180" s="504"/>
      <c r="H180" s="333"/>
      <c r="I180" s="334"/>
      <c r="J180" s="487"/>
      <c r="K180" s="334"/>
      <c r="L180" s="333"/>
      <c r="M180" s="334"/>
      <c r="N180" s="487"/>
      <c r="O180" s="489"/>
      <c r="P180" s="345" t="n">
        <f aca="false">SUM(I180:O180)</f>
        <v>0</v>
      </c>
    </row>
    <row r="181" customFormat="false" ht="15" hidden="false" customHeight="true" outlineLevel="0" collapsed="false">
      <c r="B181" s="486"/>
      <c r="C181" s="223"/>
      <c r="D181" s="14"/>
      <c r="E181" s="503"/>
      <c r="F181" s="90"/>
      <c r="G181" s="504"/>
      <c r="H181" s="333"/>
      <c r="I181" s="334"/>
      <c r="J181" s="487"/>
      <c r="K181" s="334"/>
      <c r="L181" s="333"/>
      <c r="M181" s="334"/>
      <c r="N181" s="487"/>
      <c r="O181" s="489"/>
      <c r="P181" s="345" t="n">
        <f aca="false">SUM(I181:O181)</f>
        <v>0</v>
      </c>
    </row>
    <row r="182" customFormat="false" ht="12.75" hidden="false" customHeight="true" outlineLevel="0" collapsed="false">
      <c r="B182" s="486"/>
      <c r="C182" s="223"/>
      <c r="D182" s="14"/>
      <c r="E182" s="503"/>
      <c r="F182" s="90"/>
      <c r="G182" s="505"/>
      <c r="H182" s="333"/>
      <c r="I182" s="334"/>
      <c r="J182" s="487"/>
      <c r="K182" s="334"/>
      <c r="L182" s="333"/>
      <c r="M182" s="334"/>
      <c r="N182" s="487"/>
      <c r="O182" s="489"/>
      <c r="P182" s="345" t="n">
        <f aca="false">SUM(I182:O182)</f>
        <v>0</v>
      </c>
    </row>
    <row r="183" customFormat="false" ht="15" hidden="false" customHeight="true" outlineLevel="0" collapsed="false">
      <c r="B183" s="486"/>
      <c r="C183" s="129"/>
      <c r="D183" s="129"/>
      <c r="E183" s="506"/>
      <c r="F183" s="225"/>
      <c r="G183" s="507" t="s">
        <v>1348</v>
      </c>
      <c r="H183" s="473" t="n">
        <f aca="false">COUNTA(H8:H181)</f>
        <v>58</v>
      </c>
      <c r="I183" s="508"/>
      <c r="J183" s="509" t="n">
        <f aca="false">COUNTA(J8:J181)</f>
        <v>0</v>
      </c>
      <c r="K183" s="508" t="s">
        <v>1349</v>
      </c>
      <c r="L183" s="509" t="n">
        <f aca="false">COUNTA(L8:L181)</f>
        <v>0</v>
      </c>
      <c r="M183" s="508"/>
      <c r="N183" s="509" t="n">
        <f aca="false">COUNTA(N8:N181)</f>
        <v>0</v>
      </c>
      <c r="O183" s="510"/>
      <c r="P183" s="345" t="n">
        <f aca="false">COUNTIF(P8:P181,"&gt;0")</f>
        <v>58</v>
      </c>
    </row>
    <row r="184" customFormat="false" ht="14.25" hidden="false" customHeight="true" outlineLevel="0" collapsed="false">
      <c r="D184" s="511"/>
      <c r="E184" s="298"/>
      <c r="F184" s="38"/>
      <c r="G184" s="38"/>
      <c r="H184" s="315"/>
      <c r="I184" s="512"/>
      <c r="J184" s="315"/>
      <c r="K184" s="38"/>
      <c r="L184" s="315"/>
      <c r="M184" s="512"/>
      <c r="N184" s="315"/>
      <c r="O184" s="512"/>
      <c r="P184" s="512"/>
    </row>
    <row r="185" customFormat="false" ht="15.75" hidden="false" customHeight="true" outlineLevel="0" collapsed="false">
      <c r="K185" s="513"/>
      <c r="M185" s="513"/>
    </row>
    <row r="186" customFormat="false" ht="15.75" hidden="false" customHeight="true" outlineLevel="0" collapsed="false">
      <c r="K186" s="513"/>
    </row>
  </sheetData>
  <autoFilter ref="A7:P184"/>
  <mergeCells count="8">
    <mergeCell ref="H4:I4"/>
    <mergeCell ref="J4:K4"/>
    <mergeCell ref="L4:M4"/>
    <mergeCell ref="N4:O4"/>
    <mergeCell ref="H5:I5"/>
    <mergeCell ref="J5:K5"/>
    <mergeCell ref="L5:M5"/>
    <mergeCell ref="N5:O5"/>
  </mergeCells>
  <conditionalFormatting sqref="D140:D142">
    <cfRule type="cellIs" priority="2" operator="equal" aboveAverage="0" equalAverage="0" bottom="0" percent="0" rank="0" text="" dxfId="19">
      <formula>"F"</formula>
    </cfRule>
    <cfRule type="expression" priority="3" aboveAverage="0" equalAverage="0" bottom="0" percent="0" rank="0" text="" dxfId="20">
      <formula>#ref!=$E$5</formula>
    </cfRule>
    <cfRule type="expression" priority="4" aboveAverage="0" equalAverage="0" bottom="0" percent="0" rank="0" text="" dxfId="20">
      <formula>$F140=$E$5</formula>
    </cfRule>
  </conditionalFormatting>
  <conditionalFormatting sqref="A140:A142">
    <cfRule type="duplicateValues" priority="5" aboveAverage="0" equalAverage="0" bottom="0" percent="0" rank="0" text="" dxfId="21"/>
  </conditionalFormatting>
  <conditionalFormatting sqref="D138">
    <cfRule type="cellIs" priority="6" operator="equal" aboveAverage="0" equalAverage="0" bottom="0" percent="0" rank="0" text="" dxfId="19">
      <formula>"F"</formula>
    </cfRule>
    <cfRule type="expression" priority="7" aboveAverage="0" equalAverage="0" bottom="0" percent="0" rank="0" text="" dxfId="20">
      <formula>#ref!=$E$5</formula>
    </cfRule>
    <cfRule type="expression" priority="8" aboveAverage="0" equalAverage="0" bottom="0" percent="0" rank="0" text="" dxfId="20">
      <formula>$F138=$E$5</formula>
    </cfRule>
  </conditionalFormatting>
  <conditionalFormatting sqref="A138:A139">
    <cfRule type="duplicateValues" priority="9" aboveAverage="0" equalAverage="0" bottom="0" percent="0" rank="0" text="" dxfId="21"/>
  </conditionalFormatting>
  <conditionalFormatting sqref="D137">
    <cfRule type="cellIs" priority="10" operator="equal" aboveAverage="0" equalAverage="0" bottom="0" percent="0" rank="0" text="" dxfId="19">
      <formula>"F"</formula>
    </cfRule>
    <cfRule type="expression" priority="11" aboveAverage="0" equalAverage="0" bottom="0" percent="0" rank="0" text="" dxfId="20">
      <formula>#ref!=$E$5</formula>
    </cfRule>
    <cfRule type="expression" priority="12" aboveAverage="0" equalAverage="0" bottom="0" percent="0" rank="0" text="" dxfId="20">
      <formula>$F137=$E$5</formula>
    </cfRule>
  </conditionalFormatting>
  <conditionalFormatting sqref="A137">
    <cfRule type="duplicateValues" priority="13" aboveAverage="0" equalAverage="0" bottom="0" percent="0" rank="0" text="" dxfId="21"/>
  </conditionalFormatting>
  <conditionalFormatting sqref="D8:D136 D143:D183">
    <cfRule type="cellIs" priority="14" operator="equal" aboveAverage="0" equalAverage="0" bottom="0" percent="0" rank="0" text="" dxfId="19">
      <formula>"F"</formula>
    </cfRule>
  </conditionalFormatting>
  <conditionalFormatting sqref="D133:D136">
    <cfRule type="expression" priority="15" aboveAverage="0" equalAverage="0" bottom="0" percent="0" rank="0" text="" dxfId="18">
      <formula>#ref!=$E$5</formula>
    </cfRule>
  </conditionalFormatting>
  <conditionalFormatting sqref="D8:D136">
    <cfRule type="expression" priority="16" aboveAverage="0" equalAverage="0" bottom="0" percent="0" rank="0" text="" dxfId="18">
      <formula>$F8=$E$5</formula>
    </cfRule>
  </conditionalFormatting>
  <conditionalFormatting sqref="D108:D132">
    <cfRule type="expression" priority="17" aboveAverage="0" equalAverage="0" bottom="0" percent="0" rank="0" text="" dxfId="18">
      <formula>#ref!=$E$5</formula>
    </cfRule>
  </conditionalFormatting>
  <conditionalFormatting sqref="A108:A136">
    <cfRule type="duplicateValues" priority="18" aboveAverage="0" equalAverage="0" bottom="0" percent="0" rank="0" text="" dxfId="21"/>
  </conditionalFormatting>
  <conditionalFormatting sqref="D96:D107">
    <cfRule type="expression" priority="19" aboveAverage="0" equalAverage="0" bottom="0" percent="0" rank="0" text="" dxfId="18">
      <formula>#ref!=$E$5</formula>
    </cfRule>
  </conditionalFormatting>
  <conditionalFormatting sqref="D94:D95">
    <cfRule type="expression" priority="20" aboveAverage="0" equalAverage="0" bottom="0" percent="0" rank="0" text="" dxfId="18">
      <formula>#ref!=$E$5</formula>
    </cfRule>
  </conditionalFormatting>
  <conditionalFormatting sqref="A88:A107">
    <cfRule type="duplicateValues" priority="21" aboveAverage="0" equalAverage="0" bottom="0" percent="0" rank="0" text="" dxfId="21"/>
  </conditionalFormatting>
  <conditionalFormatting sqref="D88:D93">
    <cfRule type="expression" priority="22" aboveAverage="0" equalAverage="0" bottom="0" percent="0" rank="0" text="" dxfId="18">
      <formula>#ref!=$E$5</formula>
    </cfRule>
  </conditionalFormatting>
  <conditionalFormatting sqref="F8:F136 F143:F180">
    <cfRule type="expression" priority="23" aboveAverage="0" equalAverage="0" bottom="0" percent="0" rank="0" text="" dxfId="18">
      <formula>$F8=$E$5</formula>
    </cfRule>
  </conditionalFormatting>
  <conditionalFormatting sqref="D30:D87">
    <cfRule type="expression" priority="24" aboveAverage="0" equalAverage="0" bottom="0" percent="0" rank="0" text="" dxfId="18">
      <formula>#ref!=$E$5</formula>
    </cfRule>
  </conditionalFormatting>
  <conditionalFormatting sqref="D8:D29">
    <cfRule type="expression" priority="25" aboveAverage="0" equalAverage="0" bottom="0" percent="0" rank="0" text="" dxfId="18">
      <formula>#ref!=$E$5</formula>
    </cfRule>
  </conditionalFormatting>
  <conditionalFormatting sqref="B173">
    <cfRule type="duplicateValues" priority="26" aboveAverage="0" equalAverage="0" bottom="0" percent="0" rank="0" text="" dxfId="16"/>
    <cfRule type="duplicateValues" priority="27" aboveAverage="0" equalAverage="0" bottom="0" percent="0" rank="0" text="" dxfId="17"/>
    <cfRule type="duplicateValues" priority="28" aboveAverage="0" equalAverage="0" bottom="0" percent="0" rank="0" text="" dxfId="16"/>
  </conditionalFormatting>
  <conditionalFormatting sqref="D143:D183">
    <cfRule type="expression" priority="29" aboveAverage="0" equalAverage="0" bottom="0" percent="0" rank="0" text="" dxfId="18">
      <formula>#ref!=$E$5</formula>
    </cfRule>
  </conditionalFormatting>
  <conditionalFormatting sqref="A173">
    <cfRule type="duplicateValues" priority="30" aboveAverage="0" equalAverage="0" bottom="0" percent="0" rank="0" text="" dxfId="16"/>
  </conditionalFormatting>
  <conditionalFormatting sqref="A175">
    <cfRule type="duplicateValues" priority="31" aboveAverage="0" equalAverage="0" bottom="0" percent="0" rank="0" text="" dxfId="16"/>
    <cfRule type="duplicateValues" priority="32" aboveAverage="0" equalAverage="0" bottom="0" percent="0" rank="0" text="" dxfId="16"/>
  </conditionalFormatting>
  <conditionalFormatting sqref="B172 B174">
    <cfRule type="duplicateValues" priority="33" aboveAverage="0" equalAverage="0" bottom="0" percent="0" rank="0" text="" dxfId="16"/>
    <cfRule type="duplicateValues" priority="34" aboveAverage="0" equalAverage="0" bottom="0" percent="0" rank="0" text="" dxfId="16"/>
    <cfRule type="duplicateValues" priority="35" aboveAverage="0" equalAverage="0" bottom="0" percent="0" rank="0" text="" dxfId="17"/>
  </conditionalFormatting>
  <conditionalFormatting sqref="A172 A174">
    <cfRule type="duplicateValues" priority="36" aboveAverage="0" equalAverage="0" bottom="0" percent="0" rank="0" text="" dxfId="16"/>
    <cfRule type="duplicateValues" priority="37" aboveAverage="0" equalAverage="0" bottom="0" percent="0" rank="0" text="" dxfId="16"/>
  </conditionalFormatting>
  <conditionalFormatting sqref="H8:P25 H27:P28 H29:I30 H31:P32 H33:I34 H35:P36 H37:I39 H40:P44 H45:I45 H46:P47 H49:P49 H50:I50 H51:P54 H55:I55 H56:P57 H59:P61 H62:I62 H63:P64 H65:I65 H66:P66 H67:I69 H70:P71 H72:I72 H73:P76 H77:I78 H79:P79 H80:I83 H84:P92 H93:I94 H95:P99 H100:I100 H101:P106 H108:P109 H110:I110 H111:P111 H112:I113 H114:P114 H115:I115 H116:P121 H122:I122 H123:P125 H126:I126 H127:P136 H137:I137 H138:P142 H143:I144 H145:P147 H148:I148 H149:P156 H157:I157 H158:P158 L29:P30 L33:P34 L37:P39 L45:P45 L50:P50 L55:P55 L62:P62 L65:P65 L67:P69 L72:P72 L77:P78 L80:P83 L93:P94 L100:P100 L110:P110 L112:P113 L115:P115 L122:P122 L126:P126 L137:P137 L143:P144 L148:P148 L157:P157 P26">
    <cfRule type="expression" priority="38" aboveAverage="0" equalAverage="0" bottom="0" percent="0" rank="0" text="" dxfId="18">
      <formula>$F8=$E$5</formula>
    </cfRule>
  </conditionalFormatting>
  <conditionalFormatting sqref="A143:A160 A162:A171">
    <cfRule type="duplicateValues" priority="39" aboveAverage="0" equalAverage="0" bottom="0" percent="0" rank="0" text="" dxfId="16"/>
    <cfRule type="duplicateValues" priority="40" aboveAverage="0" equalAverage="0" bottom="0" percent="0" rank="0" text="" dxfId="16"/>
  </conditionalFormatting>
  <conditionalFormatting sqref="B143:B160 B162:B171">
    <cfRule type="duplicateValues" priority="41" aboveAverage="0" equalAverage="0" bottom="0" percent="0" rank="0" text="" dxfId="16"/>
    <cfRule type="duplicateValues" priority="42" aboveAverage="0" equalAverage="0" bottom="0" percent="0" rank="0" text="" dxfId="17"/>
  </conditionalFormatting>
  <conditionalFormatting sqref="H26:O26 H48:P48 H58:P58 H107:P107 J29:K30 J33:K34 J37:K39 J45:K45 J50:K50 J55:K55 J62:K62 J65:K65 J67:K69 J72:K72 J77:K78 J80:K83 J93:K94 J100:K100 J110:K110 J112:K113 J115:K115 J122:K122 J126:K126 J137:K137 J143:K144 J148:K148 J157:K157 J159:K160 J166:K166">
    <cfRule type="expression" priority="43" aboveAverage="0" equalAverage="0" bottom="0" percent="0" rank="0" text="" dxfId="18">
      <formula>$F26=$E$5</formula>
    </cfRule>
  </conditionalFormatting>
  <conditionalFormatting sqref="B171:C172 B174:D182 B183:P183 D143:D173 E171:E172 E175:E180 E181:F182 G181:O181 G182:P182 H159:I161 H162:P165 H166:I166 H167:P174 H175:O180 J161:K161 L159:P161 L166:P166 P175:P181">
    <cfRule type="expression" priority="44" aboveAverage="0" equalAverage="0" bottom="0" percent="0" rank="0" text="" dxfId="18">
      <formula>#ref!=$E$5</formula>
    </cfRule>
  </conditionalFormatting>
  <conditionalFormatting sqref="B143:B160 B162">
    <cfRule type="duplicateValues" priority="45" aboveAverage="0" equalAverage="0" bottom="0" percent="0" rank="0" text="" dxfId="21"/>
  </conditionalFormatting>
  <conditionalFormatting sqref="A161">
    <cfRule type="duplicateValues" priority="46" aboveAverage="0" equalAverage="0" bottom="0" percent="0" rank="0" text="" dxfId="16"/>
    <cfRule type="duplicateValues" priority="47" aboveAverage="0" equalAverage="0" bottom="0" percent="0" rank="0" text="" dxfId="16"/>
  </conditionalFormatting>
  <dataValidations count="10">
    <dataValidation allowBlank="false" errorStyle="stop" operator="between" showDropDown="false" showErrorMessage="true" showInputMessage="true" sqref="E5 F45 F49:F51 F54:F55 F57:F58 F60:F61 F63:F64 F66:F73 F76 F78:F79 F82:F85 F87:F136 F145 F149 F154 F159:F164 F166:F168 F170:F180" type="list">
      <formula1>#ref!</formula1>
      <formula2>0</formula2>
    </dataValidation>
    <dataValidation allowBlank="true" errorStyle="stop" operator="between" showDropDown="false" showErrorMessage="true" showInputMessage="true" sqref="D8:D136 D143:D172 D174:D183" type="list">
      <formula1>"F,M"</formula1>
      <formula2>0</formula2>
    </dataValidation>
    <dataValidation allowBlank="false" errorStyle="stop" operator="between" showDropDown="false" showErrorMessage="true" showInputMessage="true" sqref="F183" type="list">
      <formula1>"API,ASM,ASV,BUC,CAO,CC2,COS,COU,USBY,USP,VAU"</formula1>
      <formula2>0</formula2>
    </dataValidation>
    <dataValidation allowBlank="true" errorStyle="stop" operator="between" showDropDown="false" showErrorMessage="true" showInputMessage="false" sqref="F156:F157" type="list">
      <formula1>"API,ASM,ASV,TTJ-BUC,CAO,CC2,COS,COU,JOUY,USBY,USP,VAU"</formula1>
      <formula2>0</formula2>
    </dataValidation>
    <dataValidation allowBlank="true" errorStyle="stop" operator="between" showDropDown="false" showErrorMessage="true" showInputMessage="false" sqref="D173" type="list">
      <formula1>"F,M"</formula1>
      <formula2>0</formula2>
    </dataValidation>
    <dataValidation allowBlank="true" errorStyle="stop" operator="between" showDropDown="false" showErrorMessage="true" showInputMessage="true" sqref="D137:D138 D140:D142" type="list">
      <formula1>"F,M"</formula1>
      <formula2>0</formula2>
    </dataValidation>
    <dataValidation allowBlank="true" errorStyle="stop" operator="between" showDropDown="false" showErrorMessage="true" showInputMessage="false" sqref="F158" type="list">
      <formula1>#ref!</formula1>
      <formula2>0</formula2>
    </dataValidation>
    <dataValidation allowBlank="false" errorStyle="stop" operator="between" showDropDown="false" showErrorMessage="true" showInputMessage="true" sqref="F144 F150:F153 F155 F169" type="list">
      <formula1>#ref!</formula1>
      <formula2>0</formula2>
    </dataValidation>
    <dataValidation allowBlank="true" errorStyle="stop" operator="between" showDropDown="false" showErrorMessage="true" showInputMessage="true" sqref="F181:F182" type="list">
      <formula1>#ref!</formula1>
      <formula2>0</formula2>
    </dataValidation>
    <dataValidation allowBlank="true" errorStyle="stop" operator="between" showDropDown="false" showErrorMessage="true" showInputMessage="false" sqref="F81 F86 F165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39375" top="0.433333333333333" bottom="0.472222222222222" header="0.275694444444444" footer="0.236111111111111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>&amp;CPage &amp;P</oddHeader>
    <oddFooter>&amp;Cle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7" topLeftCell="G41" activePane="bottomRight" state="frozen"/>
      <selection pane="topLeft" activeCell="A1" activeCellId="0" sqref="A1"/>
      <selection pane="topRight" activeCell="G1" activeCellId="0" sqref="G1"/>
      <selection pane="bottomLeft" activeCell="A41" activeCellId="0" sqref="A41"/>
      <selection pane="bottomRight" activeCell="H109" activeCellId="0" sqref="H109"/>
    </sheetView>
  </sheetViews>
  <sheetFormatPr defaultColWidth="10.66796875" defaultRowHeight="12.75" customHeight="true" zeroHeight="false" outlineLevelRow="0" outlineLevelCol="0"/>
  <cols>
    <col collapsed="false" customWidth="true" hidden="false" outlineLevel="0" max="1" min="1" style="2" width="8.67"/>
    <col collapsed="false" customWidth="true" hidden="false" outlineLevel="0" max="2" min="2" style="2" width="31.5"/>
    <col collapsed="false" customWidth="true" hidden="false" outlineLevel="0" max="3" min="3" style="2" width="12.5"/>
    <col collapsed="false" customWidth="true" hidden="false" outlineLevel="0" max="4" min="4" style="2" width="8.5"/>
    <col collapsed="false" customWidth="true" hidden="false" outlineLevel="0" max="5" min="5" style="296" width="13.16"/>
    <col collapsed="false" customWidth="true" hidden="false" outlineLevel="0" max="6" min="6" style="1" width="11.5"/>
    <col collapsed="false" customWidth="true" hidden="false" outlineLevel="0" max="7" min="7" style="1" width="7"/>
    <col collapsed="false" customWidth="true" hidden="false" outlineLevel="0" max="8" min="8" style="2" width="8.16"/>
    <col collapsed="false" customWidth="true" hidden="false" outlineLevel="0" max="9" min="9" style="2" width="7.16"/>
    <col collapsed="false" customWidth="true" hidden="false" outlineLevel="0" max="10" min="10" style="1" width="8.16"/>
    <col collapsed="false" customWidth="true" hidden="false" outlineLevel="0" max="11" min="11" style="2" width="7.16"/>
    <col collapsed="false" customWidth="true" hidden="false" outlineLevel="0" max="12" min="12" style="2" width="8.16"/>
    <col collapsed="false" customWidth="true" hidden="false" outlineLevel="0" max="13" min="13" style="2" width="9.33"/>
    <col collapsed="false" customWidth="true" hidden="false" outlineLevel="0" max="14" min="14" style="2" width="8.16"/>
    <col collapsed="false" customWidth="true" hidden="false" outlineLevel="0" max="15" min="15" style="2" width="7.16"/>
    <col collapsed="false" customWidth="true" hidden="false" outlineLevel="0" max="16" min="16" style="1" width="11.5"/>
  </cols>
  <sheetData>
    <row r="1" customFormat="false" ht="17.25" hidden="false" customHeight="true" outlineLevel="0" collapsed="false">
      <c r="B1" s="307" t="str">
        <f aca="false">Poussins!B1</f>
        <v>TOURNOI DE LA VALLEE DE CHEVREUSE 2025-2026</v>
      </c>
      <c r="C1" s="308"/>
      <c r="D1" s="308"/>
      <c r="E1" s="514"/>
      <c r="F1" s="309"/>
      <c r="G1" s="309"/>
      <c r="Z1" s="311"/>
    </row>
    <row r="2" customFormat="false" ht="25.5" hidden="false" customHeight="true" outlineLevel="0" collapsed="false">
      <c r="Z2" s="311"/>
    </row>
    <row r="3" customFormat="false" ht="17.25" hidden="false" customHeight="true" outlineLevel="0" collapsed="false">
      <c r="B3" s="515" t="s">
        <v>1367</v>
      </c>
      <c r="C3" s="515"/>
      <c r="D3" s="515"/>
      <c r="E3" s="515"/>
      <c r="H3" s="316"/>
      <c r="I3" s="316"/>
      <c r="J3" s="479"/>
      <c r="K3" s="316"/>
      <c r="L3" s="316"/>
      <c r="M3" s="316"/>
      <c r="N3" s="316"/>
      <c r="O3" s="316"/>
      <c r="Z3" s="311"/>
    </row>
    <row r="4" customFormat="false" ht="12.75" hidden="false" customHeight="true" outlineLevel="0" collapsed="false">
      <c r="C4" s="1" t="s">
        <v>1330</v>
      </c>
      <c r="D4" s="1"/>
      <c r="H4" s="317" t="s">
        <v>1331</v>
      </c>
      <c r="I4" s="317"/>
      <c r="J4" s="317" t="s">
        <v>1332</v>
      </c>
      <c r="K4" s="317"/>
      <c r="L4" s="317" t="s">
        <v>1333</v>
      </c>
      <c r="M4" s="317"/>
      <c r="N4" s="317" t="s">
        <v>1334</v>
      </c>
      <c r="O4" s="317"/>
      <c r="Z4" s="311"/>
    </row>
    <row r="5" customFormat="false" ht="12.75" hidden="false" customHeight="true" outlineLevel="0" collapsed="false">
      <c r="C5" s="318" t="s">
        <v>1335</v>
      </c>
      <c r="D5" s="318"/>
      <c r="E5" s="516" t="s">
        <v>1355</v>
      </c>
      <c r="H5" s="320" t="n">
        <f aca="false">Poussins!H5</f>
        <v>45991</v>
      </c>
      <c r="I5" s="320"/>
      <c r="J5" s="320" t="n">
        <f aca="false">Poussins!J5</f>
        <v>46040</v>
      </c>
      <c r="K5" s="320"/>
      <c r="L5" s="320" t="n">
        <f aca="false">Poussins!L5</f>
        <v>46103</v>
      </c>
      <c r="M5" s="320"/>
      <c r="N5" s="320" t="n">
        <f aca="false">Poussins!N5</f>
        <v>46180</v>
      </c>
      <c r="O5" s="320"/>
      <c r="Z5" s="311"/>
    </row>
    <row r="6" customFormat="false" ht="12.75" hidden="false" customHeight="true" outlineLevel="0" collapsed="false">
      <c r="H6" s="323"/>
      <c r="I6" s="324"/>
      <c r="J6" s="321"/>
      <c r="K6" s="324"/>
      <c r="L6" s="390"/>
      <c r="M6" s="324"/>
      <c r="N6" s="390"/>
      <c r="O6" s="324"/>
      <c r="Z6" s="311"/>
    </row>
    <row r="7" customFormat="false" ht="12.75" hidden="false" customHeight="true" outlineLevel="0" collapsed="false">
      <c r="A7" s="481" t="s">
        <v>0</v>
      </c>
      <c r="B7" s="517" t="s">
        <v>1</v>
      </c>
      <c r="C7" s="481" t="s">
        <v>2</v>
      </c>
      <c r="D7" s="481" t="s">
        <v>3</v>
      </c>
      <c r="E7" s="518" t="s">
        <v>4</v>
      </c>
      <c r="F7" s="236" t="s">
        <v>5</v>
      </c>
      <c r="G7" s="482" t="s">
        <v>995</v>
      </c>
      <c r="H7" s="483" t="s">
        <v>1337</v>
      </c>
      <c r="I7" s="484" t="s">
        <v>1338</v>
      </c>
      <c r="J7" s="485" t="s">
        <v>1339</v>
      </c>
      <c r="K7" s="484" t="s">
        <v>1340</v>
      </c>
      <c r="L7" s="329" t="s">
        <v>1341</v>
      </c>
      <c r="M7" s="484" t="s">
        <v>1342</v>
      </c>
      <c r="N7" s="329" t="s">
        <v>1343</v>
      </c>
      <c r="O7" s="484" t="s">
        <v>1344</v>
      </c>
      <c r="P7" s="519" t="s">
        <v>1345</v>
      </c>
      <c r="Z7" s="311"/>
    </row>
    <row r="8" customFormat="false" ht="15" hidden="false" customHeight="true" outlineLevel="0" collapsed="false">
      <c r="A8" s="62" t="n">
        <v>4070</v>
      </c>
      <c r="B8" s="44" t="s">
        <v>146</v>
      </c>
      <c r="C8" s="44" t="s">
        <v>147</v>
      </c>
      <c r="D8" s="24" t="s">
        <v>26</v>
      </c>
      <c r="E8" s="520" t="n">
        <v>41002</v>
      </c>
      <c r="F8" s="16" t="s">
        <v>34</v>
      </c>
      <c r="G8" s="222" t="n">
        <v>500</v>
      </c>
      <c r="H8" s="487"/>
      <c r="I8" s="334"/>
      <c r="J8" s="488"/>
      <c r="K8" s="335"/>
      <c r="L8" s="487"/>
      <c r="M8" s="334"/>
      <c r="N8" s="521"/>
      <c r="O8" s="522"/>
      <c r="P8" s="336" t="n">
        <f aca="false">SUM(I8:O8)</f>
        <v>0</v>
      </c>
    </row>
    <row r="9" customFormat="false" ht="15" hidden="false" customHeight="true" outlineLevel="0" collapsed="false">
      <c r="A9" s="62" t="n">
        <v>4071</v>
      </c>
      <c r="B9" s="44" t="s">
        <v>304</v>
      </c>
      <c r="C9" s="44" t="s">
        <v>127</v>
      </c>
      <c r="D9" s="24" t="s">
        <v>8</v>
      </c>
      <c r="E9" s="520" t="n">
        <v>41263</v>
      </c>
      <c r="F9" s="16" t="s">
        <v>34</v>
      </c>
      <c r="G9" s="222" t="n">
        <v>500</v>
      </c>
      <c r="H9" s="487" t="s">
        <v>1346</v>
      </c>
      <c r="I9" s="334" t="n">
        <v>7</v>
      </c>
      <c r="J9" s="488"/>
      <c r="K9" s="335"/>
      <c r="L9" s="487"/>
      <c r="M9" s="334"/>
      <c r="N9" s="521"/>
      <c r="O9" s="522"/>
      <c r="P9" s="336" t="n">
        <f aca="false">SUM(I9:O9)</f>
        <v>7</v>
      </c>
    </row>
    <row r="10" customFormat="false" ht="15" hidden="false" customHeight="true" outlineLevel="0" collapsed="false">
      <c r="A10" s="62" t="n">
        <v>4072</v>
      </c>
      <c r="B10" s="44" t="s">
        <v>346</v>
      </c>
      <c r="C10" s="44" t="s">
        <v>75</v>
      </c>
      <c r="D10" s="24" t="s">
        <v>8</v>
      </c>
      <c r="E10" s="520" t="n">
        <v>40870</v>
      </c>
      <c r="F10" s="16" t="s">
        <v>34</v>
      </c>
      <c r="G10" s="222" t="n">
        <v>1134</v>
      </c>
      <c r="H10" s="487"/>
      <c r="I10" s="334"/>
      <c r="J10" s="488"/>
      <c r="K10" s="335"/>
      <c r="L10" s="487"/>
      <c r="M10" s="334"/>
      <c r="N10" s="521"/>
      <c r="O10" s="522"/>
      <c r="P10" s="336" t="n">
        <f aca="false">SUM(I10:O10)</f>
        <v>0</v>
      </c>
    </row>
    <row r="11" customFormat="false" ht="15" hidden="false" customHeight="true" outlineLevel="0" collapsed="false">
      <c r="A11" s="62" t="n">
        <v>4083</v>
      </c>
      <c r="B11" s="44" t="s">
        <v>352</v>
      </c>
      <c r="C11" s="44" t="s">
        <v>132</v>
      </c>
      <c r="D11" s="24" t="s">
        <v>8</v>
      </c>
      <c r="E11" s="520" t="n">
        <v>40269</v>
      </c>
      <c r="F11" s="16" t="s">
        <v>34</v>
      </c>
      <c r="G11" s="222" t="n">
        <v>500</v>
      </c>
      <c r="H11" s="487"/>
      <c r="I11" s="334"/>
      <c r="J11" s="488"/>
      <c r="K11" s="335"/>
      <c r="L11" s="487"/>
      <c r="M11" s="334"/>
      <c r="N11" s="521"/>
      <c r="O11" s="522"/>
      <c r="P11" s="336" t="n">
        <f aca="false">SUM(I11:O11)</f>
        <v>0</v>
      </c>
      <c r="Z11" s="311"/>
    </row>
    <row r="12" customFormat="false" ht="15" hidden="false" customHeight="true" outlineLevel="0" collapsed="false">
      <c r="A12" s="62" t="n">
        <v>4073</v>
      </c>
      <c r="B12" s="44" t="s">
        <v>432</v>
      </c>
      <c r="C12" s="44" t="s">
        <v>433</v>
      </c>
      <c r="D12" s="24" t="s">
        <v>26</v>
      </c>
      <c r="E12" s="520" t="n">
        <v>40922</v>
      </c>
      <c r="F12" s="16" t="s">
        <v>34</v>
      </c>
      <c r="G12" s="222" t="n">
        <v>500</v>
      </c>
      <c r="H12" s="487"/>
      <c r="I12" s="334"/>
      <c r="J12" s="488"/>
      <c r="K12" s="335"/>
      <c r="L12" s="487"/>
      <c r="M12" s="334"/>
      <c r="N12" s="521"/>
      <c r="O12" s="522"/>
      <c r="P12" s="336" t="n">
        <f aca="false">SUM(I12:O12)</f>
        <v>0</v>
      </c>
    </row>
    <row r="13" customFormat="false" ht="15" hidden="false" customHeight="true" outlineLevel="0" collapsed="false">
      <c r="A13" s="62" t="n">
        <v>4074</v>
      </c>
      <c r="B13" s="44" t="s">
        <v>575</v>
      </c>
      <c r="C13" s="44" t="s">
        <v>576</v>
      </c>
      <c r="D13" s="24" t="s">
        <v>8</v>
      </c>
      <c r="E13" s="520" t="n">
        <v>41104</v>
      </c>
      <c r="F13" s="16" t="s">
        <v>34</v>
      </c>
      <c r="G13" s="222" t="n">
        <v>940</v>
      </c>
      <c r="H13" s="487"/>
      <c r="I13" s="334"/>
      <c r="J13" s="488"/>
      <c r="K13" s="335"/>
      <c r="L13" s="487"/>
      <c r="M13" s="334"/>
      <c r="N13" s="521"/>
      <c r="O13" s="522"/>
      <c r="P13" s="336" t="n">
        <f aca="false">SUM(I13:O13)</f>
        <v>0</v>
      </c>
      <c r="Z13" s="311"/>
    </row>
    <row r="14" customFormat="false" ht="15" hidden="false" customHeight="true" outlineLevel="0" collapsed="false">
      <c r="A14" s="62" t="n">
        <v>4075</v>
      </c>
      <c r="B14" s="44" t="s">
        <v>579</v>
      </c>
      <c r="C14" s="44" t="s">
        <v>31</v>
      </c>
      <c r="D14" s="24" t="s">
        <v>8</v>
      </c>
      <c r="E14" s="520" t="n">
        <v>41123</v>
      </c>
      <c r="F14" s="16" t="s">
        <v>34</v>
      </c>
      <c r="G14" s="222" t="n">
        <v>500</v>
      </c>
      <c r="H14" s="487"/>
      <c r="I14" s="334"/>
      <c r="J14" s="488"/>
      <c r="K14" s="335"/>
      <c r="L14" s="487"/>
      <c r="M14" s="334"/>
      <c r="N14" s="521"/>
      <c r="O14" s="522"/>
      <c r="P14" s="336" t="n">
        <f aca="false">SUM(I14:O14)</f>
        <v>0</v>
      </c>
    </row>
    <row r="15" customFormat="false" ht="15" hidden="false" customHeight="true" outlineLevel="0" collapsed="false">
      <c r="A15" s="62" t="n">
        <v>4084</v>
      </c>
      <c r="B15" s="44" t="s">
        <v>608</v>
      </c>
      <c r="C15" s="44" t="s">
        <v>609</v>
      </c>
      <c r="D15" s="24" t="s">
        <v>8</v>
      </c>
      <c r="E15" s="520" t="n">
        <v>40165</v>
      </c>
      <c r="F15" s="16" t="s">
        <v>34</v>
      </c>
      <c r="G15" s="222" t="n">
        <v>500</v>
      </c>
      <c r="H15" s="487"/>
      <c r="I15" s="334"/>
      <c r="J15" s="488"/>
      <c r="K15" s="335"/>
      <c r="L15" s="487"/>
      <c r="M15" s="334"/>
      <c r="N15" s="521"/>
      <c r="O15" s="522"/>
      <c r="P15" s="336" t="n">
        <f aca="false">SUM(I15:O15)</f>
        <v>0</v>
      </c>
    </row>
    <row r="16" customFormat="false" ht="15" hidden="false" customHeight="true" outlineLevel="0" collapsed="false">
      <c r="A16" s="62" t="n">
        <v>4076</v>
      </c>
      <c r="B16" s="44" t="s">
        <v>619</v>
      </c>
      <c r="C16" s="44" t="s">
        <v>75</v>
      </c>
      <c r="D16" s="24" t="s">
        <v>8</v>
      </c>
      <c r="E16" s="520" t="n">
        <v>40694</v>
      </c>
      <c r="F16" s="16" t="s">
        <v>34</v>
      </c>
      <c r="G16" s="222" t="n">
        <v>500</v>
      </c>
      <c r="H16" s="487"/>
      <c r="I16" s="334"/>
      <c r="J16" s="488"/>
      <c r="K16" s="335"/>
      <c r="L16" s="487"/>
      <c r="M16" s="334"/>
      <c r="N16" s="521"/>
      <c r="O16" s="522"/>
      <c r="P16" s="336" t="n">
        <f aca="false">SUM(I16:O16)</f>
        <v>0</v>
      </c>
    </row>
    <row r="17" customFormat="false" ht="15" hidden="false" customHeight="true" outlineLevel="0" collapsed="false">
      <c r="A17" s="62" t="n">
        <v>4085</v>
      </c>
      <c r="B17" s="44" t="s">
        <v>632</v>
      </c>
      <c r="C17" s="44" t="s">
        <v>633</v>
      </c>
      <c r="D17" s="24" t="s">
        <v>8</v>
      </c>
      <c r="E17" s="520" t="n">
        <v>40485</v>
      </c>
      <c r="F17" s="16" t="s">
        <v>34</v>
      </c>
      <c r="G17" s="222" t="n">
        <v>983</v>
      </c>
      <c r="H17" s="487"/>
      <c r="I17" s="334"/>
      <c r="J17" s="487"/>
      <c r="K17" s="334"/>
      <c r="L17" s="487"/>
      <c r="M17" s="334"/>
      <c r="N17" s="521"/>
      <c r="O17" s="522"/>
      <c r="P17" s="336" t="n">
        <f aca="false">SUM(I17:O17)</f>
        <v>0</v>
      </c>
    </row>
    <row r="18" customFormat="false" ht="15" hidden="false" customHeight="true" outlineLevel="0" collapsed="false">
      <c r="A18" s="62" t="n">
        <v>4077</v>
      </c>
      <c r="B18" s="44" t="s">
        <v>703</v>
      </c>
      <c r="C18" s="44" t="s">
        <v>527</v>
      </c>
      <c r="D18" s="24" t="s">
        <v>8</v>
      </c>
      <c r="E18" s="520" t="n">
        <v>40932</v>
      </c>
      <c r="F18" s="16" t="s">
        <v>34</v>
      </c>
      <c r="G18" s="222" t="n">
        <v>1036</v>
      </c>
      <c r="H18" s="487"/>
      <c r="I18" s="334"/>
      <c r="J18" s="488"/>
      <c r="K18" s="335"/>
      <c r="L18" s="487"/>
      <c r="M18" s="334"/>
      <c r="N18" s="521"/>
      <c r="O18" s="522"/>
      <c r="P18" s="336" t="n">
        <f aca="false">SUM(I18:O18)</f>
        <v>0</v>
      </c>
    </row>
    <row r="19" customFormat="false" ht="15" hidden="false" customHeight="true" outlineLevel="0" collapsed="false">
      <c r="A19" s="62" t="n">
        <v>4078</v>
      </c>
      <c r="B19" s="44" t="s">
        <v>703</v>
      </c>
      <c r="C19" s="44" t="s">
        <v>260</v>
      </c>
      <c r="D19" s="24" t="s">
        <v>8</v>
      </c>
      <c r="E19" s="520" t="n">
        <v>40932</v>
      </c>
      <c r="F19" s="16" t="s">
        <v>34</v>
      </c>
      <c r="G19" s="222" t="n">
        <v>726</v>
      </c>
      <c r="H19" s="487"/>
      <c r="I19" s="334"/>
      <c r="J19" s="488"/>
      <c r="K19" s="335"/>
      <c r="L19" s="487"/>
      <c r="M19" s="334"/>
      <c r="N19" s="521"/>
      <c r="O19" s="522"/>
      <c r="P19" s="336" t="n">
        <f aca="false">SUM(I19:O19)</f>
        <v>0</v>
      </c>
    </row>
    <row r="20" customFormat="false" ht="15" hidden="false" customHeight="true" outlineLevel="0" collapsed="false">
      <c r="A20" s="62" t="n">
        <v>4086</v>
      </c>
      <c r="B20" s="44" t="s">
        <v>717</v>
      </c>
      <c r="C20" s="44" t="s">
        <v>244</v>
      </c>
      <c r="D20" s="24" t="s">
        <v>8</v>
      </c>
      <c r="E20" s="520" t="n">
        <v>39194</v>
      </c>
      <c r="F20" s="16" t="s">
        <v>34</v>
      </c>
      <c r="G20" s="222" t="n">
        <v>1054</v>
      </c>
      <c r="H20" s="487"/>
      <c r="I20" s="334"/>
      <c r="J20" s="487"/>
      <c r="K20" s="334"/>
      <c r="L20" s="487"/>
      <c r="M20" s="334"/>
      <c r="N20" s="521"/>
      <c r="O20" s="522"/>
      <c r="P20" s="336" t="n">
        <f aca="false">SUM(I20:O20)</f>
        <v>0</v>
      </c>
    </row>
    <row r="21" customFormat="false" ht="15" hidden="false" customHeight="true" outlineLevel="0" collapsed="false">
      <c r="A21" s="62" t="n">
        <v>4079</v>
      </c>
      <c r="B21" s="44" t="s">
        <v>764</v>
      </c>
      <c r="C21" s="44" t="s">
        <v>250</v>
      </c>
      <c r="D21" s="24" t="s">
        <v>8</v>
      </c>
      <c r="E21" s="520" t="n">
        <v>41258</v>
      </c>
      <c r="F21" s="16" t="s">
        <v>34</v>
      </c>
      <c r="G21" s="222" t="n">
        <v>840</v>
      </c>
      <c r="H21" s="487"/>
      <c r="I21" s="334"/>
      <c r="J21" s="488"/>
      <c r="K21" s="335"/>
      <c r="L21" s="487"/>
      <c r="M21" s="334"/>
      <c r="N21" s="521"/>
      <c r="O21" s="522"/>
      <c r="P21" s="336" t="n">
        <f aca="false">SUM(I21:O21)</f>
        <v>0</v>
      </c>
    </row>
    <row r="22" customFormat="false" ht="15" hidden="false" customHeight="true" outlineLevel="0" collapsed="false">
      <c r="A22" s="62" t="n">
        <v>4080</v>
      </c>
      <c r="B22" s="44" t="s">
        <v>801</v>
      </c>
      <c r="C22" s="44" t="s">
        <v>802</v>
      </c>
      <c r="D22" s="24" t="s">
        <v>8</v>
      </c>
      <c r="E22" s="520" t="n">
        <v>40750</v>
      </c>
      <c r="F22" s="16" t="s">
        <v>34</v>
      </c>
      <c r="G22" s="222" t="n">
        <v>500</v>
      </c>
      <c r="H22" s="487"/>
      <c r="I22" s="334"/>
      <c r="J22" s="488"/>
      <c r="K22" s="335"/>
      <c r="L22" s="487"/>
      <c r="M22" s="334"/>
      <c r="N22" s="521"/>
      <c r="O22" s="522"/>
      <c r="P22" s="336" t="n">
        <f aca="false">SUM(I22:O22)</f>
        <v>0</v>
      </c>
      <c r="Z22" s="311"/>
    </row>
    <row r="23" customFormat="false" ht="15" hidden="false" customHeight="true" outlineLevel="0" collapsed="false">
      <c r="A23" s="62" t="n">
        <v>4087</v>
      </c>
      <c r="B23" s="44" t="s">
        <v>815</v>
      </c>
      <c r="C23" s="44" t="s">
        <v>280</v>
      </c>
      <c r="D23" s="24" t="s">
        <v>26</v>
      </c>
      <c r="E23" s="520" t="n">
        <v>39874</v>
      </c>
      <c r="F23" s="16" t="s">
        <v>34</v>
      </c>
      <c r="G23" s="222" t="n">
        <v>500</v>
      </c>
      <c r="H23" s="487"/>
      <c r="I23" s="334"/>
      <c r="J23" s="488"/>
      <c r="K23" s="335"/>
      <c r="L23" s="487"/>
      <c r="M23" s="334"/>
      <c r="N23" s="521"/>
      <c r="O23" s="522"/>
      <c r="P23" s="336" t="n">
        <f aca="false">SUM(I23:O23)</f>
        <v>0</v>
      </c>
    </row>
    <row r="24" customFormat="false" ht="15" hidden="false" customHeight="true" outlineLevel="0" collapsed="false">
      <c r="A24" s="62" t="n">
        <v>4088</v>
      </c>
      <c r="B24" s="44" t="s">
        <v>850</v>
      </c>
      <c r="C24" s="44" t="s">
        <v>851</v>
      </c>
      <c r="D24" s="24" t="s">
        <v>8</v>
      </c>
      <c r="E24" s="520" t="n">
        <v>40049</v>
      </c>
      <c r="F24" s="16" t="s">
        <v>34</v>
      </c>
      <c r="G24" s="222" t="n">
        <v>1113</v>
      </c>
      <c r="H24" s="487"/>
      <c r="I24" s="334"/>
      <c r="J24" s="488"/>
      <c r="K24" s="335"/>
      <c r="L24" s="487"/>
      <c r="M24" s="334"/>
      <c r="N24" s="523"/>
      <c r="O24" s="522"/>
      <c r="P24" s="336" t="n">
        <f aca="false">SUM(I24:O24)</f>
        <v>0</v>
      </c>
    </row>
    <row r="25" customFormat="false" ht="15" hidden="false" customHeight="true" outlineLevel="0" collapsed="false">
      <c r="A25" s="62" t="n">
        <v>4081</v>
      </c>
      <c r="B25" s="44" t="s">
        <v>899</v>
      </c>
      <c r="C25" s="44" t="s">
        <v>900</v>
      </c>
      <c r="D25" s="24" t="s">
        <v>26</v>
      </c>
      <c r="E25" s="520" t="n">
        <v>41135</v>
      </c>
      <c r="F25" s="16" t="s">
        <v>34</v>
      </c>
      <c r="G25" s="222" t="n">
        <v>785</v>
      </c>
      <c r="H25" s="487"/>
      <c r="I25" s="334"/>
      <c r="J25" s="488"/>
      <c r="K25" s="335"/>
      <c r="L25" s="487"/>
      <c r="M25" s="334"/>
      <c r="N25" s="523"/>
      <c r="O25" s="522"/>
      <c r="P25" s="336" t="n">
        <f aca="false">SUM(I25:O25)</f>
        <v>0</v>
      </c>
    </row>
    <row r="26" customFormat="false" ht="15" hidden="false" customHeight="true" outlineLevel="0" collapsed="false">
      <c r="A26" s="62" t="n">
        <v>4089</v>
      </c>
      <c r="B26" s="44" t="s">
        <v>945</v>
      </c>
      <c r="C26" s="44" t="s">
        <v>76</v>
      </c>
      <c r="D26" s="24" t="s">
        <v>8</v>
      </c>
      <c r="E26" s="520" t="n">
        <v>40048</v>
      </c>
      <c r="F26" s="16" t="s">
        <v>34</v>
      </c>
      <c r="G26" s="222" t="n">
        <v>610</v>
      </c>
      <c r="H26" s="487" t="s">
        <v>1346</v>
      </c>
      <c r="I26" s="334" t="n">
        <v>8</v>
      </c>
      <c r="J26" s="488"/>
      <c r="K26" s="524"/>
      <c r="L26" s="487"/>
      <c r="M26" s="334"/>
      <c r="N26" s="521"/>
      <c r="O26" s="522"/>
      <c r="P26" s="336" t="n">
        <f aca="false">SUM(I26:O26)</f>
        <v>8</v>
      </c>
    </row>
    <row r="27" customFormat="false" ht="15" hidden="false" customHeight="true" outlineLevel="0" collapsed="false">
      <c r="A27" s="62" t="n">
        <v>4082</v>
      </c>
      <c r="B27" s="44" t="s">
        <v>1096</v>
      </c>
      <c r="C27" s="44" t="s">
        <v>1097</v>
      </c>
      <c r="D27" s="24" t="s">
        <v>8</v>
      </c>
      <c r="E27" s="520" t="n">
        <v>40909</v>
      </c>
      <c r="F27" s="16" t="s">
        <v>34</v>
      </c>
      <c r="G27" s="222" t="n">
        <v>500</v>
      </c>
      <c r="H27" s="487"/>
      <c r="I27" s="334"/>
      <c r="J27" s="488"/>
      <c r="K27" s="335"/>
      <c r="L27" s="487"/>
      <c r="M27" s="334"/>
      <c r="N27" s="523"/>
      <c r="O27" s="522"/>
      <c r="P27" s="336" t="n">
        <f aca="false">SUM(I27:O27)</f>
        <v>0</v>
      </c>
    </row>
    <row r="28" customFormat="false" ht="15" hidden="false" customHeight="true" outlineLevel="0" collapsed="false">
      <c r="A28" s="62" t="n">
        <v>4090</v>
      </c>
      <c r="B28" s="44" t="s">
        <v>1133</v>
      </c>
      <c r="C28" s="44" t="s">
        <v>541</v>
      </c>
      <c r="D28" s="24" t="s">
        <v>8</v>
      </c>
      <c r="E28" s="520" t="n">
        <v>39896</v>
      </c>
      <c r="F28" s="16" t="s">
        <v>34</v>
      </c>
      <c r="G28" s="222" t="n">
        <v>1146</v>
      </c>
      <c r="H28" s="487" t="s">
        <v>1346</v>
      </c>
      <c r="I28" s="334" t="n">
        <v>13</v>
      </c>
      <c r="J28" s="487"/>
      <c r="K28" s="334"/>
      <c r="L28" s="487"/>
      <c r="M28" s="334"/>
      <c r="N28" s="521"/>
      <c r="O28" s="522"/>
      <c r="P28" s="336" t="n">
        <f aca="false">SUM(I28:O28)</f>
        <v>13</v>
      </c>
    </row>
    <row r="29" customFormat="false" ht="15" hidden="false" customHeight="true" outlineLevel="0" collapsed="false">
      <c r="A29" s="62" t="n">
        <v>4091</v>
      </c>
      <c r="B29" s="44" t="s">
        <v>1147</v>
      </c>
      <c r="C29" s="44" t="s">
        <v>1148</v>
      </c>
      <c r="D29" s="24" t="s">
        <v>8</v>
      </c>
      <c r="E29" s="520" t="n">
        <v>40207</v>
      </c>
      <c r="F29" s="16" t="s">
        <v>34</v>
      </c>
      <c r="G29" s="222" t="n">
        <v>967</v>
      </c>
      <c r="H29" s="487"/>
      <c r="I29" s="334"/>
      <c r="J29" s="487"/>
      <c r="K29" s="334"/>
      <c r="L29" s="487"/>
      <c r="M29" s="334"/>
      <c r="N29" s="521"/>
      <c r="O29" s="522"/>
      <c r="P29" s="336" t="n">
        <f aca="false">SUM(I29:O29)</f>
        <v>0</v>
      </c>
    </row>
    <row r="30" customFormat="false" ht="15" hidden="false" customHeight="true" outlineLevel="0" collapsed="false">
      <c r="A30" s="62" t="n">
        <v>4092</v>
      </c>
      <c r="B30" s="44" t="s">
        <v>1275</v>
      </c>
      <c r="C30" s="44" t="s">
        <v>711</v>
      </c>
      <c r="D30" s="24" t="s">
        <v>8</v>
      </c>
      <c r="E30" s="520" t="n">
        <v>40501</v>
      </c>
      <c r="F30" s="16" t="s">
        <v>34</v>
      </c>
      <c r="G30" s="222" t="n">
        <v>500</v>
      </c>
      <c r="H30" s="487"/>
      <c r="I30" s="334"/>
      <c r="J30" s="488"/>
      <c r="K30" s="335"/>
      <c r="L30" s="487"/>
      <c r="M30" s="334"/>
      <c r="N30" s="523"/>
      <c r="O30" s="522"/>
      <c r="P30" s="336" t="n">
        <f aca="false">SUM(I30:O30)</f>
        <v>0</v>
      </c>
    </row>
    <row r="31" customFormat="false" ht="15" hidden="false" customHeight="true" outlineLevel="0" collapsed="false">
      <c r="A31" s="62" t="n">
        <v>4095</v>
      </c>
      <c r="B31" s="208" t="s">
        <v>117</v>
      </c>
      <c r="C31" s="39" t="s">
        <v>118</v>
      </c>
      <c r="D31" s="105" t="s">
        <v>8</v>
      </c>
      <c r="E31" s="525" t="n">
        <v>40909</v>
      </c>
      <c r="F31" s="105" t="s">
        <v>119</v>
      </c>
      <c r="G31" s="225" t="n">
        <v>500</v>
      </c>
      <c r="H31" s="487" t="s">
        <v>1346</v>
      </c>
      <c r="I31" s="334" t="n">
        <v>2</v>
      </c>
      <c r="J31" s="488"/>
      <c r="K31" s="335"/>
      <c r="L31" s="487"/>
      <c r="M31" s="334"/>
      <c r="N31" s="521"/>
      <c r="O31" s="522"/>
      <c r="P31" s="336" t="n">
        <f aca="false">SUM(I31:O31)</f>
        <v>2</v>
      </c>
    </row>
    <row r="32" customFormat="false" ht="15" hidden="false" customHeight="true" outlineLevel="0" collapsed="false">
      <c r="A32" s="62" t="n">
        <v>4093</v>
      </c>
      <c r="B32" s="238" t="s">
        <v>1049</v>
      </c>
      <c r="C32" s="39" t="s">
        <v>246</v>
      </c>
      <c r="D32" s="105" t="s">
        <v>8</v>
      </c>
      <c r="E32" s="525" t="n">
        <v>40544</v>
      </c>
      <c r="F32" s="105" t="s">
        <v>119</v>
      </c>
      <c r="G32" s="225" t="n">
        <v>500</v>
      </c>
      <c r="H32" s="487" t="s">
        <v>1346</v>
      </c>
      <c r="I32" s="334" t="n">
        <v>8</v>
      </c>
      <c r="J32" s="488"/>
      <c r="K32" s="335"/>
      <c r="L32" s="487"/>
      <c r="M32" s="334"/>
      <c r="N32" s="523"/>
      <c r="O32" s="522"/>
      <c r="P32" s="336" t="n">
        <f aca="false">SUM(I32:O32)</f>
        <v>8</v>
      </c>
    </row>
    <row r="33" customFormat="false" ht="15" hidden="false" customHeight="true" outlineLevel="0" collapsed="false">
      <c r="A33" s="62" t="n">
        <v>4096</v>
      </c>
      <c r="B33" s="208" t="s">
        <v>938</v>
      </c>
      <c r="C33" s="208" t="s">
        <v>734</v>
      </c>
      <c r="D33" s="105" t="s">
        <v>8</v>
      </c>
      <c r="E33" s="525" t="n">
        <v>40544</v>
      </c>
      <c r="F33" s="105" t="s">
        <v>119</v>
      </c>
      <c r="G33" s="225" t="n">
        <v>500</v>
      </c>
      <c r="H33" s="487" t="s">
        <v>1346</v>
      </c>
      <c r="I33" s="334" t="n">
        <v>1</v>
      </c>
      <c r="J33" s="488"/>
      <c r="K33" s="335"/>
      <c r="L33" s="487"/>
      <c r="M33" s="334"/>
      <c r="N33" s="521"/>
      <c r="O33" s="522"/>
      <c r="P33" s="336" t="n">
        <f aca="false">SUM(I33:O33)</f>
        <v>1</v>
      </c>
    </row>
    <row r="34" customFormat="false" ht="15" hidden="false" customHeight="true" outlineLevel="0" collapsed="false">
      <c r="A34" s="62" t="n">
        <v>4094</v>
      </c>
      <c r="B34" s="208" t="s">
        <v>1235</v>
      </c>
      <c r="C34" s="39" t="s">
        <v>127</v>
      </c>
      <c r="D34" s="105" t="s">
        <v>8</v>
      </c>
      <c r="E34" s="525" t="n">
        <v>40544</v>
      </c>
      <c r="F34" s="105" t="s">
        <v>119</v>
      </c>
      <c r="G34" s="225" t="n">
        <v>500</v>
      </c>
      <c r="H34" s="487" t="s">
        <v>1346</v>
      </c>
      <c r="I34" s="334" t="n">
        <v>3</v>
      </c>
      <c r="J34" s="487"/>
      <c r="K34" s="334"/>
      <c r="L34" s="487"/>
      <c r="M34" s="334"/>
      <c r="N34" s="523"/>
      <c r="O34" s="522"/>
      <c r="P34" s="336" t="n">
        <f aca="false">SUM(I34:O34)</f>
        <v>3</v>
      </c>
    </row>
    <row r="35" customFormat="false" ht="15" hidden="false" customHeight="true" outlineLevel="0" collapsed="false">
      <c r="A35" s="62" t="n">
        <v>4019</v>
      </c>
      <c r="B35" s="51" t="s">
        <v>1035</v>
      </c>
      <c r="C35" s="51" t="s">
        <v>83</v>
      </c>
      <c r="D35" s="36" t="s">
        <v>8</v>
      </c>
      <c r="E35" s="37" t="n">
        <v>40958</v>
      </c>
      <c r="F35" s="16" t="s">
        <v>143</v>
      </c>
      <c r="G35" s="24" t="s">
        <v>1036</v>
      </c>
      <c r="H35" s="487"/>
      <c r="I35" s="334"/>
      <c r="J35" s="487"/>
      <c r="K35" s="334"/>
      <c r="L35" s="487"/>
      <c r="M35" s="334"/>
      <c r="N35" s="523"/>
      <c r="O35" s="522"/>
      <c r="P35" s="336" t="n">
        <f aca="false">SUM(I35:O35)</f>
        <v>0</v>
      </c>
    </row>
    <row r="36" customFormat="false" ht="15" hidden="false" customHeight="true" outlineLevel="0" collapsed="false">
      <c r="A36" s="62" t="n">
        <v>4017</v>
      </c>
      <c r="B36" s="51" t="s">
        <v>1231</v>
      </c>
      <c r="C36" s="51" t="s">
        <v>14</v>
      </c>
      <c r="D36" s="36" t="s">
        <v>8</v>
      </c>
      <c r="E36" s="37" t="n">
        <v>40991</v>
      </c>
      <c r="F36" s="16" t="s">
        <v>143</v>
      </c>
      <c r="G36" s="24" t="s">
        <v>70</v>
      </c>
      <c r="H36" s="487" t="s">
        <v>1346</v>
      </c>
      <c r="I36" s="334" t="n">
        <v>3</v>
      </c>
      <c r="J36" s="488"/>
      <c r="K36" s="335"/>
      <c r="L36" s="487"/>
      <c r="M36" s="334"/>
      <c r="N36" s="521"/>
      <c r="O36" s="522"/>
      <c r="P36" s="336" t="n">
        <f aca="false">SUM(I36:O36)</f>
        <v>3</v>
      </c>
    </row>
    <row r="37" customFormat="false" ht="15" hidden="false" customHeight="true" outlineLevel="0" collapsed="false">
      <c r="A37" s="62" t="n">
        <v>4012</v>
      </c>
      <c r="B37" s="51" t="s">
        <v>1282</v>
      </c>
      <c r="C37" s="51" t="s">
        <v>1101</v>
      </c>
      <c r="D37" s="36" t="s">
        <v>8</v>
      </c>
      <c r="E37" s="37" t="n">
        <v>41158</v>
      </c>
      <c r="F37" s="16" t="s">
        <v>143</v>
      </c>
      <c r="G37" s="24" t="s">
        <v>70</v>
      </c>
      <c r="H37" s="487" t="s">
        <v>1346</v>
      </c>
      <c r="I37" s="334" t="n">
        <v>1</v>
      </c>
      <c r="J37" s="487"/>
      <c r="K37" s="334"/>
      <c r="L37" s="487"/>
      <c r="M37" s="334"/>
      <c r="N37" s="523"/>
      <c r="O37" s="522"/>
      <c r="P37" s="336" t="n">
        <f aca="false">SUM(I37:O37)</f>
        <v>1</v>
      </c>
    </row>
    <row r="38" customFormat="false" ht="15" hidden="false" customHeight="true" outlineLevel="0" collapsed="false">
      <c r="A38" s="62" t="n">
        <v>4024</v>
      </c>
      <c r="B38" s="35" t="s">
        <v>98</v>
      </c>
      <c r="C38" s="34" t="s">
        <v>99</v>
      </c>
      <c r="D38" s="36" t="s">
        <v>8</v>
      </c>
      <c r="E38" s="37" t="n">
        <v>40861</v>
      </c>
      <c r="F38" s="16" t="s">
        <v>12</v>
      </c>
      <c r="G38" s="16" t="n">
        <v>647</v>
      </c>
      <c r="H38" s="487" t="s">
        <v>1346</v>
      </c>
      <c r="I38" s="334" t="n">
        <v>8</v>
      </c>
      <c r="J38" s="487"/>
      <c r="K38" s="334"/>
      <c r="L38" s="487"/>
      <c r="M38" s="334"/>
      <c r="N38" s="521"/>
      <c r="O38" s="522"/>
      <c r="P38" s="336" t="n">
        <f aca="false">SUM(I38:O38)</f>
        <v>8</v>
      </c>
    </row>
    <row r="39" customFormat="false" ht="15" hidden="false" customHeight="true" outlineLevel="0" collapsed="false">
      <c r="A39" s="62" t="n">
        <v>4032</v>
      </c>
      <c r="B39" s="35" t="s">
        <v>282</v>
      </c>
      <c r="C39" s="34" t="s">
        <v>284</v>
      </c>
      <c r="D39" s="36" t="s">
        <v>26</v>
      </c>
      <c r="E39" s="37" t="n">
        <v>40711</v>
      </c>
      <c r="F39" s="16" t="s">
        <v>12</v>
      </c>
      <c r="G39" s="16" t="n">
        <v>500</v>
      </c>
      <c r="H39" s="487"/>
      <c r="I39" s="334"/>
      <c r="J39" s="487"/>
      <c r="K39" s="334"/>
      <c r="L39" s="487"/>
      <c r="M39" s="334"/>
      <c r="N39" s="523"/>
      <c r="O39" s="522"/>
      <c r="P39" s="336" t="n">
        <f aca="false">SUM(I39:O39)</f>
        <v>0</v>
      </c>
    </row>
    <row r="40" customFormat="false" ht="15" hidden="false" customHeight="true" outlineLevel="0" collapsed="false">
      <c r="A40" s="62" t="n">
        <v>4021</v>
      </c>
      <c r="B40" s="35" t="s">
        <v>287</v>
      </c>
      <c r="C40" s="34" t="s">
        <v>288</v>
      </c>
      <c r="D40" s="36" t="s">
        <v>26</v>
      </c>
      <c r="E40" s="37" t="n">
        <v>40897</v>
      </c>
      <c r="F40" s="16" t="s">
        <v>12</v>
      </c>
      <c r="G40" s="16" t="n">
        <v>500</v>
      </c>
      <c r="H40" s="487"/>
      <c r="I40" s="334"/>
      <c r="J40" s="487"/>
      <c r="K40" s="334"/>
      <c r="L40" s="487"/>
      <c r="M40" s="334"/>
      <c r="N40" s="523"/>
      <c r="O40" s="522"/>
      <c r="P40" s="336" t="n">
        <f aca="false">SUM(I40:O40)</f>
        <v>0</v>
      </c>
    </row>
    <row r="41" customFormat="false" ht="15" hidden="false" customHeight="true" outlineLevel="0" collapsed="false">
      <c r="A41" s="62" t="n">
        <v>4018</v>
      </c>
      <c r="B41" s="35" t="s">
        <v>597</v>
      </c>
      <c r="C41" s="34" t="s">
        <v>598</v>
      </c>
      <c r="D41" s="36" t="s">
        <v>8</v>
      </c>
      <c r="E41" s="37" t="n">
        <v>40958</v>
      </c>
      <c r="F41" s="16" t="s">
        <v>12</v>
      </c>
      <c r="G41" s="16" t="n">
        <v>500</v>
      </c>
      <c r="H41" s="487"/>
      <c r="I41" s="334"/>
      <c r="J41" s="487"/>
      <c r="K41" s="334"/>
      <c r="L41" s="487"/>
      <c r="M41" s="334"/>
      <c r="N41" s="523"/>
      <c r="O41" s="522"/>
      <c r="P41" s="336" t="n">
        <f aca="false">SUM(I41:O41)</f>
        <v>0</v>
      </c>
    </row>
    <row r="42" customFormat="false" ht="15" hidden="false" customHeight="true" outlineLevel="0" collapsed="false">
      <c r="A42" s="62" t="n">
        <v>4020</v>
      </c>
      <c r="B42" s="35" t="s">
        <v>788</v>
      </c>
      <c r="C42" s="34" t="s">
        <v>790</v>
      </c>
      <c r="D42" s="36" t="s">
        <v>8</v>
      </c>
      <c r="E42" s="37" t="n">
        <v>40905</v>
      </c>
      <c r="F42" s="16" t="s">
        <v>12</v>
      </c>
      <c r="G42" s="16" t="n">
        <v>500</v>
      </c>
      <c r="H42" s="487"/>
      <c r="I42" s="334"/>
      <c r="J42" s="488"/>
      <c r="K42" s="335"/>
      <c r="L42" s="487"/>
      <c r="M42" s="334"/>
      <c r="N42" s="523"/>
      <c r="O42" s="522"/>
      <c r="P42" s="336" t="n">
        <f aca="false">SUM(I42:O42)</f>
        <v>0</v>
      </c>
    </row>
    <row r="43" customFormat="false" ht="15" hidden="false" customHeight="true" outlineLevel="0" collapsed="false">
      <c r="A43" s="62" t="n">
        <v>4009</v>
      </c>
      <c r="B43" s="35" t="s">
        <v>798</v>
      </c>
      <c r="C43" s="34" t="s">
        <v>447</v>
      </c>
      <c r="D43" s="36" t="s">
        <v>8</v>
      </c>
      <c r="E43" s="37" t="n">
        <v>41185</v>
      </c>
      <c r="F43" s="16" t="s">
        <v>12</v>
      </c>
      <c r="G43" s="16" t="n">
        <v>500</v>
      </c>
      <c r="H43" s="487"/>
      <c r="I43" s="334"/>
      <c r="J43" s="488"/>
      <c r="K43" s="335"/>
      <c r="L43" s="487"/>
      <c r="M43" s="334"/>
      <c r="N43" s="523"/>
      <c r="O43" s="522"/>
      <c r="P43" s="336" t="n">
        <f aca="false">SUM(I43:O43)</f>
        <v>0</v>
      </c>
    </row>
    <row r="44" customFormat="false" ht="15" hidden="false" customHeight="true" outlineLevel="0" collapsed="false">
      <c r="A44" s="62" t="n">
        <v>4013</v>
      </c>
      <c r="B44" s="35" t="s">
        <v>852</v>
      </c>
      <c r="C44" s="34" t="s">
        <v>853</v>
      </c>
      <c r="D44" s="36" t="s">
        <v>8</v>
      </c>
      <c r="E44" s="37" t="n">
        <v>41157</v>
      </c>
      <c r="F44" s="16" t="s">
        <v>12</v>
      </c>
      <c r="G44" s="16" t="n">
        <v>619</v>
      </c>
      <c r="H44" s="487" t="s">
        <v>1346</v>
      </c>
      <c r="I44" s="334" t="n">
        <v>7</v>
      </c>
      <c r="J44" s="488"/>
      <c r="K44" s="335"/>
      <c r="L44" s="487"/>
      <c r="M44" s="334"/>
      <c r="N44" s="521"/>
      <c r="O44" s="522"/>
      <c r="P44" s="336" t="n">
        <f aca="false">SUM(I44:O44)</f>
        <v>7</v>
      </c>
    </row>
    <row r="45" customFormat="false" ht="15" hidden="false" customHeight="true" outlineLevel="0" collapsed="false">
      <c r="A45" s="62" t="n">
        <v>4043</v>
      </c>
      <c r="B45" s="35" t="s">
        <v>957</v>
      </c>
      <c r="C45" s="34" t="s">
        <v>958</v>
      </c>
      <c r="D45" s="36" t="s">
        <v>8</v>
      </c>
      <c r="E45" s="130" t="n">
        <v>40428</v>
      </c>
      <c r="F45" s="16" t="s">
        <v>12</v>
      </c>
      <c r="G45" s="16" t="n">
        <v>500</v>
      </c>
      <c r="H45" s="487"/>
      <c r="I45" s="334"/>
      <c r="J45" s="488"/>
      <c r="K45" s="335"/>
      <c r="L45" s="487"/>
      <c r="M45" s="334"/>
      <c r="N45" s="523"/>
      <c r="O45" s="522"/>
      <c r="P45" s="336" t="n">
        <f aca="false">SUM(I45:O45)</f>
        <v>0</v>
      </c>
    </row>
    <row r="46" customFormat="false" ht="15" hidden="false" customHeight="true" outlineLevel="0" collapsed="false">
      <c r="A46" s="62" t="n">
        <v>4040</v>
      </c>
      <c r="B46" s="35" t="s">
        <v>982</v>
      </c>
      <c r="C46" s="34" t="s">
        <v>984</v>
      </c>
      <c r="D46" s="36" t="s">
        <v>8</v>
      </c>
      <c r="E46" s="37" t="n">
        <v>40551</v>
      </c>
      <c r="F46" s="16" t="s">
        <v>12</v>
      </c>
      <c r="G46" s="16" t="n">
        <v>500</v>
      </c>
      <c r="H46" s="487"/>
      <c r="I46" s="334"/>
      <c r="J46" s="488"/>
      <c r="K46" s="335"/>
      <c r="L46" s="487"/>
      <c r="M46" s="334"/>
      <c r="N46" s="523"/>
      <c r="O46" s="522"/>
      <c r="P46" s="336" t="n">
        <f aca="false">SUM(I46:O46)</f>
        <v>0</v>
      </c>
    </row>
    <row r="47" customFormat="false" ht="15" hidden="false" customHeight="true" outlineLevel="0" collapsed="false">
      <c r="A47" s="62" t="n">
        <v>4000</v>
      </c>
      <c r="B47" s="35" t="s">
        <v>1074</v>
      </c>
      <c r="C47" s="34" t="s">
        <v>1075</v>
      </c>
      <c r="D47" s="36" t="s">
        <v>8</v>
      </c>
      <c r="E47" s="37" t="n">
        <v>41273</v>
      </c>
      <c r="F47" s="16" t="s">
        <v>12</v>
      </c>
      <c r="G47" s="16" t="n">
        <v>500</v>
      </c>
      <c r="H47" s="487"/>
      <c r="I47" s="334"/>
      <c r="J47" s="487"/>
      <c r="K47" s="334"/>
      <c r="L47" s="487"/>
      <c r="M47" s="334"/>
      <c r="N47" s="523"/>
      <c r="O47" s="522"/>
      <c r="P47" s="336" t="n">
        <f aca="false">SUM(I47:O47)</f>
        <v>0</v>
      </c>
    </row>
    <row r="48" customFormat="false" ht="16.5" hidden="false" customHeight="true" outlineLevel="0" collapsed="false">
      <c r="A48" s="62" t="n">
        <v>4025</v>
      </c>
      <c r="B48" s="229" t="s">
        <v>1301</v>
      </c>
      <c r="C48" s="230" t="s">
        <v>1302</v>
      </c>
      <c r="D48" s="36" t="s">
        <v>26</v>
      </c>
      <c r="E48" s="37" t="n">
        <v>40861</v>
      </c>
      <c r="F48" s="16" t="s">
        <v>12</v>
      </c>
      <c r="G48" s="16" t="n">
        <v>500</v>
      </c>
      <c r="H48" s="487"/>
      <c r="I48" s="334"/>
      <c r="J48" s="487"/>
      <c r="K48" s="334"/>
      <c r="L48" s="487"/>
      <c r="M48" s="334"/>
      <c r="N48" s="523"/>
      <c r="O48" s="522"/>
      <c r="P48" s="336" t="n">
        <f aca="false">SUM(I48:O48)</f>
        <v>0</v>
      </c>
    </row>
    <row r="49" customFormat="false" ht="15" hidden="false" customHeight="true" outlineLevel="0" collapsed="false">
      <c r="A49" s="62" t="n">
        <v>4029</v>
      </c>
      <c r="B49" s="229" t="s">
        <v>1308</v>
      </c>
      <c r="C49" s="230" t="s">
        <v>1307</v>
      </c>
      <c r="D49" s="36" t="s">
        <v>8</v>
      </c>
      <c r="E49" s="37" t="n">
        <v>40763</v>
      </c>
      <c r="F49" s="16" t="s">
        <v>12</v>
      </c>
      <c r="G49" s="16" t="n">
        <v>514</v>
      </c>
      <c r="H49" s="487" t="s">
        <v>1346</v>
      </c>
      <c r="I49" s="334" t="n">
        <v>8</v>
      </c>
      <c r="J49" s="487"/>
      <c r="K49" s="334"/>
      <c r="L49" s="487"/>
      <c r="M49" s="334"/>
      <c r="N49" s="521"/>
      <c r="O49" s="522"/>
      <c r="P49" s="336" t="n">
        <f aca="false">SUM(I49:O49)</f>
        <v>8</v>
      </c>
    </row>
    <row r="50" customFormat="false" ht="16.5" hidden="false" customHeight="true" outlineLevel="0" collapsed="false">
      <c r="A50" s="62" t="n">
        <v>4001</v>
      </c>
      <c r="B50" s="79" t="s">
        <v>190</v>
      </c>
      <c r="C50" s="79" t="s">
        <v>191</v>
      </c>
      <c r="D50" s="36" t="s">
        <v>26</v>
      </c>
      <c r="E50" s="37" t="n">
        <v>41272</v>
      </c>
      <c r="F50" s="16" t="s">
        <v>52</v>
      </c>
      <c r="G50" s="224" t="s">
        <v>70</v>
      </c>
      <c r="H50" s="487"/>
      <c r="I50" s="334"/>
      <c r="J50" s="487"/>
      <c r="K50" s="334"/>
      <c r="L50" s="487"/>
      <c r="M50" s="334"/>
      <c r="N50" s="523"/>
      <c r="O50" s="522"/>
      <c r="P50" s="336" t="n">
        <f aca="false">SUM(I50:O50)</f>
        <v>0</v>
      </c>
    </row>
    <row r="51" customFormat="false" ht="16.5" hidden="false" customHeight="true" outlineLevel="0" collapsed="false">
      <c r="A51" s="62" t="n">
        <v>4022</v>
      </c>
      <c r="B51" s="79" t="s">
        <v>462</v>
      </c>
      <c r="C51" s="79" t="s">
        <v>107</v>
      </c>
      <c r="D51" s="36" t="s">
        <v>8</v>
      </c>
      <c r="E51" s="37" t="n">
        <v>40870</v>
      </c>
      <c r="F51" s="16" t="s">
        <v>52</v>
      </c>
      <c r="G51" s="224" t="s">
        <v>70</v>
      </c>
      <c r="H51" s="487" t="s">
        <v>1346</v>
      </c>
      <c r="I51" s="334" t="n">
        <v>2</v>
      </c>
      <c r="J51" s="488"/>
      <c r="K51" s="335"/>
      <c r="L51" s="487"/>
      <c r="M51" s="334"/>
      <c r="N51" s="523"/>
      <c r="O51" s="522"/>
      <c r="P51" s="336" t="n">
        <f aca="false">SUM(I51:O51)</f>
        <v>2</v>
      </c>
    </row>
    <row r="52" customFormat="false" ht="16.5" hidden="false" customHeight="true" outlineLevel="0" collapsed="false">
      <c r="A52" s="62" t="n">
        <v>4005</v>
      </c>
      <c r="B52" s="79" t="s">
        <v>657</v>
      </c>
      <c r="C52" s="79" t="s">
        <v>199</v>
      </c>
      <c r="D52" s="36" t="s">
        <v>8</v>
      </c>
      <c r="E52" s="37" t="n">
        <v>41202</v>
      </c>
      <c r="F52" s="16" t="s">
        <v>52</v>
      </c>
      <c r="G52" s="224" t="s">
        <v>70</v>
      </c>
      <c r="H52" s="487"/>
      <c r="I52" s="334"/>
      <c r="J52" s="487"/>
      <c r="K52" s="334"/>
      <c r="L52" s="487"/>
      <c r="M52" s="334"/>
      <c r="N52" s="523"/>
      <c r="O52" s="522"/>
      <c r="P52" s="336" t="n">
        <f aca="false">SUM(I52:O52)</f>
        <v>0</v>
      </c>
    </row>
    <row r="53" customFormat="false" ht="16.5" hidden="false" customHeight="true" outlineLevel="0" collapsed="false">
      <c r="A53" s="62" t="n">
        <v>4049</v>
      </c>
      <c r="B53" s="79" t="s">
        <v>674</v>
      </c>
      <c r="C53" s="79" t="s">
        <v>675</v>
      </c>
      <c r="D53" s="36" t="s">
        <v>8</v>
      </c>
      <c r="E53" s="37" t="n">
        <v>40011</v>
      </c>
      <c r="F53" s="16" t="s">
        <v>52</v>
      </c>
      <c r="G53" s="224" t="s">
        <v>676</v>
      </c>
      <c r="H53" s="487"/>
      <c r="I53" s="334"/>
      <c r="J53" s="487"/>
      <c r="K53" s="334"/>
      <c r="L53" s="487"/>
      <c r="M53" s="334"/>
      <c r="N53" s="521"/>
      <c r="O53" s="522"/>
      <c r="P53" s="336" t="n">
        <f aca="false">SUM(I53:O53)</f>
        <v>0</v>
      </c>
    </row>
    <row r="54" customFormat="false" ht="16.5" hidden="false" customHeight="true" outlineLevel="0" collapsed="false">
      <c r="A54" s="62" t="n">
        <v>4003</v>
      </c>
      <c r="B54" s="79" t="s">
        <v>696</v>
      </c>
      <c r="C54" s="79" t="s">
        <v>112</v>
      </c>
      <c r="D54" s="36" t="s">
        <v>8</v>
      </c>
      <c r="E54" s="37" t="n">
        <v>41243</v>
      </c>
      <c r="F54" s="16" t="s">
        <v>52</v>
      </c>
      <c r="G54" s="224" t="s">
        <v>70</v>
      </c>
      <c r="H54" s="487" t="s">
        <v>1346</v>
      </c>
      <c r="I54" s="334" t="n">
        <v>4</v>
      </c>
      <c r="J54" s="487"/>
      <c r="K54" s="334"/>
      <c r="L54" s="487"/>
      <c r="M54" s="334"/>
      <c r="N54" s="523"/>
      <c r="O54" s="522"/>
      <c r="P54" s="336" t="n">
        <f aca="false">SUM(I54:O54)</f>
        <v>4</v>
      </c>
    </row>
    <row r="55" customFormat="false" ht="16.5" hidden="false" customHeight="true" outlineLevel="0" collapsed="false">
      <c r="A55" s="62" t="n">
        <v>4026</v>
      </c>
      <c r="B55" s="79" t="s">
        <v>708</v>
      </c>
      <c r="C55" s="79" t="s">
        <v>709</v>
      </c>
      <c r="D55" s="36" t="s">
        <v>8</v>
      </c>
      <c r="E55" s="37" t="n">
        <v>40859</v>
      </c>
      <c r="F55" s="16" t="s">
        <v>52</v>
      </c>
      <c r="G55" s="224" t="s">
        <v>70</v>
      </c>
      <c r="H55" s="487"/>
      <c r="I55" s="334"/>
      <c r="J55" s="487"/>
      <c r="K55" s="334"/>
      <c r="L55" s="487"/>
      <c r="M55" s="334"/>
      <c r="N55" s="523"/>
      <c r="O55" s="522"/>
      <c r="P55" s="336" t="n">
        <f aca="false">SUM(I55:O55)</f>
        <v>0</v>
      </c>
    </row>
    <row r="56" customFormat="false" ht="16.5" hidden="false" customHeight="true" outlineLevel="0" collapsed="false">
      <c r="A56" s="62" t="n">
        <v>4011</v>
      </c>
      <c r="B56" s="79" t="s">
        <v>721</v>
      </c>
      <c r="C56" s="79" t="s">
        <v>722</v>
      </c>
      <c r="D56" s="36" t="s">
        <v>26</v>
      </c>
      <c r="E56" s="37" t="n">
        <v>41161</v>
      </c>
      <c r="F56" s="16" t="s">
        <v>52</v>
      </c>
      <c r="G56" s="224" t="s">
        <v>887</v>
      </c>
      <c r="H56" s="487"/>
      <c r="I56" s="334"/>
      <c r="J56" s="487"/>
      <c r="K56" s="334"/>
      <c r="L56" s="487"/>
      <c r="M56" s="334"/>
      <c r="N56" s="523"/>
      <c r="O56" s="522"/>
      <c r="P56" s="336" t="n">
        <f aca="false">SUM(I56:O56)</f>
        <v>0</v>
      </c>
    </row>
    <row r="57" customFormat="false" ht="16.5" hidden="false" customHeight="true" outlineLevel="0" collapsed="false">
      <c r="A57" s="62" t="n">
        <v>4030</v>
      </c>
      <c r="B57" s="79" t="s">
        <v>749</v>
      </c>
      <c r="C57" s="79" t="s">
        <v>750</v>
      </c>
      <c r="D57" s="36" t="s">
        <v>8</v>
      </c>
      <c r="E57" s="37" t="n">
        <v>40756</v>
      </c>
      <c r="F57" s="16" t="s">
        <v>52</v>
      </c>
      <c r="G57" s="224" t="s">
        <v>780</v>
      </c>
      <c r="H57" s="487" t="s">
        <v>1346</v>
      </c>
      <c r="I57" s="334" t="n">
        <v>8</v>
      </c>
      <c r="J57" s="487"/>
      <c r="K57" s="334"/>
      <c r="L57" s="487"/>
      <c r="M57" s="334"/>
      <c r="N57" s="523"/>
      <c r="O57" s="522"/>
      <c r="P57" s="336" t="n">
        <f aca="false">SUM(I57:O57)</f>
        <v>8</v>
      </c>
    </row>
    <row r="58" customFormat="false" ht="16.5" hidden="false" customHeight="true" outlineLevel="0" collapsed="false">
      <c r="A58" s="62" t="n">
        <v>4006</v>
      </c>
      <c r="B58" s="79" t="s">
        <v>772</v>
      </c>
      <c r="C58" s="79" t="s">
        <v>773</v>
      </c>
      <c r="D58" s="36" t="s">
        <v>8</v>
      </c>
      <c r="E58" s="37" t="n">
        <v>41202</v>
      </c>
      <c r="F58" s="16" t="s">
        <v>52</v>
      </c>
      <c r="G58" s="224" t="s">
        <v>1368</v>
      </c>
      <c r="H58" s="487"/>
      <c r="I58" s="334"/>
      <c r="J58" s="487"/>
      <c r="K58" s="334"/>
      <c r="L58" s="487"/>
      <c r="M58" s="334"/>
      <c r="N58" s="523"/>
      <c r="O58" s="522"/>
      <c r="P58" s="336" t="n">
        <f aca="false">SUM(I58:O58)</f>
        <v>0</v>
      </c>
    </row>
    <row r="59" customFormat="false" ht="16.5" hidden="false" customHeight="true" outlineLevel="0" collapsed="false">
      <c r="A59" s="62" t="n">
        <v>4047</v>
      </c>
      <c r="B59" s="79" t="s">
        <v>793</v>
      </c>
      <c r="C59" s="79" t="s">
        <v>417</v>
      </c>
      <c r="D59" s="36" t="s">
        <v>8</v>
      </c>
      <c r="E59" s="37" t="n">
        <v>40069</v>
      </c>
      <c r="F59" s="16" t="s">
        <v>52</v>
      </c>
      <c r="G59" s="224" t="s">
        <v>1369</v>
      </c>
      <c r="H59" s="487" t="s">
        <v>1346</v>
      </c>
      <c r="I59" s="334" t="n">
        <v>10</v>
      </c>
      <c r="J59" s="487"/>
      <c r="K59" s="334"/>
      <c r="L59" s="487"/>
      <c r="M59" s="334"/>
      <c r="N59" s="523"/>
      <c r="O59" s="522"/>
      <c r="P59" s="336" t="n">
        <f aca="false">SUM(I59:O59)</f>
        <v>10</v>
      </c>
    </row>
    <row r="60" customFormat="false" ht="16.5" hidden="false" customHeight="true" outlineLevel="0" collapsed="false">
      <c r="A60" s="62" t="n">
        <v>4027</v>
      </c>
      <c r="B60" s="79" t="s">
        <v>885</v>
      </c>
      <c r="C60" s="79" t="s">
        <v>886</v>
      </c>
      <c r="D60" s="36" t="s">
        <v>8</v>
      </c>
      <c r="E60" s="37" t="n">
        <v>40815</v>
      </c>
      <c r="F60" s="16" t="s">
        <v>52</v>
      </c>
      <c r="G60" s="224" t="s">
        <v>1370</v>
      </c>
      <c r="H60" s="487"/>
      <c r="I60" s="334"/>
      <c r="J60" s="487"/>
      <c r="K60" s="334"/>
      <c r="L60" s="487"/>
      <c r="M60" s="334"/>
      <c r="N60" s="523"/>
      <c r="O60" s="522"/>
      <c r="P60" s="336" t="n">
        <f aca="false">SUM(I60:O60)</f>
        <v>0</v>
      </c>
    </row>
    <row r="61" customFormat="false" ht="16.5" hidden="false" customHeight="true" outlineLevel="0" collapsed="false">
      <c r="A61" s="62" t="n">
        <v>4035</v>
      </c>
      <c r="B61" s="79" t="s">
        <v>987</v>
      </c>
      <c r="C61" s="79" t="s">
        <v>711</v>
      </c>
      <c r="D61" s="36" t="s">
        <v>8</v>
      </c>
      <c r="E61" s="37" t="n">
        <v>40677</v>
      </c>
      <c r="F61" s="16" t="s">
        <v>52</v>
      </c>
      <c r="G61" s="224" t="s">
        <v>1371</v>
      </c>
      <c r="H61" s="487" t="s">
        <v>1346</v>
      </c>
      <c r="I61" s="334" t="n">
        <v>3</v>
      </c>
      <c r="J61" s="487"/>
      <c r="K61" s="334"/>
      <c r="L61" s="487"/>
      <c r="M61" s="334"/>
      <c r="N61" s="523"/>
      <c r="O61" s="522"/>
      <c r="P61" s="336" t="n">
        <f aca="false">SUM(I61:O61)</f>
        <v>3</v>
      </c>
    </row>
    <row r="62" customFormat="false" ht="16.5" hidden="false" customHeight="true" outlineLevel="0" collapsed="false">
      <c r="A62" s="62" t="n">
        <v>4041</v>
      </c>
      <c r="B62" s="79" t="s">
        <v>1063</v>
      </c>
      <c r="C62" s="79" t="s">
        <v>776</v>
      </c>
      <c r="D62" s="36" t="s">
        <v>8</v>
      </c>
      <c r="E62" s="37" t="n">
        <v>40522</v>
      </c>
      <c r="F62" s="16" t="s">
        <v>52</v>
      </c>
      <c r="G62" s="224" t="s">
        <v>1372</v>
      </c>
      <c r="H62" s="487"/>
      <c r="I62" s="334"/>
      <c r="J62" s="487"/>
      <c r="K62" s="334"/>
      <c r="L62" s="487"/>
      <c r="M62" s="334"/>
      <c r="N62" s="523"/>
      <c r="O62" s="522"/>
      <c r="P62" s="336" t="n">
        <f aca="false">SUM(I62:O62)</f>
        <v>0</v>
      </c>
    </row>
    <row r="63" customFormat="false" ht="16.5" hidden="false" customHeight="true" outlineLevel="0" collapsed="false">
      <c r="A63" s="62" t="n">
        <v>4016</v>
      </c>
      <c r="B63" s="79" t="s">
        <v>1090</v>
      </c>
      <c r="C63" s="79" t="s">
        <v>1091</v>
      </c>
      <c r="D63" s="36" t="s">
        <v>8</v>
      </c>
      <c r="E63" s="37" t="n">
        <v>41009</v>
      </c>
      <c r="F63" s="16" t="s">
        <v>52</v>
      </c>
      <c r="G63" s="224" t="s">
        <v>1373</v>
      </c>
      <c r="H63" s="487"/>
      <c r="I63" s="334"/>
      <c r="J63" s="487"/>
      <c r="K63" s="334"/>
      <c r="L63" s="487"/>
      <c r="M63" s="334"/>
      <c r="N63" s="523"/>
      <c r="O63" s="522"/>
      <c r="P63" s="336" t="n">
        <f aca="false">SUM(I63:O63)</f>
        <v>0</v>
      </c>
    </row>
    <row r="64" customFormat="false" ht="16.5" hidden="false" customHeight="true" outlineLevel="0" collapsed="false">
      <c r="A64" s="62" t="n">
        <v>4014</v>
      </c>
      <c r="B64" s="79" t="s">
        <v>1223</v>
      </c>
      <c r="C64" s="79" t="s">
        <v>1224</v>
      </c>
      <c r="D64" s="36" t="s">
        <v>8</v>
      </c>
      <c r="E64" s="37" t="n">
        <v>41117</v>
      </c>
      <c r="F64" s="16" t="s">
        <v>52</v>
      </c>
      <c r="G64" s="224" t="s">
        <v>1374</v>
      </c>
      <c r="H64" s="487"/>
      <c r="I64" s="334"/>
      <c r="J64" s="487"/>
      <c r="K64" s="334"/>
      <c r="L64" s="487"/>
      <c r="M64" s="334"/>
      <c r="N64" s="523"/>
      <c r="O64" s="522"/>
      <c r="P64" s="336" t="n">
        <f aca="false">SUM(I64:O64)</f>
        <v>0</v>
      </c>
    </row>
    <row r="65" customFormat="false" ht="16.5" hidden="false" customHeight="true" outlineLevel="0" collapsed="false">
      <c r="A65" s="62" t="n">
        <v>4048</v>
      </c>
      <c r="B65" s="79" t="s">
        <v>1223</v>
      </c>
      <c r="C65" s="79" t="s">
        <v>370</v>
      </c>
      <c r="D65" s="36" t="s">
        <v>8</v>
      </c>
      <c r="E65" s="37" t="n">
        <v>40050</v>
      </c>
      <c r="F65" s="16" t="s">
        <v>52</v>
      </c>
      <c r="G65" s="224" t="s">
        <v>1375</v>
      </c>
      <c r="H65" s="487"/>
      <c r="I65" s="334"/>
      <c r="J65" s="487"/>
      <c r="K65" s="334"/>
      <c r="L65" s="487"/>
      <c r="M65" s="334"/>
      <c r="N65" s="523"/>
      <c r="O65" s="522"/>
      <c r="P65" s="336" t="n">
        <f aca="false">SUM(I65:O65)</f>
        <v>0</v>
      </c>
    </row>
    <row r="66" customFormat="false" ht="16.5" hidden="false" customHeight="true" outlineLevel="0" collapsed="false">
      <c r="A66" s="62" t="n">
        <v>4008</v>
      </c>
      <c r="B66" s="79" t="s">
        <v>1251</v>
      </c>
      <c r="C66" s="79" t="s">
        <v>406</v>
      </c>
      <c r="D66" s="36" t="s">
        <v>8</v>
      </c>
      <c r="E66" s="37" t="n">
        <v>41191</v>
      </c>
      <c r="F66" s="16" t="s">
        <v>52</v>
      </c>
      <c r="G66" s="224" t="s">
        <v>1376</v>
      </c>
      <c r="H66" s="487" t="s">
        <v>1346</v>
      </c>
      <c r="I66" s="334" t="n">
        <v>4</v>
      </c>
      <c r="J66" s="487"/>
      <c r="K66" s="334"/>
      <c r="L66" s="487"/>
      <c r="M66" s="334"/>
      <c r="N66" s="523"/>
      <c r="O66" s="522"/>
      <c r="P66" s="336" t="n">
        <f aca="false">SUM(I66:O66)</f>
        <v>4</v>
      </c>
    </row>
    <row r="67" customFormat="false" ht="16.5" hidden="false" customHeight="true" outlineLevel="0" collapsed="false">
      <c r="A67" s="62" t="n">
        <v>4044</v>
      </c>
      <c r="B67" s="79" t="s">
        <v>1260</v>
      </c>
      <c r="C67" s="79" t="s">
        <v>1261</v>
      </c>
      <c r="D67" s="36" t="s">
        <v>8</v>
      </c>
      <c r="E67" s="37" t="n">
        <v>40378</v>
      </c>
      <c r="F67" s="16" t="s">
        <v>52</v>
      </c>
      <c r="G67" s="224" t="s">
        <v>1377</v>
      </c>
      <c r="H67" s="487"/>
      <c r="I67" s="334"/>
      <c r="J67" s="487"/>
      <c r="K67" s="334"/>
      <c r="L67" s="487"/>
      <c r="M67" s="334"/>
      <c r="N67" s="523"/>
      <c r="O67" s="522"/>
      <c r="P67" s="336" t="n">
        <f aca="false">SUM(I67:O67)</f>
        <v>0</v>
      </c>
    </row>
    <row r="68" customFormat="false" ht="16.5" hidden="false" customHeight="true" outlineLevel="0" collapsed="false">
      <c r="A68" s="62" t="n">
        <v>4036</v>
      </c>
      <c r="B68" s="79" t="s">
        <v>1286</v>
      </c>
      <c r="C68" s="79" t="s">
        <v>391</v>
      </c>
      <c r="D68" s="36" t="s">
        <v>8</v>
      </c>
      <c r="E68" s="37" t="n">
        <v>40654</v>
      </c>
      <c r="F68" s="16" t="s">
        <v>52</v>
      </c>
      <c r="G68" s="224" t="s">
        <v>1378</v>
      </c>
      <c r="H68" s="487"/>
      <c r="I68" s="334"/>
      <c r="J68" s="487"/>
      <c r="K68" s="334"/>
      <c r="L68" s="487"/>
      <c r="M68" s="334"/>
      <c r="N68" s="523"/>
      <c r="O68" s="522"/>
      <c r="P68" s="336" t="n">
        <f aca="false">SUM(I68:O68)</f>
        <v>0</v>
      </c>
    </row>
    <row r="69" customFormat="false" ht="16.5" hidden="false" customHeight="true" outlineLevel="0" collapsed="false">
      <c r="A69" s="62" t="n">
        <v>4046</v>
      </c>
      <c r="B69" s="79" t="s">
        <v>1297</v>
      </c>
      <c r="C69" s="79" t="s">
        <v>565</v>
      </c>
      <c r="D69" s="36" t="s">
        <v>8</v>
      </c>
      <c r="E69" s="37" t="n">
        <v>40154</v>
      </c>
      <c r="F69" s="16" t="s">
        <v>52</v>
      </c>
      <c r="G69" s="224" t="s">
        <v>1379</v>
      </c>
      <c r="H69" s="487" t="s">
        <v>1346</v>
      </c>
      <c r="I69" s="334" t="n">
        <v>10</v>
      </c>
      <c r="J69" s="487"/>
      <c r="K69" s="334"/>
      <c r="L69" s="487"/>
      <c r="M69" s="334"/>
      <c r="N69" s="523"/>
      <c r="O69" s="522"/>
      <c r="P69" s="336" t="n">
        <f aca="false">SUM(I69:O69)</f>
        <v>10</v>
      </c>
    </row>
    <row r="70" customFormat="false" ht="16.5" hidden="false" customHeight="true" outlineLevel="0" collapsed="false">
      <c r="A70" s="62" t="n">
        <v>4038</v>
      </c>
      <c r="B70" s="51" t="s">
        <v>196</v>
      </c>
      <c r="C70" s="51" t="s">
        <v>51</v>
      </c>
      <c r="D70" s="36" t="s">
        <v>26</v>
      </c>
      <c r="E70" s="37" t="n">
        <v>40602</v>
      </c>
      <c r="F70" s="16" t="s">
        <v>197</v>
      </c>
      <c r="G70" s="224" t="s">
        <v>1380</v>
      </c>
      <c r="H70" s="487"/>
      <c r="I70" s="334"/>
      <c r="J70" s="487"/>
      <c r="K70" s="334"/>
      <c r="L70" s="487"/>
      <c r="M70" s="334"/>
      <c r="N70" s="521"/>
      <c r="O70" s="522"/>
      <c r="P70" s="336" t="n">
        <f aca="false">SUM(I70:O70)</f>
        <v>0</v>
      </c>
    </row>
    <row r="71" customFormat="false" ht="16.5" hidden="false" customHeight="true" outlineLevel="0" collapsed="false">
      <c r="A71" s="62" t="n">
        <v>4004</v>
      </c>
      <c r="B71" s="51" t="s">
        <v>213</v>
      </c>
      <c r="C71" s="51" t="s">
        <v>214</v>
      </c>
      <c r="D71" s="36" t="s">
        <v>8</v>
      </c>
      <c r="E71" s="37" t="n">
        <v>41205</v>
      </c>
      <c r="F71" s="16" t="s">
        <v>20</v>
      </c>
      <c r="G71" s="224" t="s">
        <v>1381</v>
      </c>
      <c r="H71" s="487"/>
      <c r="I71" s="334"/>
      <c r="J71" s="487"/>
      <c r="K71" s="334"/>
      <c r="L71" s="487"/>
      <c r="M71" s="334"/>
      <c r="N71" s="521"/>
      <c r="O71" s="522"/>
      <c r="P71" s="336" t="n">
        <f aca="false">SUM(I71:O71)</f>
        <v>0</v>
      </c>
    </row>
    <row r="72" customFormat="false" ht="16.5" hidden="false" customHeight="true" outlineLevel="0" collapsed="false">
      <c r="A72" s="62" t="n">
        <v>4031</v>
      </c>
      <c r="B72" s="51" t="s">
        <v>374</v>
      </c>
      <c r="C72" s="51" t="s">
        <v>376</v>
      </c>
      <c r="D72" s="36" t="s">
        <v>8</v>
      </c>
      <c r="E72" s="52" t="n">
        <v>40713</v>
      </c>
      <c r="F72" s="16" t="s">
        <v>20</v>
      </c>
      <c r="G72" s="224" t="s">
        <v>1382</v>
      </c>
      <c r="H72" s="487"/>
      <c r="I72" s="334"/>
      <c r="J72" s="487"/>
      <c r="K72" s="334"/>
      <c r="L72" s="487"/>
      <c r="M72" s="334"/>
      <c r="N72" s="523"/>
      <c r="O72" s="522"/>
      <c r="P72" s="336" t="n">
        <f aca="false">SUM(I72:O72)</f>
        <v>0</v>
      </c>
    </row>
    <row r="73" customFormat="false" ht="16.5" hidden="false" customHeight="true" outlineLevel="0" collapsed="false">
      <c r="A73" s="62" t="n">
        <v>4050</v>
      </c>
      <c r="B73" s="51" t="s">
        <v>931</v>
      </c>
      <c r="C73" s="51" t="s">
        <v>932</v>
      </c>
      <c r="D73" s="24" t="s">
        <v>8</v>
      </c>
      <c r="E73" s="52" t="n">
        <v>39191</v>
      </c>
      <c r="F73" s="16" t="s">
        <v>20</v>
      </c>
      <c r="G73" s="224" t="s">
        <v>1383</v>
      </c>
      <c r="H73" s="487"/>
      <c r="I73" s="334"/>
      <c r="J73" s="487"/>
      <c r="K73" s="334"/>
      <c r="L73" s="487"/>
      <c r="M73" s="334"/>
      <c r="N73" s="523"/>
      <c r="O73" s="522"/>
      <c r="P73" s="336" t="n">
        <f aca="false">SUM(I73:O73)</f>
        <v>0</v>
      </c>
    </row>
    <row r="74" customFormat="false" ht="16.5" hidden="false" customHeight="true" outlineLevel="0" collapsed="false">
      <c r="A74" s="62" t="n">
        <v>4028</v>
      </c>
      <c r="B74" s="51" t="s">
        <v>965</v>
      </c>
      <c r="C74" s="51" t="s">
        <v>214</v>
      </c>
      <c r="D74" s="36" t="s">
        <v>8</v>
      </c>
      <c r="E74" s="52" t="n">
        <v>40783</v>
      </c>
      <c r="F74" s="16" t="s">
        <v>20</v>
      </c>
      <c r="G74" s="224" t="s">
        <v>557</v>
      </c>
      <c r="H74" s="487"/>
      <c r="I74" s="334"/>
      <c r="J74" s="487"/>
      <c r="K74" s="334"/>
      <c r="L74" s="487"/>
      <c r="M74" s="334"/>
      <c r="N74" s="521"/>
      <c r="O74" s="522"/>
      <c r="P74" s="336" t="n">
        <f aca="false">SUM(I74:O74)</f>
        <v>0</v>
      </c>
    </row>
    <row r="75" customFormat="false" ht="16.5" hidden="false" customHeight="true" outlineLevel="0" collapsed="false">
      <c r="A75" s="62" t="n">
        <v>4002</v>
      </c>
      <c r="B75" s="51" t="s">
        <v>1105</v>
      </c>
      <c r="C75" s="51" t="s">
        <v>1106</v>
      </c>
      <c r="D75" s="36" t="s">
        <v>26</v>
      </c>
      <c r="E75" s="52" t="n">
        <v>41269</v>
      </c>
      <c r="F75" s="16" t="s">
        <v>20</v>
      </c>
      <c r="G75" s="224" t="s">
        <v>1384</v>
      </c>
      <c r="H75" s="487"/>
      <c r="I75" s="334"/>
      <c r="J75" s="487"/>
      <c r="K75" s="334"/>
      <c r="L75" s="487"/>
      <c r="M75" s="334"/>
      <c r="N75" s="523"/>
      <c r="O75" s="522"/>
      <c r="P75" s="336" t="n">
        <f aca="false">SUM(I75:O75)</f>
        <v>0</v>
      </c>
    </row>
    <row r="76" customFormat="false" ht="16.5" hidden="false" customHeight="true" outlineLevel="0" collapsed="false">
      <c r="A76" s="62" t="n">
        <v>4045</v>
      </c>
      <c r="B76" s="51" t="s">
        <v>1271</v>
      </c>
      <c r="C76" s="51" t="s">
        <v>1272</v>
      </c>
      <c r="D76" s="36" t="s">
        <v>8</v>
      </c>
      <c r="E76" s="52" t="n">
        <v>40290</v>
      </c>
      <c r="F76" s="16" t="s">
        <v>20</v>
      </c>
      <c r="G76" s="224" t="s">
        <v>1385</v>
      </c>
      <c r="H76" s="487"/>
      <c r="I76" s="334"/>
      <c r="J76" s="487"/>
      <c r="K76" s="334"/>
      <c r="L76" s="487"/>
      <c r="M76" s="334"/>
      <c r="N76" s="521"/>
      <c r="O76" s="522"/>
      <c r="P76" s="336" t="n">
        <f aca="false">SUM(I76:O76)</f>
        <v>0</v>
      </c>
    </row>
    <row r="77" customFormat="false" ht="16.5" hidden="false" customHeight="true" outlineLevel="0" collapsed="false">
      <c r="A77" s="62" t="n">
        <v>4042</v>
      </c>
      <c r="B77" s="108" t="s">
        <v>218</v>
      </c>
      <c r="C77" s="115" t="s">
        <v>219</v>
      </c>
      <c r="D77" s="36" t="s">
        <v>8</v>
      </c>
      <c r="E77" s="37" t="n">
        <v>40495</v>
      </c>
      <c r="F77" s="16" t="s">
        <v>29</v>
      </c>
      <c r="G77" s="224" t="s">
        <v>1386</v>
      </c>
      <c r="H77" s="487"/>
      <c r="I77" s="334"/>
      <c r="J77" s="487"/>
      <c r="K77" s="334"/>
      <c r="L77" s="487"/>
      <c r="M77" s="334"/>
      <c r="N77" s="523"/>
      <c r="O77" s="522"/>
      <c r="P77" s="336" t="n">
        <f aca="false">SUM(I77:O77)</f>
        <v>0</v>
      </c>
    </row>
    <row r="78" customFormat="false" ht="16.5" hidden="false" customHeight="true" outlineLevel="0" collapsed="false">
      <c r="A78" s="62" t="n">
        <v>4033</v>
      </c>
      <c r="B78" s="108" t="s">
        <v>552</v>
      </c>
      <c r="C78" s="115" t="s">
        <v>554</v>
      </c>
      <c r="D78" s="36" t="s">
        <v>8</v>
      </c>
      <c r="E78" s="37" t="n">
        <v>40701</v>
      </c>
      <c r="F78" s="16" t="s">
        <v>29</v>
      </c>
      <c r="G78" s="224" t="s">
        <v>636</v>
      </c>
      <c r="H78" s="487" t="s">
        <v>1346</v>
      </c>
      <c r="I78" s="334" t="n">
        <v>2</v>
      </c>
      <c r="J78" s="487"/>
      <c r="K78" s="334"/>
      <c r="L78" s="487"/>
      <c r="M78" s="334"/>
      <c r="N78" s="523"/>
      <c r="O78" s="522"/>
      <c r="P78" s="336" t="n">
        <f aca="false">SUM(I78:O78)</f>
        <v>2</v>
      </c>
    </row>
    <row r="79" customFormat="false" ht="16.5" hidden="false" customHeight="true" outlineLevel="0" collapsed="false">
      <c r="A79" s="62" t="n">
        <v>4039</v>
      </c>
      <c r="B79" s="108" t="s">
        <v>865</v>
      </c>
      <c r="C79" s="115" t="s">
        <v>711</v>
      </c>
      <c r="D79" s="36" t="s">
        <v>8</v>
      </c>
      <c r="E79" s="37" t="n">
        <v>40593</v>
      </c>
      <c r="F79" s="16" t="s">
        <v>29</v>
      </c>
      <c r="G79" s="224" t="s">
        <v>1387</v>
      </c>
      <c r="H79" s="487"/>
      <c r="I79" s="334"/>
      <c r="J79" s="487"/>
      <c r="K79" s="334"/>
      <c r="L79" s="487"/>
      <c r="M79" s="334"/>
      <c r="N79" s="523"/>
      <c r="O79" s="522"/>
      <c r="P79" s="336" t="n">
        <f aca="false">SUM(I79:O79)</f>
        <v>0</v>
      </c>
    </row>
    <row r="80" customFormat="false" ht="16.5" hidden="false" customHeight="true" outlineLevel="0" collapsed="false">
      <c r="A80" s="62" t="n">
        <v>4010</v>
      </c>
      <c r="B80" s="108" t="s">
        <v>907</v>
      </c>
      <c r="C80" s="115" t="s">
        <v>908</v>
      </c>
      <c r="D80" s="36" t="s">
        <v>8</v>
      </c>
      <c r="E80" s="37" t="n">
        <v>41176</v>
      </c>
      <c r="F80" s="16" t="s">
        <v>29</v>
      </c>
      <c r="G80" s="224" t="s">
        <v>1388</v>
      </c>
      <c r="H80" s="487"/>
      <c r="I80" s="334"/>
      <c r="J80" s="487"/>
      <c r="K80" s="334"/>
      <c r="L80" s="487"/>
      <c r="M80" s="334"/>
      <c r="N80" s="523"/>
      <c r="O80" s="522"/>
      <c r="P80" s="336" t="n">
        <f aca="false">SUM(I80:O80)</f>
        <v>0</v>
      </c>
    </row>
    <row r="81" customFormat="false" ht="16.5" hidden="false" customHeight="true" outlineLevel="0" collapsed="false">
      <c r="A81" s="62" t="n">
        <v>4037</v>
      </c>
      <c r="B81" s="108" t="s">
        <v>1212</v>
      </c>
      <c r="C81" s="115" t="s">
        <v>215</v>
      </c>
      <c r="D81" s="36" t="s">
        <v>8</v>
      </c>
      <c r="E81" s="37" t="n">
        <v>40610</v>
      </c>
      <c r="F81" s="16" t="s">
        <v>29</v>
      </c>
      <c r="G81" s="224" t="s">
        <v>1389</v>
      </c>
      <c r="H81" s="487"/>
      <c r="I81" s="334"/>
      <c r="J81" s="487"/>
      <c r="K81" s="334"/>
      <c r="L81" s="487"/>
      <c r="M81" s="334"/>
      <c r="N81" s="523"/>
      <c r="O81" s="522"/>
      <c r="P81" s="336" t="n">
        <f aca="false">SUM(I81:O81)</f>
        <v>0</v>
      </c>
    </row>
    <row r="82" customFormat="false" ht="16.5" hidden="false" customHeight="true" outlineLevel="0" collapsed="false">
      <c r="A82" s="62" t="n">
        <v>4007</v>
      </c>
      <c r="B82" s="108" t="s">
        <v>1255</v>
      </c>
      <c r="C82" s="115" t="s">
        <v>736</v>
      </c>
      <c r="D82" s="36" t="s">
        <v>8</v>
      </c>
      <c r="E82" s="37" t="n">
        <v>41197</v>
      </c>
      <c r="F82" s="16" t="s">
        <v>29</v>
      </c>
      <c r="G82" s="224" t="s">
        <v>1390</v>
      </c>
      <c r="H82" s="487"/>
      <c r="I82" s="334"/>
      <c r="J82" s="487"/>
      <c r="K82" s="334"/>
      <c r="L82" s="487"/>
      <c r="M82" s="334"/>
      <c r="N82" s="523"/>
      <c r="O82" s="522"/>
      <c r="P82" s="336" t="n">
        <f aca="false">SUM(I82:O82)</f>
        <v>0</v>
      </c>
    </row>
    <row r="83" customFormat="false" ht="16.5" hidden="false" customHeight="true" outlineLevel="0" collapsed="false">
      <c r="A83" s="62" t="n">
        <v>4015</v>
      </c>
      <c r="B83" s="108" t="s">
        <v>168</v>
      </c>
      <c r="C83" s="108" t="s">
        <v>169</v>
      </c>
      <c r="D83" s="36" t="s">
        <v>8</v>
      </c>
      <c r="E83" s="37" t="n">
        <v>41009</v>
      </c>
      <c r="F83" s="16" t="s">
        <v>129</v>
      </c>
      <c r="G83" s="224" t="s">
        <v>1391</v>
      </c>
      <c r="H83" s="487"/>
      <c r="I83" s="334"/>
      <c r="J83" s="487"/>
      <c r="K83" s="334"/>
      <c r="L83" s="487"/>
      <c r="M83" s="334"/>
      <c r="N83" s="523"/>
      <c r="O83" s="522"/>
      <c r="P83" s="336" t="n">
        <f aca="false">SUM(I83:O83)</f>
        <v>0</v>
      </c>
    </row>
    <row r="84" customFormat="false" ht="16.5" hidden="false" customHeight="true" outlineLevel="0" collapsed="false">
      <c r="A84" s="62" t="n">
        <v>4023</v>
      </c>
      <c r="B84" s="108" t="s">
        <v>383</v>
      </c>
      <c r="C84" s="108" t="s">
        <v>384</v>
      </c>
      <c r="D84" s="36" t="s">
        <v>8</v>
      </c>
      <c r="E84" s="37" t="n">
        <v>40865</v>
      </c>
      <c r="F84" s="16" t="s">
        <v>129</v>
      </c>
      <c r="G84" s="224" t="s">
        <v>1392</v>
      </c>
      <c r="H84" s="487" t="s">
        <v>1346</v>
      </c>
      <c r="I84" s="334" t="n">
        <v>9</v>
      </c>
      <c r="J84" s="487"/>
      <c r="K84" s="334"/>
      <c r="L84" s="487"/>
      <c r="M84" s="334"/>
      <c r="N84" s="523"/>
      <c r="O84" s="522"/>
      <c r="P84" s="336" t="n">
        <f aca="false">SUM(I84:O84)</f>
        <v>9</v>
      </c>
    </row>
    <row r="85" customFormat="false" ht="16.5" hidden="false" customHeight="true" outlineLevel="0" collapsed="false">
      <c r="A85" s="62" t="n">
        <v>4034</v>
      </c>
      <c r="B85" s="108" t="s">
        <v>810</v>
      </c>
      <c r="C85" s="108" t="s">
        <v>76</v>
      </c>
      <c r="D85" s="36" t="s">
        <v>8</v>
      </c>
      <c r="E85" s="37" t="n">
        <v>40686</v>
      </c>
      <c r="F85" s="16" t="s">
        <v>129</v>
      </c>
      <c r="G85" s="224" t="s">
        <v>1393</v>
      </c>
      <c r="H85" s="487" t="s">
        <v>1346</v>
      </c>
      <c r="I85" s="334" t="n">
        <v>11</v>
      </c>
      <c r="J85" s="487"/>
      <c r="K85" s="334"/>
      <c r="L85" s="487"/>
      <c r="M85" s="334"/>
      <c r="N85" s="523"/>
      <c r="O85" s="522"/>
      <c r="P85" s="336" t="n">
        <f aca="false">SUM(I85:O85)</f>
        <v>11</v>
      </c>
    </row>
    <row r="86" customFormat="false" ht="16.5" hidden="false" customHeight="true" outlineLevel="0" collapsed="false">
      <c r="A86" s="62" t="n">
        <v>4065</v>
      </c>
      <c r="B86" s="23" t="s">
        <v>30</v>
      </c>
      <c r="C86" s="23" t="s">
        <v>31</v>
      </c>
      <c r="D86" s="24" t="s">
        <v>8</v>
      </c>
      <c r="E86" s="43" t="n">
        <v>41032</v>
      </c>
      <c r="F86" s="16" t="s">
        <v>9</v>
      </c>
      <c r="G86" s="224" t="s">
        <v>1394</v>
      </c>
      <c r="H86" s="487" t="s">
        <v>1346</v>
      </c>
      <c r="I86" s="334" t="n">
        <v>1</v>
      </c>
      <c r="J86" s="487"/>
      <c r="K86" s="334"/>
      <c r="L86" s="487"/>
      <c r="M86" s="334"/>
      <c r="N86" s="523"/>
      <c r="O86" s="522"/>
      <c r="P86" s="336" t="n">
        <f aca="false">SUM(I86:O86)</f>
        <v>1</v>
      </c>
    </row>
    <row r="87" customFormat="false" ht="16.5" hidden="false" customHeight="true" outlineLevel="0" collapsed="false">
      <c r="A87" s="62" t="n">
        <v>4063</v>
      </c>
      <c r="B87" s="23" t="s">
        <v>44</v>
      </c>
      <c r="C87" s="23" t="s">
        <v>46</v>
      </c>
      <c r="D87" s="24" t="s">
        <v>26</v>
      </c>
      <c r="E87" s="43" t="n">
        <v>40917</v>
      </c>
      <c r="F87" s="16" t="s">
        <v>9</v>
      </c>
      <c r="G87" s="224" t="s">
        <v>1215</v>
      </c>
      <c r="H87" s="487" t="s">
        <v>1346</v>
      </c>
      <c r="I87" s="334" t="n">
        <v>8</v>
      </c>
      <c r="J87" s="487"/>
      <c r="K87" s="334"/>
      <c r="L87" s="487"/>
      <c r="M87" s="334"/>
      <c r="N87" s="523"/>
      <c r="O87" s="522"/>
      <c r="P87" s="336" t="n">
        <f aca="false">SUM(I87:O87)</f>
        <v>8</v>
      </c>
    </row>
    <row r="88" customFormat="false" ht="15.75" hidden="false" customHeight="true" outlineLevel="0" collapsed="false">
      <c r="A88" s="62" t="n">
        <v>4066</v>
      </c>
      <c r="B88" s="23" t="s">
        <v>186</v>
      </c>
      <c r="C88" s="23" t="s">
        <v>187</v>
      </c>
      <c r="D88" s="24" t="s">
        <v>8</v>
      </c>
      <c r="E88" s="43" t="n">
        <v>41118</v>
      </c>
      <c r="F88" s="16" t="s">
        <v>9</v>
      </c>
      <c r="G88" s="224" t="s">
        <v>1395</v>
      </c>
      <c r="H88" s="487"/>
      <c r="I88" s="334"/>
      <c r="J88" s="487"/>
      <c r="K88" s="334"/>
      <c r="L88" s="487"/>
      <c r="M88" s="334"/>
      <c r="N88" s="521"/>
      <c r="O88" s="522"/>
      <c r="P88" s="336" t="n">
        <f aca="false">SUM(I88:O88)</f>
        <v>0</v>
      </c>
    </row>
    <row r="89" customFormat="false" ht="16.5" hidden="false" customHeight="true" outlineLevel="0" collapsed="false">
      <c r="A89" s="62" t="n">
        <v>4062</v>
      </c>
      <c r="B89" s="23" t="s">
        <v>563</v>
      </c>
      <c r="C89" s="23" t="s">
        <v>531</v>
      </c>
      <c r="D89" s="24" t="s">
        <v>26</v>
      </c>
      <c r="E89" s="43" t="n">
        <v>40738</v>
      </c>
      <c r="F89" s="16" t="s">
        <v>9</v>
      </c>
      <c r="G89" s="224" t="s">
        <v>1396</v>
      </c>
      <c r="H89" s="487" t="s">
        <v>1346</v>
      </c>
      <c r="I89" s="334" t="n">
        <v>7</v>
      </c>
      <c r="J89" s="487"/>
      <c r="K89" s="334"/>
      <c r="L89" s="487"/>
      <c r="M89" s="334"/>
      <c r="N89" s="523"/>
      <c r="O89" s="522"/>
      <c r="P89" s="336" t="n">
        <f aca="false">SUM(I89:O89)</f>
        <v>7</v>
      </c>
    </row>
    <row r="90" customFormat="false" ht="16.5" hidden="false" customHeight="true" outlineLevel="0" collapsed="false">
      <c r="A90" s="62" t="n">
        <v>4068</v>
      </c>
      <c r="B90" s="23" t="s">
        <v>1041</v>
      </c>
      <c r="C90" s="23" t="s">
        <v>267</v>
      </c>
      <c r="D90" s="24" t="s">
        <v>8</v>
      </c>
      <c r="E90" s="43" t="n">
        <v>40624</v>
      </c>
      <c r="F90" s="16" t="s">
        <v>9</v>
      </c>
      <c r="G90" s="224" t="s">
        <v>1397</v>
      </c>
      <c r="H90" s="487"/>
      <c r="I90" s="334"/>
      <c r="J90" s="487"/>
      <c r="K90" s="334"/>
      <c r="L90" s="487"/>
      <c r="M90" s="334"/>
      <c r="N90" s="523"/>
      <c r="O90" s="522"/>
      <c r="P90" s="336" t="n">
        <f aca="false">SUM(I90:O90)</f>
        <v>0</v>
      </c>
      <c r="S90" s="290" t="s">
        <v>1398</v>
      </c>
    </row>
    <row r="91" customFormat="false" ht="16.5" hidden="false" customHeight="true" outlineLevel="0" collapsed="false">
      <c r="A91" s="62" t="n">
        <v>4069</v>
      </c>
      <c r="B91" s="23" t="s">
        <v>1066</v>
      </c>
      <c r="C91" s="23" t="s">
        <v>1067</v>
      </c>
      <c r="D91" s="24" t="s">
        <v>26</v>
      </c>
      <c r="E91" s="43" t="n">
        <v>39279</v>
      </c>
      <c r="F91" s="16" t="s">
        <v>9</v>
      </c>
      <c r="G91" s="224" t="s">
        <v>1399</v>
      </c>
      <c r="H91" s="487" t="s">
        <v>1346</v>
      </c>
      <c r="I91" s="334" t="n">
        <v>8</v>
      </c>
      <c r="J91" s="487"/>
      <c r="K91" s="334"/>
      <c r="L91" s="487"/>
      <c r="M91" s="334"/>
      <c r="N91" s="523"/>
      <c r="O91" s="522"/>
      <c r="P91" s="336" t="n">
        <f aca="false">SUM(I91:O91)</f>
        <v>8</v>
      </c>
      <c r="S91" s="290" t="s">
        <v>1400</v>
      </c>
    </row>
    <row r="92" customFormat="false" ht="16.5" hidden="false" customHeight="true" outlineLevel="0" collapsed="false">
      <c r="A92" s="62" t="n">
        <v>4064</v>
      </c>
      <c r="B92" s="23" t="s">
        <v>1247</v>
      </c>
      <c r="C92" s="23" t="s">
        <v>1246</v>
      </c>
      <c r="D92" s="24" t="s">
        <v>8</v>
      </c>
      <c r="E92" s="43" t="n">
        <v>41207</v>
      </c>
      <c r="F92" s="16" t="s">
        <v>9</v>
      </c>
      <c r="G92" s="224" t="s">
        <v>1401</v>
      </c>
      <c r="H92" s="487"/>
      <c r="I92" s="334"/>
      <c r="J92" s="487"/>
      <c r="K92" s="334"/>
      <c r="L92" s="487"/>
      <c r="M92" s="334"/>
      <c r="N92" s="523"/>
      <c r="O92" s="522"/>
      <c r="P92" s="336" t="n">
        <f aca="false">SUM(I92:O92)</f>
        <v>0</v>
      </c>
      <c r="S92" s="290" t="s">
        <v>1402</v>
      </c>
    </row>
    <row r="93" customFormat="false" ht="16.5" hidden="false" customHeight="true" outlineLevel="0" collapsed="false">
      <c r="A93" s="62" t="n">
        <v>4067</v>
      </c>
      <c r="B93" s="23" t="s">
        <v>1284</v>
      </c>
      <c r="C93" s="23" t="s">
        <v>241</v>
      </c>
      <c r="D93" s="24" t="s">
        <v>8</v>
      </c>
      <c r="E93" s="43" t="n">
        <v>41084</v>
      </c>
      <c r="F93" s="16" t="s">
        <v>9</v>
      </c>
      <c r="G93" s="224" t="s">
        <v>1403</v>
      </c>
      <c r="H93" s="487" t="s">
        <v>1346</v>
      </c>
      <c r="I93" s="334" t="n">
        <v>9</v>
      </c>
      <c r="J93" s="487"/>
      <c r="K93" s="334"/>
      <c r="L93" s="487"/>
      <c r="M93" s="334"/>
      <c r="N93" s="523"/>
      <c r="O93" s="522"/>
      <c r="P93" s="336" t="n">
        <f aca="false">SUM(I93:O93)</f>
        <v>9</v>
      </c>
    </row>
    <row r="94" customFormat="false" ht="16.5" hidden="false" customHeight="true" outlineLevel="0" collapsed="false">
      <c r="A94" s="62" t="n">
        <v>4051</v>
      </c>
      <c r="B94" s="44" t="s">
        <v>166</v>
      </c>
      <c r="C94" s="44" t="s">
        <v>167</v>
      </c>
      <c r="D94" s="24" t="s">
        <v>8</v>
      </c>
      <c r="E94" s="452" t="n">
        <v>41267</v>
      </c>
      <c r="F94" s="16" t="s">
        <v>17</v>
      </c>
      <c r="G94" s="224" t="s">
        <v>1191</v>
      </c>
      <c r="H94" s="487" t="s">
        <v>1346</v>
      </c>
      <c r="I94" s="334" t="n">
        <v>2</v>
      </c>
      <c r="J94" s="487"/>
      <c r="K94" s="334"/>
      <c r="L94" s="487"/>
      <c r="M94" s="334"/>
      <c r="N94" s="523"/>
      <c r="O94" s="522"/>
      <c r="P94" s="336" t="n">
        <f aca="false">SUM(I94:O94)</f>
        <v>2</v>
      </c>
    </row>
    <row r="95" customFormat="false" ht="16.5" hidden="false" customHeight="true" outlineLevel="0" collapsed="false">
      <c r="A95" s="62" t="n">
        <v>4052</v>
      </c>
      <c r="B95" s="44" t="s">
        <v>229</v>
      </c>
      <c r="C95" s="44" t="s">
        <v>35</v>
      </c>
      <c r="D95" s="24" t="s">
        <v>8</v>
      </c>
      <c r="E95" s="452" t="n">
        <v>41088</v>
      </c>
      <c r="F95" s="16" t="s">
        <v>17</v>
      </c>
      <c r="G95" s="224" t="s">
        <v>1404</v>
      </c>
      <c r="H95" s="487"/>
      <c r="I95" s="334"/>
      <c r="J95" s="487"/>
      <c r="K95" s="334"/>
      <c r="L95" s="487"/>
      <c r="M95" s="334"/>
      <c r="N95" s="521"/>
      <c r="O95" s="522"/>
      <c r="P95" s="336" t="n">
        <f aca="false">SUM(I95:O95)</f>
        <v>0</v>
      </c>
    </row>
    <row r="96" customFormat="false" ht="15" hidden="false" customHeight="true" outlineLevel="0" collapsed="false">
      <c r="A96" s="62" t="n">
        <v>4053</v>
      </c>
      <c r="B96" s="44" t="s">
        <v>392</v>
      </c>
      <c r="C96" s="44" t="s">
        <v>393</v>
      </c>
      <c r="D96" s="24" t="s">
        <v>8</v>
      </c>
      <c r="E96" s="104" t="n">
        <v>40465</v>
      </c>
      <c r="F96" s="16" t="s">
        <v>17</v>
      </c>
      <c r="G96" s="224" t="s">
        <v>1405</v>
      </c>
      <c r="H96" s="487"/>
      <c r="I96" s="334"/>
      <c r="J96" s="487"/>
      <c r="K96" s="334"/>
      <c r="L96" s="487"/>
      <c r="M96" s="334"/>
      <c r="N96" s="523"/>
      <c r="O96" s="522"/>
      <c r="P96" s="336" t="n">
        <f aca="false">SUM(I96:O96)</f>
        <v>0</v>
      </c>
    </row>
    <row r="97" customFormat="false" ht="15" hidden="false" customHeight="true" outlineLevel="0" collapsed="false">
      <c r="A97" s="62" t="n">
        <v>4054</v>
      </c>
      <c r="B97" s="44" t="s">
        <v>577</v>
      </c>
      <c r="C97" s="44" t="s">
        <v>578</v>
      </c>
      <c r="D97" s="24" t="s">
        <v>8</v>
      </c>
      <c r="E97" s="104" t="n">
        <v>41051</v>
      </c>
      <c r="F97" s="16" t="s">
        <v>17</v>
      </c>
      <c r="G97" s="224" t="s">
        <v>1406</v>
      </c>
      <c r="H97" s="487" t="s">
        <v>1346</v>
      </c>
      <c r="I97" s="334" t="n">
        <v>9</v>
      </c>
      <c r="J97" s="487"/>
      <c r="K97" s="334"/>
      <c r="L97" s="487"/>
      <c r="M97" s="334"/>
      <c r="N97" s="523"/>
      <c r="O97" s="522"/>
      <c r="P97" s="336" t="n">
        <f aca="false">SUM(I97:O97)</f>
        <v>9</v>
      </c>
    </row>
    <row r="98" customFormat="false" ht="15" hidden="false" customHeight="true" outlineLevel="0" collapsed="false">
      <c r="A98" s="62" t="n">
        <v>4055</v>
      </c>
      <c r="B98" s="44" t="s">
        <v>594</v>
      </c>
      <c r="C98" s="44" t="s">
        <v>228</v>
      </c>
      <c r="D98" s="24" t="s">
        <v>8</v>
      </c>
      <c r="E98" s="107" t="n">
        <v>41089</v>
      </c>
      <c r="F98" s="16" t="s">
        <v>17</v>
      </c>
      <c r="G98" s="224" t="s">
        <v>1407</v>
      </c>
      <c r="H98" s="487" t="s">
        <v>1346</v>
      </c>
      <c r="I98" s="334" t="n">
        <v>8</v>
      </c>
      <c r="J98" s="487"/>
      <c r="K98" s="334"/>
      <c r="L98" s="487"/>
      <c r="M98" s="334"/>
      <c r="N98" s="523"/>
      <c r="O98" s="522"/>
      <c r="P98" s="336" t="n">
        <f aca="false">SUM(I98:O98)</f>
        <v>8</v>
      </c>
    </row>
    <row r="99" customFormat="false" ht="15" hidden="false" customHeight="true" outlineLevel="0" collapsed="false">
      <c r="A99" s="62" t="n">
        <v>4056</v>
      </c>
      <c r="B99" s="44" t="s">
        <v>643</v>
      </c>
      <c r="C99" s="44" t="s">
        <v>644</v>
      </c>
      <c r="D99" s="24" t="s">
        <v>8</v>
      </c>
      <c r="E99" s="104" t="n">
        <v>40898</v>
      </c>
      <c r="F99" s="16" t="s">
        <v>17</v>
      </c>
      <c r="G99" s="224" t="s">
        <v>1408</v>
      </c>
      <c r="H99" s="487" t="s">
        <v>1346</v>
      </c>
      <c r="I99" s="334" t="n">
        <v>3</v>
      </c>
      <c r="J99" s="487"/>
      <c r="K99" s="334"/>
      <c r="L99" s="487"/>
      <c r="M99" s="334"/>
      <c r="N99" s="521"/>
      <c r="O99" s="522"/>
      <c r="P99" s="336" t="n">
        <f aca="false">SUM(I99:O99)</f>
        <v>3</v>
      </c>
    </row>
    <row r="100" customFormat="false" ht="15" hidden="false" customHeight="true" outlineLevel="0" collapsed="false">
      <c r="A100" s="62" t="n">
        <v>4057</v>
      </c>
      <c r="B100" s="23" t="s">
        <v>731</v>
      </c>
      <c r="C100" s="23" t="s">
        <v>361</v>
      </c>
      <c r="D100" s="24" t="s">
        <v>8</v>
      </c>
      <c r="E100" s="104" t="n">
        <v>40220</v>
      </c>
      <c r="F100" s="16" t="s">
        <v>17</v>
      </c>
      <c r="G100" s="224" t="s">
        <v>1409</v>
      </c>
      <c r="H100" s="487"/>
      <c r="I100" s="334"/>
      <c r="J100" s="487"/>
      <c r="K100" s="334"/>
      <c r="L100" s="487"/>
      <c r="M100" s="334"/>
      <c r="N100" s="523"/>
      <c r="O100" s="522"/>
      <c r="P100" s="336" t="n">
        <f aca="false">SUM(I100:O100)</f>
        <v>0</v>
      </c>
    </row>
    <row r="101" customFormat="false" ht="15" hidden="false" customHeight="true" outlineLevel="0" collapsed="false">
      <c r="A101" s="62" t="n">
        <v>4058</v>
      </c>
      <c r="B101" s="23" t="s">
        <v>849</v>
      </c>
      <c r="C101" s="23" t="s">
        <v>393</v>
      </c>
      <c r="D101" s="24" t="s">
        <v>8</v>
      </c>
      <c r="E101" s="104" t="n">
        <v>40112</v>
      </c>
      <c r="F101" s="16" t="s">
        <v>17</v>
      </c>
      <c r="G101" s="224" t="s">
        <v>1410</v>
      </c>
      <c r="H101" s="487"/>
      <c r="I101" s="334"/>
      <c r="J101" s="487"/>
      <c r="K101" s="334"/>
      <c r="L101" s="487"/>
      <c r="M101" s="334"/>
      <c r="N101" s="523"/>
      <c r="O101" s="522"/>
      <c r="P101" s="336" t="n">
        <f aca="false">SUM(I101:O101)</f>
        <v>0</v>
      </c>
    </row>
    <row r="102" customFormat="false" ht="15" hidden="false" customHeight="true" outlineLevel="0" collapsed="false">
      <c r="A102" s="62" t="n">
        <v>4059</v>
      </c>
      <c r="B102" s="23" t="s">
        <v>858</v>
      </c>
      <c r="C102" s="23" t="s">
        <v>859</v>
      </c>
      <c r="D102" s="24" t="s">
        <v>8</v>
      </c>
      <c r="E102" s="104" t="n">
        <v>41172</v>
      </c>
      <c r="F102" s="16" t="s">
        <v>17</v>
      </c>
      <c r="G102" s="224" t="s">
        <v>1411</v>
      </c>
      <c r="H102" s="487"/>
      <c r="I102" s="334"/>
      <c r="J102" s="487"/>
      <c r="K102" s="334"/>
      <c r="L102" s="487"/>
      <c r="M102" s="334"/>
      <c r="N102" s="523"/>
      <c r="O102" s="522"/>
      <c r="P102" s="336" t="n">
        <f aca="false">SUM(I102:O102)</f>
        <v>0</v>
      </c>
    </row>
    <row r="103" customFormat="false" ht="15" hidden="false" customHeight="true" outlineLevel="0" collapsed="false">
      <c r="A103" s="62" t="n">
        <v>4060</v>
      </c>
      <c r="B103" s="23" t="s">
        <v>942</v>
      </c>
      <c r="C103" s="23" t="s">
        <v>943</v>
      </c>
      <c r="D103" s="24" t="s">
        <v>8</v>
      </c>
      <c r="E103" s="25" t="n">
        <v>41037</v>
      </c>
      <c r="F103" s="16" t="s">
        <v>17</v>
      </c>
      <c r="G103" s="224" t="s">
        <v>1412</v>
      </c>
      <c r="H103" s="487"/>
      <c r="I103" s="334"/>
      <c r="J103" s="487"/>
      <c r="K103" s="334"/>
      <c r="L103" s="487"/>
      <c r="M103" s="334"/>
      <c r="N103" s="523"/>
      <c r="O103" s="522"/>
      <c r="P103" s="336" t="n">
        <f aca="false">SUM(I103:O103)</f>
        <v>0</v>
      </c>
    </row>
    <row r="104" customFormat="false" ht="15" hidden="false" customHeight="true" outlineLevel="0" collapsed="false">
      <c r="A104" s="62" t="n">
        <v>4061</v>
      </c>
      <c r="B104" s="23" t="s">
        <v>1237</v>
      </c>
      <c r="C104" s="23" t="s">
        <v>915</v>
      </c>
      <c r="D104" s="24" t="s">
        <v>26</v>
      </c>
      <c r="E104" s="25" t="n">
        <v>40185</v>
      </c>
      <c r="F104" s="16" t="s">
        <v>17</v>
      </c>
      <c r="G104" s="224" t="s">
        <v>1413</v>
      </c>
      <c r="H104" s="487"/>
      <c r="I104" s="334"/>
      <c r="J104" s="487"/>
      <c r="K104" s="334"/>
      <c r="L104" s="487"/>
      <c r="M104" s="334"/>
      <c r="N104" s="523"/>
      <c r="O104" s="522"/>
      <c r="P104" s="336" t="n">
        <f aca="false">SUM(I104:O104)</f>
        <v>0</v>
      </c>
    </row>
    <row r="105" customFormat="false" ht="15" hidden="false" customHeight="true" outlineLevel="0" collapsed="false">
      <c r="A105" s="2" t="n">
        <v>4097</v>
      </c>
      <c r="B105" s="147" t="s">
        <v>1216</v>
      </c>
      <c r="C105" s="147" t="s">
        <v>107</v>
      </c>
      <c r="D105" s="14" t="s">
        <v>8</v>
      </c>
      <c r="E105" s="281" t="n">
        <v>40479</v>
      </c>
      <c r="F105" s="38" t="s">
        <v>29</v>
      </c>
      <c r="G105" s="224" t="s">
        <v>1414</v>
      </c>
      <c r="H105" s="333"/>
      <c r="I105" s="334"/>
      <c r="J105" s="487"/>
      <c r="K105" s="334"/>
      <c r="L105" s="487"/>
      <c r="M105" s="334"/>
      <c r="N105" s="523"/>
      <c r="O105" s="522"/>
      <c r="P105" s="336" t="n">
        <f aca="false">SUM(I105:O105)</f>
        <v>0</v>
      </c>
    </row>
    <row r="106" customFormat="false" ht="15" hidden="false" customHeight="true" outlineLevel="0" collapsed="false">
      <c r="A106" s="2" t="n">
        <v>4098</v>
      </c>
      <c r="B106" s="39" t="s">
        <v>421</v>
      </c>
      <c r="C106" s="129" t="s">
        <v>422</v>
      </c>
      <c r="D106" s="14" t="s">
        <v>8</v>
      </c>
      <c r="E106" s="41" t="n">
        <v>41230</v>
      </c>
      <c r="F106" s="16" t="s">
        <v>29</v>
      </c>
      <c r="G106" s="224" t="s">
        <v>1415</v>
      </c>
      <c r="H106" s="333" t="s">
        <v>1346</v>
      </c>
      <c r="I106" s="334" t="n">
        <v>9</v>
      </c>
      <c r="J106" s="487"/>
      <c r="K106" s="334"/>
      <c r="L106" s="487"/>
      <c r="M106" s="334"/>
      <c r="N106" s="523"/>
      <c r="O106" s="522"/>
      <c r="P106" s="336" t="n">
        <f aca="false">SUM(I106:O106)</f>
        <v>9</v>
      </c>
    </row>
    <row r="107" customFormat="false" ht="15" hidden="false" customHeight="true" outlineLevel="0" collapsed="false">
      <c r="A107" s="365" t="n">
        <v>4099</v>
      </c>
      <c r="B107" s="82" t="s">
        <v>1416</v>
      </c>
      <c r="C107" s="40" t="s">
        <v>199</v>
      </c>
      <c r="D107" s="14" t="s">
        <v>8</v>
      </c>
      <c r="E107" s="59" t="n">
        <v>40801</v>
      </c>
      <c r="F107" s="16" t="s">
        <v>9</v>
      </c>
      <c r="G107" s="224" t="s">
        <v>1417</v>
      </c>
      <c r="H107" s="333" t="s">
        <v>1346</v>
      </c>
      <c r="I107" s="334" t="n">
        <v>4</v>
      </c>
      <c r="J107" s="487"/>
      <c r="K107" s="334"/>
      <c r="L107" s="487"/>
      <c r="M107" s="334"/>
      <c r="N107" s="523"/>
      <c r="O107" s="522"/>
      <c r="P107" s="336" t="n">
        <f aca="false">SUM(I107:O107)</f>
        <v>4</v>
      </c>
    </row>
    <row r="108" customFormat="false" ht="15" hidden="false" customHeight="true" outlineLevel="0" collapsed="false">
      <c r="A108" s="365" t="n">
        <v>4100</v>
      </c>
      <c r="B108" s="57" t="s">
        <v>1418</v>
      </c>
      <c r="C108" s="58" t="s">
        <v>1419</v>
      </c>
      <c r="D108" s="14"/>
      <c r="E108" s="263" t="n">
        <v>40698</v>
      </c>
      <c r="F108" s="14" t="s">
        <v>129</v>
      </c>
      <c r="G108" s="224" t="s">
        <v>1420</v>
      </c>
      <c r="H108" s="333" t="s">
        <v>1346</v>
      </c>
      <c r="I108" s="334" t="n">
        <v>7</v>
      </c>
      <c r="J108" s="487"/>
      <c r="K108" s="334"/>
      <c r="L108" s="487"/>
      <c r="M108" s="334"/>
      <c r="N108" s="523"/>
      <c r="O108" s="522"/>
      <c r="P108" s="336" t="n">
        <f aca="false">SUM(I108:O108)</f>
        <v>7</v>
      </c>
    </row>
    <row r="109" customFormat="false" ht="15" hidden="false" customHeight="true" outlineLevel="0" collapsed="false">
      <c r="A109" s="365" t="n">
        <v>4101</v>
      </c>
      <c r="B109" s="57" t="s">
        <v>1421</v>
      </c>
      <c r="C109" s="58" t="s">
        <v>520</v>
      </c>
      <c r="D109" s="14" t="s">
        <v>8</v>
      </c>
      <c r="E109" s="59" t="n">
        <v>40634</v>
      </c>
      <c r="F109" s="16" t="s">
        <v>119</v>
      </c>
      <c r="G109" s="14" t="n">
        <v>500</v>
      </c>
      <c r="H109" s="333" t="s">
        <v>1346</v>
      </c>
      <c r="I109" s="334" t="n">
        <v>4</v>
      </c>
      <c r="J109" s="487"/>
      <c r="K109" s="334"/>
      <c r="L109" s="487"/>
      <c r="M109" s="334"/>
      <c r="N109" s="523"/>
      <c r="O109" s="522"/>
      <c r="P109" s="336" t="n">
        <f aca="false">SUM(I109:O109)</f>
        <v>4</v>
      </c>
    </row>
    <row r="110" customFormat="false" ht="15" hidden="false" customHeight="true" outlineLevel="0" collapsed="false">
      <c r="A110" s="365" t="n">
        <v>4102</v>
      </c>
      <c r="B110" s="82" t="s">
        <v>1422</v>
      </c>
      <c r="C110" s="40" t="s">
        <v>1423</v>
      </c>
      <c r="D110" s="14"/>
      <c r="E110" s="59" t="n">
        <v>41219</v>
      </c>
      <c r="F110" s="16" t="s">
        <v>129</v>
      </c>
      <c r="G110" s="14" t="n">
        <v>500</v>
      </c>
      <c r="H110" s="333" t="s">
        <v>1346</v>
      </c>
      <c r="I110" s="334" t="n">
        <v>2</v>
      </c>
      <c r="J110" s="487"/>
      <c r="K110" s="334"/>
      <c r="L110" s="487"/>
      <c r="M110" s="334"/>
      <c r="N110" s="523"/>
      <c r="O110" s="522"/>
      <c r="P110" s="336" t="n">
        <f aca="false">SUM(I110:O110)</f>
        <v>2</v>
      </c>
    </row>
    <row r="111" customFormat="false" ht="15" hidden="false" customHeight="true" outlineLevel="0" collapsed="false">
      <c r="A111" s="365" t="n">
        <v>4103</v>
      </c>
      <c r="B111" s="57" t="s">
        <v>1424</v>
      </c>
      <c r="C111" s="58" t="s">
        <v>1425</v>
      </c>
      <c r="D111" s="14"/>
      <c r="E111" s="59" t="n">
        <v>40026</v>
      </c>
      <c r="F111" s="16" t="s">
        <v>129</v>
      </c>
      <c r="G111" s="14" t="n">
        <v>500</v>
      </c>
      <c r="H111" s="333" t="s">
        <v>1346</v>
      </c>
      <c r="I111" s="334" t="n">
        <v>2</v>
      </c>
      <c r="J111" s="487"/>
      <c r="K111" s="334"/>
      <c r="L111" s="487"/>
      <c r="M111" s="334"/>
      <c r="N111" s="523"/>
      <c r="O111" s="522"/>
      <c r="P111" s="336" t="n">
        <f aca="false">SUM(I111:O111)</f>
        <v>2</v>
      </c>
    </row>
    <row r="112" customFormat="false" ht="15" hidden="false" customHeight="true" outlineLevel="0" collapsed="false">
      <c r="A112" s="365"/>
      <c r="B112" s="60"/>
      <c r="C112" s="61"/>
      <c r="D112" s="14"/>
      <c r="E112" s="33"/>
      <c r="F112" s="16"/>
      <c r="G112" s="526"/>
      <c r="H112" s="333"/>
      <c r="I112" s="334"/>
      <c r="J112" s="487"/>
      <c r="K112" s="334"/>
      <c r="L112" s="487"/>
      <c r="M112" s="334"/>
      <c r="N112" s="523"/>
      <c r="O112" s="522"/>
      <c r="P112" s="336" t="n">
        <f aca="false">SUM(I112:O112)</f>
        <v>0</v>
      </c>
    </row>
    <row r="113" customFormat="false" ht="15" hidden="false" customHeight="true" outlineLevel="0" collapsed="false">
      <c r="A113" s="365"/>
      <c r="B113" s="82"/>
      <c r="C113" s="40"/>
      <c r="D113" s="14"/>
      <c r="E113" s="59"/>
      <c r="F113" s="16"/>
      <c r="G113" s="526"/>
      <c r="H113" s="333"/>
      <c r="I113" s="334"/>
      <c r="J113" s="487"/>
      <c r="K113" s="334"/>
      <c r="L113" s="487"/>
      <c r="M113" s="334"/>
      <c r="N113" s="523"/>
      <c r="O113" s="522"/>
      <c r="P113" s="336" t="n">
        <f aca="false">SUM(I113:O113)</f>
        <v>0</v>
      </c>
    </row>
    <row r="114" customFormat="false" ht="15" hidden="false" customHeight="true" outlineLevel="0" collapsed="false">
      <c r="A114" s="365"/>
      <c r="B114" s="368"/>
      <c r="C114" s="39"/>
      <c r="D114" s="14"/>
      <c r="E114" s="73"/>
      <c r="F114" s="16"/>
      <c r="G114" s="527"/>
      <c r="H114" s="333"/>
      <c r="I114" s="334"/>
      <c r="J114" s="487"/>
      <c r="K114" s="334"/>
      <c r="L114" s="487"/>
      <c r="M114" s="334"/>
      <c r="N114" s="521"/>
      <c r="O114" s="522"/>
      <c r="P114" s="336" t="n">
        <f aca="false">SUM(I114:O114)</f>
        <v>0</v>
      </c>
    </row>
    <row r="115" customFormat="false" ht="15" hidden="false" customHeight="true" outlineLevel="0" collapsed="false">
      <c r="A115" s="365"/>
      <c r="B115" s="82"/>
      <c r="C115" s="40"/>
      <c r="D115" s="14"/>
      <c r="E115" s="120"/>
      <c r="F115" s="16"/>
      <c r="G115" s="526"/>
      <c r="H115" s="333"/>
      <c r="I115" s="334"/>
      <c r="J115" s="487"/>
      <c r="K115" s="334"/>
      <c r="L115" s="487"/>
      <c r="M115" s="334"/>
      <c r="N115" s="523"/>
      <c r="O115" s="522"/>
      <c r="P115" s="336" t="n">
        <f aca="false">SUM(I115:O115)</f>
        <v>0</v>
      </c>
    </row>
    <row r="116" customFormat="false" ht="15" hidden="false" customHeight="true" outlineLevel="0" collapsed="false">
      <c r="A116" s="365"/>
      <c r="B116" s="57"/>
      <c r="C116" s="58"/>
      <c r="D116" s="14"/>
      <c r="E116" s="263"/>
      <c r="F116" s="16"/>
      <c r="G116" s="526"/>
      <c r="H116" s="333"/>
      <c r="I116" s="334"/>
      <c r="J116" s="487"/>
      <c r="K116" s="334"/>
      <c r="L116" s="487"/>
      <c r="M116" s="334"/>
      <c r="N116" s="523"/>
      <c r="O116" s="522"/>
      <c r="P116" s="336" t="n">
        <f aca="false">SUM(I116:O116)</f>
        <v>0</v>
      </c>
    </row>
    <row r="117" customFormat="false" ht="15" hidden="false" customHeight="true" outlineLevel="0" collapsed="false">
      <c r="A117" s="365"/>
      <c r="B117" s="82"/>
      <c r="C117" s="40"/>
      <c r="D117" s="14"/>
      <c r="E117" s="59"/>
      <c r="F117" s="16"/>
      <c r="G117" s="526"/>
      <c r="H117" s="333"/>
      <c r="I117" s="334"/>
      <c r="J117" s="487"/>
      <c r="K117" s="334"/>
      <c r="L117" s="487"/>
      <c r="M117" s="334"/>
      <c r="N117" s="523"/>
      <c r="O117" s="522"/>
      <c r="P117" s="336" t="n">
        <f aca="false">SUM(I117:O117)</f>
        <v>0</v>
      </c>
    </row>
    <row r="118" customFormat="false" ht="15" hidden="false" customHeight="true" outlineLevel="0" collapsed="false">
      <c r="A118" s="365"/>
      <c r="B118" s="60"/>
      <c r="C118" s="61"/>
      <c r="D118" s="14"/>
      <c r="E118" s="33"/>
      <c r="F118" s="16"/>
      <c r="G118" s="526"/>
      <c r="H118" s="333"/>
      <c r="I118" s="334"/>
      <c r="J118" s="487"/>
      <c r="K118" s="334"/>
      <c r="L118" s="487"/>
      <c r="M118" s="334"/>
      <c r="N118" s="521"/>
      <c r="O118" s="522"/>
      <c r="P118" s="336" t="n">
        <f aca="false">SUM(I118:O118)</f>
        <v>0</v>
      </c>
    </row>
    <row r="119" customFormat="false" ht="15" hidden="false" customHeight="true" outlineLevel="0" collapsed="false">
      <c r="A119" s="379"/>
      <c r="B119" s="91"/>
      <c r="C119" s="92"/>
      <c r="D119" s="88"/>
      <c r="E119" s="93"/>
      <c r="F119" s="90"/>
      <c r="G119" s="526"/>
      <c r="H119" s="333"/>
      <c r="I119" s="334"/>
      <c r="J119" s="487"/>
      <c r="K119" s="334"/>
      <c r="L119" s="487"/>
      <c r="M119" s="334"/>
      <c r="N119" s="523"/>
      <c r="O119" s="522"/>
      <c r="P119" s="336" t="n">
        <f aca="false">SUM(I119:O119)</f>
        <v>0</v>
      </c>
    </row>
    <row r="120" customFormat="false" ht="16.5" hidden="false" customHeight="true" outlineLevel="0" collapsed="false">
      <c r="A120" s="379"/>
      <c r="B120" s="60"/>
      <c r="C120" s="61"/>
      <c r="D120" s="14"/>
      <c r="E120" s="33"/>
      <c r="F120" s="16"/>
      <c r="G120" s="526"/>
      <c r="H120" s="333"/>
      <c r="I120" s="334"/>
      <c r="J120" s="487"/>
      <c r="K120" s="334"/>
      <c r="L120" s="487"/>
      <c r="M120" s="334"/>
      <c r="N120" s="523"/>
      <c r="O120" s="522"/>
      <c r="P120" s="336" t="n">
        <f aca="false">SUM(I120:O120)</f>
        <v>0</v>
      </c>
    </row>
    <row r="121" customFormat="false" ht="16.5" hidden="false" customHeight="true" outlineLevel="0" collapsed="false">
      <c r="A121" s="379"/>
      <c r="B121" s="12"/>
      <c r="C121" s="13"/>
      <c r="D121" s="14"/>
      <c r="E121" s="33"/>
      <c r="F121" s="16"/>
      <c r="G121" s="526"/>
      <c r="H121" s="333"/>
      <c r="I121" s="334"/>
      <c r="J121" s="487"/>
      <c r="K121" s="334"/>
      <c r="L121" s="487"/>
      <c r="M121" s="334"/>
      <c r="N121" s="523"/>
      <c r="O121" s="522"/>
      <c r="P121" s="336" t="n">
        <f aca="false">SUM(I121:O121)</f>
        <v>0</v>
      </c>
    </row>
    <row r="122" customFormat="false" ht="16.5" hidden="false" customHeight="true" outlineLevel="0" collapsed="false">
      <c r="A122" s="379"/>
      <c r="B122" s="154"/>
      <c r="C122" s="119"/>
      <c r="D122" s="14"/>
      <c r="E122" s="59"/>
      <c r="F122" s="88"/>
      <c r="G122" s="526"/>
      <c r="H122" s="333"/>
      <c r="I122" s="334"/>
      <c r="J122" s="487"/>
      <c r="K122" s="334"/>
      <c r="L122" s="487"/>
      <c r="M122" s="334"/>
      <c r="N122" s="523"/>
      <c r="O122" s="522"/>
      <c r="P122" s="336" t="n">
        <f aca="false">SUM(I122:O122)</f>
        <v>0</v>
      </c>
    </row>
    <row r="123" customFormat="false" ht="16.5" hidden="false" customHeight="true" outlineLevel="0" collapsed="false">
      <c r="A123" s="379"/>
      <c r="B123" s="12"/>
      <c r="C123" s="13"/>
      <c r="D123" s="14"/>
      <c r="E123" s="59"/>
      <c r="F123" s="90"/>
      <c r="G123" s="528"/>
      <c r="H123" s="333"/>
      <c r="I123" s="334"/>
      <c r="J123" s="487"/>
      <c r="K123" s="334"/>
      <c r="L123" s="487"/>
      <c r="M123" s="334"/>
      <c r="N123" s="523"/>
      <c r="O123" s="522"/>
      <c r="P123" s="336" t="n">
        <f aca="false">SUM(I123:O123)</f>
        <v>0</v>
      </c>
    </row>
    <row r="124" customFormat="false" ht="15" hidden="false" customHeight="true" outlineLevel="0" collapsed="false">
      <c r="A124" s="379"/>
      <c r="B124" s="34"/>
      <c r="C124" s="34"/>
      <c r="D124" s="14"/>
      <c r="E124" s="102"/>
      <c r="F124" s="16"/>
      <c r="G124" s="529"/>
      <c r="H124" s="333"/>
      <c r="I124" s="334"/>
      <c r="J124" s="487"/>
      <c r="K124" s="334"/>
      <c r="L124" s="487"/>
      <c r="M124" s="334"/>
      <c r="N124" s="523"/>
      <c r="O124" s="522"/>
      <c r="P124" s="336" t="n">
        <f aca="false">SUM(I124:O124)</f>
        <v>0</v>
      </c>
    </row>
    <row r="125" customFormat="false" ht="16.5" hidden="false" customHeight="true" outlineLevel="0" collapsed="false">
      <c r="A125" s="379"/>
      <c r="B125" s="57"/>
      <c r="C125" s="58"/>
      <c r="D125" s="14"/>
      <c r="E125" s="59"/>
      <c r="F125" s="16"/>
      <c r="G125" s="528"/>
      <c r="H125" s="333"/>
      <c r="I125" s="334"/>
      <c r="J125" s="487"/>
      <c r="K125" s="334"/>
      <c r="L125" s="487"/>
      <c r="M125" s="334"/>
      <c r="N125" s="521"/>
      <c r="O125" s="522"/>
      <c r="P125" s="336" t="n">
        <f aca="false">SUM(I125:O125)</f>
        <v>0</v>
      </c>
    </row>
    <row r="126" customFormat="false" ht="16.5" hidden="false" customHeight="true" outlineLevel="0" collapsed="false">
      <c r="A126" s="379"/>
      <c r="B126" s="57"/>
      <c r="C126" s="58"/>
      <c r="D126" s="14"/>
      <c r="E126" s="59"/>
      <c r="F126" s="16"/>
      <c r="G126" s="528"/>
      <c r="H126" s="333"/>
      <c r="I126" s="334"/>
      <c r="J126" s="487"/>
      <c r="K126" s="334"/>
      <c r="L126" s="487"/>
      <c r="M126" s="334"/>
      <c r="N126" s="523"/>
      <c r="O126" s="522"/>
      <c r="P126" s="336" t="n">
        <f aca="false">SUM(I126:O126)</f>
        <v>0</v>
      </c>
    </row>
    <row r="127" customFormat="false" ht="16.5" hidden="false" customHeight="true" outlineLevel="0" collapsed="false">
      <c r="A127" s="379"/>
      <c r="B127" s="60"/>
      <c r="C127" s="61"/>
      <c r="D127" s="14"/>
      <c r="E127" s="33"/>
      <c r="F127" s="16"/>
      <c r="G127" s="528"/>
      <c r="H127" s="333"/>
      <c r="I127" s="334"/>
      <c r="J127" s="487"/>
      <c r="K127" s="334"/>
      <c r="L127" s="487"/>
      <c r="M127" s="334"/>
      <c r="N127" s="523"/>
      <c r="O127" s="522"/>
      <c r="P127" s="336" t="n">
        <f aca="false">SUM(I127:O127)</f>
        <v>0</v>
      </c>
    </row>
    <row r="128" customFormat="false" ht="16.5" hidden="false" customHeight="true" outlineLevel="0" collapsed="false">
      <c r="A128" s="379"/>
      <c r="B128" s="60"/>
      <c r="C128" s="61"/>
      <c r="D128" s="14"/>
      <c r="E128" s="33"/>
      <c r="F128" s="16"/>
      <c r="G128" s="528"/>
      <c r="H128" s="333"/>
      <c r="I128" s="334"/>
      <c r="J128" s="487"/>
      <c r="K128" s="334"/>
      <c r="L128" s="487"/>
      <c r="M128" s="334"/>
      <c r="N128" s="521"/>
      <c r="O128" s="522"/>
      <c r="P128" s="336" t="n">
        <f aca="false">SUM(I128:O128)</f>
        <v>0</v>
      </c>
    </row>
    <row r="129" customFormat="false" ht="16.5" hidden="false" customHeight="true" outlineLevel="0" collapsed="false">
      <c r="A129" s="379"/>
      <c r="B129" s="60"/>
      <c r="C129" s="61"/>
      <c r="D129" s="14"/>
      <c r="E129" s="33"/>
      <c r="F129" s="16"/>
      <c r="G129" s="528"/>
      <c r="H129" s="333"/>
      <c r="I129" s="334"/>
      <c r="J129" s="487"/>
      <c r="K129" s="334"/>
      <c r="L129" s="487"/>
      <c r="M129" s="334"/>
      <c r="N129" s="523"/>
      <c r="O129" s="522"/>
      <c r="P129" s="336" t="n">
        <f aca="false">SUM(I129:O129)</f>
        <v>0</v>
      </c>
    </row>
    <row r="130" customFormat="false" ht="16.5" hidden="false" customHeight="true" outlineLevel="0" collapsed="false">
      <c r="A130" s="379"/>
      <c r="B130" s="60"/>
      <c r="C130" s="61"/>
      <c r="D130" s="14"/>
      <c r="E130" s="33"/>
      <c r="F130" s="16"/>
      <c r="G130" s="528"/>
      <c r="H130" s="333"/>
      <c r="I130" s="334"/>
      <c r="J130" s="487"/>
      <c r="K130" s="334"/>
      <c r="L130" s="487"/>
      <c r="M130" s="334"/>
      <c r="N130" s="523"/>
      <c r="O130" s="522"/>
      <c r="P130" s="336" t="n">
        <f aca="false">SUM(I130:O130)</f>
        <v>0</v>
      </c>
    </row>
    <row r="131" customFormat="false" ht="16.5" hidden="false" customHeight="true" outlineLevel="0" collapsed="false">
      <c r="A131" s="379"/>
      <c r="B131" s="12"/>
      <c r="C131" s="13"/>
      <c r="D131" s="14"/>
      <c r="E131" s="33"/>
      <c r="F131" s="16"/>
      <c r="G131" s="528"/>
      <c r="H131" s="333"/>
      <c r="I131" s="334"/>
      <c r="J131" s="487"/>
      <c r="K131" s="334"/>
      <c r="L131" s="487"/>
      <c r="M131" s="334"/>
      <c r="N131" s="523"/>
      <c r="O131" s="522"/>
      <c r="P131" s="336" t="n">
        <f aca="false">SUM(I131:O131)</f>
        <v>0</v>
      </c>
    </row>
    <row r="132" customFormat="false" ht="16.5" hidden="false" customHeight="true" outlineLevel="0" collapsed="false">
      <c r="A132" s="379"/>
      <c r="B132" s="34"/>
      <c r="C132" s="34"/>
      <c r="D132" s="14"/>
      <c r="E132" s="73"/>
      <c r="F132" s="90"/>
      <c r="G132" s="530"/>
      <c r="H132" s="333"/>
      <c r="I132" s="334"/>
      <c r="J132" s="487"/>
      <c r="K132" s="334"/>
      <c r="L132" s="487"/>
      <c r="M132" s="334"/>
      <c r="N132" s="521"/>
      <c r="O132" s="522"/>
      <c r="P132" s="336" t="n">
        <f aca="false">SUM(I132:O132)</f>
        <v>0</v>
      </c>
    </row>
    <row r="133" customFormat="false" ht="16.5" hidden="false" customHeight="true" outlineLevel="0" collapsed="false">
      <c r="A133" s="379"/>
      <c r="B133" s="57"/>
      <c r="C133" s="58"/>
      <c r="D133" s="14"/>
      <c r="E133" s="59"/>
      <c r="F133" s="90"/>
      <c r="G133" s="528"/>
      <c r="H133" s="333"/>
      <c r="I133" s="334"/>
      <c r="J133" s="487"/>
      <c r="K133" s="334"/>
      <c r="L133" s="487"/>
      <c r="M133" s="334"/>
      <c r="N133" s="521"/>
      <c r="O133" s="522"/>
      <c r="P133" s="336" t="n">
        <f aca="false">SUM(I133:O133)</f>
        <v>0</v>
      </c>
    </row>
    <row r="134" customFormat="false" ht="16.5" hidden="false" customHeight="true" outlineLevel="0" collapsed="false">
      <c r="A134" s="379"/>
      <c r="B134" s="34"/>
      <c r="C134" s="44"/>
      <c r="D134" s="14"/>
      <c r="E134" s="73"/>
      <c r="F134" s="16"/>
      <c r="G134" s="529"/>
      <c r="H134" s="333"/>
      <c r="I134" s="334"/>
      <c r="J134" s="487"/>
      <c r="K134" s="334"/>
      <c r="L134" s="487"/>
      <c r="M134" s="334"/>
      <c r="N134" s="523"/>
      <c r="O134" s="522"/>
      <c r="P134" s="336" t="n">
        <f aca="false">SUM(I134:O134)</f>
        <v>0</v>
      </c>
    </row>
    <row r="135" customFormat="false" ht="16.5" hidden="false" customHeight="true" outlineLevel="0" collapsed="false">
      <c r="A135" s="379"/>
      <c r="B135" s="82"/>
      <c r="C135" s="40"/>
      <c r="D135" s="14"/>
      <c r="E135" s="59"/>
      <c r="F135" s="16"/>
      <c r="G135" s="528"/>
      <c r="H135" s="333"/>
      <c r="I135" s="334"/>
      <c r="J135" s="487"/>
      <c r="K135" s="334"/>
      <c r="L135" s="487"/>
      <c r="M135" s="334"/>
      <c r="N135" s="523"/>
      <c r="O135" s="522"/>
      <c r="P135" s="336" t="n">
        <f aca="false">SUM(I135:O135)</f>
        <v>0</v>
      </c>
    </row>
    <row r="136" customFormat="false" ht="16.5" hidden="false" customHeight="true" outlineLevel="0" collapsed="false">
      <c r="A136" s="379"/>
      <c r="B136" s="57"/>
      <c r="C136" s="58"/>
      <c r="D136" s="14"/>
      <c r="E136" s="59"/>
      <c r="F136" s="16" t="s">
        <v>52</v>
      </c>
      <c r="G136" s="528"/>
      <c r="H136" s="333"/>
      <c r="I136" s="334"/>
      <c r="J136" s="487"/>
      <c r="K136" s="334"/>
      <c r="L136" s="487"/>
      <c r="M136" s="334"/>
      <c r="N136" s="523"/>
      <c r="O136" s="522"/>
      <c r="P136" s="336" t="n">
        <f aca="false">SUM(I136:O136)</f>
        <v>0</v>
      </c>
    </row>
    <row r="137" customFormat="false" ht="16.5" hidden="false" customHeight="true" outlineLevel="0" collapsed="false">
      <c r="A137" s="379"/>
      <c r="B137" s="368"/>
      <c r="C137" s="39"/>
      <c r="D137" s="14"/>
      <c r="E137" s="73"/>
      <c r="F137" s="16" t="s">
        <v>197</v>
      </c>
      <c r="G137" s="529"/>
      <c r="H137" s="333"/>
      <c r="I137" s="334"/>
      <c r="J137" s="487"/>
      <c r="K137" s="334"/>
      <c r="L137" s="487"/>
      <c r="M137" s="334"/>
      <c r="N137" s="523"/>
      <c r="O137" s="522"/>
      <c r="P137" s="336" t="n">
        <f aca="false">SUM(I137:O137)</f>
        <v>0</v>
      </c>
    </row>
    <row r="138" customFormat="false" ht="16.5" hidden="false" customHeight="true" outlineLevel="0" collapsed="false">
      <c r="A138" s="379"/>
      <c r="B138" s="368"/>
      <c r="C138" s="39"/>
      <c r="D138" s="14"/>
      <c r="E138" s="73"/>
      <c r="F138" s="16" t="s">
        <v>20</v>
      </c>
      <c r="G138" s="529"/>
      <c r="H138" s="333"/>
      <c r="I138" s="334"/>
      <c r="J138" s="487"/>
      <c r="K138" s="334"/>
      <c r="L138" s="487"/>
      <c r="M138" s="334"/>
      <c r="N138" s="521"/>
      <c r="O138" s="522"/>
      <c r="P138" s="336" t="n">
        <f aca="false">SUM(I138:O138)</f>
        <v>0</v>
      </c>
    </row>
    <row r="139" customFormat="false" ht="16.5" hidden="false" customHeight="true" outlineLevel="0" collapsed="false">
      <c r="A139" s="379"/>
      <c r="B139" s="12"/>
      <c r="C139" s="13"/>
      <c r="D139" s="14"/>
      <c r="E139" s="33"/>
      <c r="F139" s="16" t="s">
        <v>129</v>
      </c>
      <c r="G139" s="528"/>
      <c r="H139" s="333"/>
      <c r="I139" s="334"/>
      <c r="J139" s="487"/>
      <c r="K139" s="334"/>
      <c r="L139" s="487"/>
      <c r="M139" s="334"/>
      <c r="N139" s="523"/>
      <c r="O139" s="522"/>
      <c r="P139" s="336" t="n">
        <f aca="false">SUM(I139:O139)</f>
        <v>0</v>
      </c>
    </row>
    <row r="140" customFormat="false" ht="16.5" hidden="false" customHeight="true" outlineLevel="0" collapsed="false">
      <c r="A140" s="379"/>
      <c r="B140" s="34"/>
      <c r="C140" s="34"/>
      <c r="D140" s="14"/>
      <c r="E140" s="102"/>
      <c r="F140" s="16" t="s">
        <v>29</v>
      </c>
      <c r="G140" s="529"/>
      <c r="H140" s="333"/>
      <c r="I140" s="334"/>
      <c r="J140" s="487"/>
      <c r="K140" s="334"/>
      <c r="L140" s="487"/>
      <c r="M140" s="334"/>
      <c r="N140" s="523"/>
      <c r="O140" s="522"/>
      <c r="P140" s="336" t="n">
        <f aca="false">SUM(I140:O140)</f>
        <v>0</v>
      </c>
    </row>
    <row r="141" customFormat="false" ht="16.5" hidden="false" customHeight="true" outlineLevel="0" collapsed="false">
      <c r="A141" s="379"/>
      <c r="B141" s="368"/>
      <c r="C141" s="39"/>
      <c r="D141" s="14"/>
      <c r="E141" s="73"/>
      <c r="F141" s="16" t="s">
        <v>9</v>
      </c>
      <c r="G141" s="529"/>
      <c r="H141" s="333"/>
      <c r="I141" s="334"/>
      <c r="J141" s="487"/>
      <c r="K141" s="334"/>
      <c r="L141" s="487"/>
      <c r="M141" s="334"/>
      <c r="N141" s="523"/>
      <c r="O141" s="522"/>
      <c r="P141" s="336" t="n">
        <f aca="false">SUM(I141:O141)</f>
        <v>0</v>
      </c>
    </row>
    <row r="142" customFormat="false" ht="16.5" hidden="false" customHeight="true" outlineLevel="0" collapsed="false">
      <c r="A142" s="379"/>
      <c r="B142" s="57"/>
      <c r="C142" s="58"/>
      <c r="D142" s="14"/>
      <c r="E142" s="59"/>
      <c r="F142" s="16" t="s">
        <v>34</v>
      </c>
      <c r="G142" s="528"/>
      <c r="H142" s="333"/>
      <c r="I142" s="334"/>
      <c r="J142" s="487"/>
      <c r="K142" s="334"/>
      <c r="L142" s="487"/>
      <c r="M142" s="334"/>
      <c r="N142" s="523"/>
      <c r="O142" s="522"/>
      <c r="P142" s="336" t="n">
        <f aca="false">SUM(I142:O142)</f>
        <v>0</v>
      </c>
    </row>
    <row r="143" customFormat="false" ht="16.5" hidden="false" customHeight="true" outlineLevel="0" collapsed="false">
      <c r="A143" s="379"/>
      <c r="B143" s="82"/>
      <c r="C143" s="40"/>
      <c r="D143" s="14"/>
      <c r="E143" s="59"/>
      <c r="F143" s="14" t="s">
        <v>119</v>
      </c>
      <c r="G143" s="528"/>
      <c r="H143" s="333"/>
      <c r="I143" s="334"/>
      <c r="J143" s="487"/>
      <c r="K143" s="334"/>
      <c r="L143" s="487"/>
      <c r="M143" s="334"/>
      <c r="N143" s="523"/>
      <c r="O143" s="522"/>
      <c r="P143" s="336" t="n">
        <f aca="false">SUM(I143:O143)</f>
        <v>0</v>
      </c>
    </row>
    <row r="144" customFormat="false" ht="16.5" hidden="false" customHeight="true" outlineLevel="0" collapsed="false">
      <c r="B144" s="486"/>
      <c r="C144" s="129"/>
      <c r="D144" s="531"/>
      <c r="E144" s="532"/>
      <c r="F144" s="16" t="s">
        <v>143</v>
      </c>
      <c r="G144" s="533"/>
      <c r="H144" s="333"/>
      <c r="I144" s="334"/>
      <c r="J144" s="487"/>
      <c r="K144" s="334"/>
      <c r="L144" s="487"/>
      <c r="M144" s="334"/>
      <c r="N144" s="523"/>
      <c r="O144" s="522"/>
      <c r="P144" s="336" t="n">
        <f aca="false">SUM(I144:O144)</f>
        <v>0</v>
      </c>
    </row>
    <row r="145" customFormat="false" ht="16.5" hidden="false" customHeight="true" outlineLevel="0" collapsed="false">
      <c r="B145" s="486"/>
      <c r="C145" s="129"/>
      <c r="D145" s="531"/>
      <c r="E145" s="532"/>
      <c r="F145" s="16" t="s">
        <v>12</v>
      </c>
      <c r="G145" s="170" t="n">
        <v>0</v>
      </c>
      <c r="H145" s="333"/>
      <c r="I145" s="334"/>
      <c r="J145" s="487"/>
      <c r="K145" s="334"/>
      <c r="L145" s="487"/>
      <c r="M145" s="334"/>
      <c r="N145" s="523"/>
      <c r="O145" s="522"/>
      <c r="P145" s="336" t="n">
        <f aca="false">SUM(I145:O145)</f>
        <v>0</v>
      </c>
    </row>
    <row r="146" customFormat="false" ht="19.5" hidden="false" customHeight="true" outlineLevel="0" collapsed="false">
      <c r="B146" s="486"/>
      <c r="C146" s="129"/>
      <c r="D146" s="531"/>
      <c r="E146" s="532"/>
      <c r="F146" s="16" t="s">
        <v>17</v>
      </c>
      <c r="G146" s="170" t="n">
        <v>0</v>
      </c>
      <c r="H146" s="333"/>
      <c r="I146" s="334"/>
      <c r="J146" s="487"/>
      <c r="K146" s="334"/>
      <c r="L146" s="487"/>
      <c r="M146" s="334"/>
      <c r="N146" s="523"/>
      <c r="O146" s="522"/>
      <c r="P146" s="336" t="n">
        <f aca="false">SUM(I146:O146)</f>
        <v>0</v>
      </c>
    </row>
    <row r="147" customFormat="false" ht="18" hidden="false" customHeight="true" outlineLevel="0" collapsed="false">
      <c r="B147" s="295"/>
      <c r="C147" s="295"/>
      <c r="D147" s="295"/>
      <c r="G147" s="318" t="s">
        <v>1348</v>
      </c>
      <c r="H147" s="1" t="n">
        <f aca="false">COUNTA(H8:H146)</f>
        <v>37</v>
      </c>
      <c r="I147" s="534"/>
      <c r="J147" s="1" t="n">
        <f aca="false">COUNTA(J8:J146)</f>
        <v>0</v>
      </c>
      <c r="K147" s="534"/>
      <c r="L147" s="1" t="n">
        <f aca="false">COUNTA(L8:L146)</f>
        <v>0</v>
      </c>
      <c r="M147" s="534"/>
      <c r="N147" s="1" t="n">
        <f aca="false">COUNTA(N8:N146)</f>
        <v>0</v>
      </c>
      <c r="O147" s="534"/>
      <c r="P147" s="534" t="n">
        <f aca="false">COUNTIF(P8:P146,"&gt;0")</f>
        <v>37</v>
      </c>
    </row>
    <row r="148" customFormat="false" ht="12.75" hidden="false" customHeight="true" outlineLevel="0" collapsed="false">
      <c r="J148" s="315"/>
    </row>
    <row r="149" customFormat="false" ht="12.75" hidden="false" customHeight="true" outlineLevel="0" collapsed="false">
      <c r="J149" s="315"/>
    </row>
    <row r="150" customFormat="false" ht="12.75" hidden="false" customHeight="true" outlineLevel="0" collapsed="false">
      <c r="J150" s="315"/>
    </row>
    <row r="151" customFormat="false" ht="12.75" hidden="false" customHeight="true" outlineLevel="0" collapsed="false">
      <c r="J151" s="315"/>
    </row>
    <row r="152" customFormat="false" ht="12.75" hidden="false" customHeight="true" outlineLevel="0" collapsed="false">
      <c r="J152" s="315"/>
    </row>
    <row r="153" customFormat="false" ht="12.75" hidden="false" customHeight="true" outlineLevel="0" collapsed="false">
      <c r="J153" s="315"/>
    </row>
    <row r="154" customFormat="false" ht="12.75" hidden="false" customHeight="true" outlineLevel="0" collapsed="false">
      <c r="J154" s="315"/>
    </row>
    <row r="155" customFormat="false" ht="12.75" hidden="false" customHeight="true" outlineLevel="0" collapsed="false">
      <c r="J155" s="315"/>
    </row>
    <row r="156" customFormat="false" ht="12.75" hidden="false" customHeight="true" outlineLevel="0" collapsed="false">
      <c r="J156" s="315"/>
    </row>
    <row r="157" customFormat="false" ht="12.75" hidden="false" customHeight="true" outlineLevel="0" collapsed="false">
      <c r="J157" s="315"/>
    </row>
    <row r="158" customFormat="false" ht="12.75" hidden="false" customHeight="true" outlineLevel="0" collapsed="false">
      <c r="J158" s="315"/>
    </row>
    <row r="159" customFormat="false" ht="12.75" hidden="false" customHeight="true" outlineLevel="0" collapsed="false">
      <c r="J159" s="315"/>
    </row>
    <row r="160" customFormat="false" ht="12.75" hidden="false" customHeight="true" outlineLevel="0" collapsed="false">
      <c r="J160" s="315"/>
    </row>
    <row r="161" customFormat="false" ht="12.75" hidden="false" customHeight="true" outlineLevel="0" collapsed="false">
      <c r="J161" s="315"/>
    </row>
    <row r="162" customFormat="false" ht="12.75" hidden="false" customHeight="true" outlineLevel="0" collapsed="false">
      <c r="J162" s="315"/>
    </row>
    <row r="163" customFormat="false" ht="12.75" hidden="false" customHeight="true" outlineLevel="0" collapsed="false">
      <c r="J163" s="315"/>
    </row>
    <row r="164" customFormat="false" ht="12.75" hidden="false" customHeight="true" outlineLevel="0" collapsed="false">
      <c r="J164" s="315"/>
    </row>
    <row r="165" customFormat="false" ht="12.75" hidden="false" customHeight="true" outlineLevel="0" collapsed="false">
      <c r="J165" s="315"/>
    </row>
    <row r="166" customFormat="false" ht="12.75" hidden="false" customHeight="true" outlineLevel="0" collapsed="false">
      <c r="J166" s="315"/>
    </row>
    <row r="167" customFormat="false" ht="12.75" hidden="false" customHeight="true" outlineLevel="0" collapsed="false">
      <c r="J167" s="315"/>
    </row>
    <row r="168" customFormat="false" ht="12.75" hidden="false" customHeight="true" outlineLevel="0" collapsed="false">
      <c r="J168" s="315"/>
    </row>
    <row r="169" customFormat="false" ht="12.75" hidden="false" customHeight="true" outlineLevel="0" collapsed="false">
      <c r="J169" s="315"/>
    </row>
    <row r="170" customFormat="false" ht="12.75" hidden="false" customHeight="true" outlineLevel="0" collapsed="false">
      <c r="J170" s="315"/>
    </row>
    <row r="171" customFormat="false" ht="12.75" hidden="false" customHeight="true" outlineLevel="0" collapsed="false">
      <c r="J171" s="315"/>
    </row>
    <row r="172" customFormat="false" ht="12.75" hidden="false" customHeight="true" outlineLevel="0" collapsed="false">
      <c r="J172" s="315"/>
    </row>
    <row r="173" customFormat="false" ht="12.75" hidden="false" customHeight="true" outlineLevel="0" collapsed="false">
      <c r="J173" s="315"/>
    </row>
    <row r="174" customFormat="false" ht="12.75" hidden="false" customHeight="true" outlineLevel="0" collapsed="false">
      <c r="J174" s="315"/>
    </row>
    <row r="175" customFormat="false" ht="12.75" hidden="false" customHeight="true" outlineLevel="0" collapsed="false">
      <c r="J175" s="315"/>
    </row>
    <row r="176" customFormat="false" ht="12.75" hidden="false" customHeight="true" outlineLevel="0" collapsed="false">
      <c r="J176" s="315"/>
    </row>
    <row r="177" customFormat="false" ht="12.75" hidden="false" customHeight="true" outlineLevel="0" collapsed="false">
      <c r="J177" s="315"/>
    </row>
    <row r="178" customFormat="false" ht="12.75" hidden="false" customHeight="true" outlineLevel="0" collapsed="false">
      <c r="J178" s="315"/>
    </row>
    <row r="179" customFormat="false" ht="12.75" hidden="false" customHeight="true" outlineLevel="0" collapsed="false">
      <c r="J179" s="315"/>
    </row>
    <row r="180" customFormat="false" ht="12.75" hidden="false" customHeight="true" outlineLevel="0" collapsed="false">
      <c r="J180" s="315"/>
    </row>
    <row r="181" customFormat="false" ht="12.75" hidden="false" customHeight="true" outlineLevel="0" collapsed="false">
      <c r="J181" s="315"/>
    </row>
    <row r="182" customFormat="false" ht="12.75" hidden="false" customHeight="true" outlineLevel="0" collapsed="false">
      <c r="J182" s="315"/>
    </row>
    <row r="183" customFormat="false" ht="12.75" hidden="false" customHeight="true" outlineLevel="0" collapsed="false">
      <c r="J183" s="315"/>
    </row>
    <row r="184" customFormat="false" ht="12.75" hidden="false" customHeight="true" outlineLevel="0" collapsed="false">
      <c r="J184" s="315"/>
    </row>
    <row r="185" customFormat="false" ht="12.75" hidden="false" customHeight="true" outlineLevel="0" collapsed="false">
      <c r="J185" s="315"/>
    </row>
    <row r="186" customFormat="false" ht="12.75" hidden="false" customHeight="true" outlineLevel="0" collapsed="false">
      <c r="J186" s="315"/>
    </row>
    <row r="187" customFormat="false" ht="12.75" hidden="false" customHeight="true" outlineLevel="0" collapsed="false">
      <c r="J187" s="315"/>
    </row>
    <row r="188" customFormat="false" ht="12.75" hidden="false" customHeight="true" outlineLevel="0" collapsed="false">
      <c r="J188" s="315"/>
    </row>
    <row r="189" customFormat="false" ht="12.75" hidden="false" customHeight="true" outlineLevel="0" collapsed="false">
      <c r="J189" s="315"/>
    </row>
    <row r="190" customFormat="false" ht="12.75" hidden="false" customHeight="true" outlineLevel="0" collapsed="false">
      <c r="J190" s="315"/>
    </row>
    <row r="191" customFormat="false" ht="12.75" hidden="false" customHeight="true" outlineLevel="0" collapsed="false">
      <c r="J191" s="315"/>
    </row>
    <row r="192" customFormat="false" ht="12.75" hidden="false" customHeight="true" outlineLevel="0" collapsed="false">
      <c r="J192" s="315"/>
    </row>
    <row r="193" customFormat="false" ht="12.75" hidden="false" customHeight="true" outlineLevel="0" collapsed="false">
      <c r="J193" s="315"/>
    </row>
    <row r="194" customFormat="false" ht="12.75" hidden="false" customHeight="true" outlineLevel="0" collapsed="false">
      <c r="J194" s="315"/>
    </row>
    <row r="195" customFormat="false" ht="12.75" hidden="false" customHeight="true" outlineLevel="0" collapsed="false">
      <c r="J195" s="315"/>
    </row>
    <row r="196" customFormat="false" ht="12.75" hidden="false" customHeight="true" outlineLevel="0" collapsed="false">
      <c r="J196" s="315"/>
    </row>
    <row r="197" customFormat="false" ht="12.75" hidden="false" customHeight="true" outlineLevel="0" collapsed="false">
      <c r="J197" s="315"/>
    </row>
    <row r="198" customFormat="false" ht="12.75" hidden="false" customHeight="true" outlineLevel="0" collapsed="false">
      <c r="J198" s="315"/>
    </row>
    <row r="199" customFormat="false" ht="12.75" hidden="false" customHeight="true" outlineLevel="0" collapsed="false">
      <c r="J199" s="315"/>
    </row>
    <row r="200" customFormat="false" ht="12.75" hidden="false" customHeight="true" outlineLevel="0" collapsed="false">
      <c r="J200" s="315"/>
    </row>
    <row r="201" customFormat="false" ht="12.75" hidden="false" customHeight="true" outlineLevel="0" collapsed="false">
      <c r="J201" s="315"/>
    </row>
    <row r="202" customFormat="false" ht="12.75" hidden="false" customHeight="true" outlineLevel="0" collapsed="false">
      <c r="J202" s="315"/>
    </row>
    <row r="203" customFormat="false" ht="12.75" hidden="false" customHeight="true" outlineLevel="0" collapsed="false">
      <c r="J203" s="315"/>
    </row>
    <row r="204" customFormat="false" ht="12.75" hidden="false" customHeight="true" outlineLevel="0" collapsed="false">
      <c r="J204" s="315"/>
    </row>
    <row r="205" customFormat="false" ht="12.75" hidden="false" customHeight="true" outlineLevel="0" collapsed="false">
      <c r="J205" s="315"/>
    </row>
    <row r="206" customFormat="false" ht="12.75" hidden="false" customHeight="true" outlineLevel="0" collapsed="false">
      <c r="J206" s="315"/>
    </row>
    <row r="207" customFormat="false" ht="12.75" hidden="false" customHeight="true" outlineLevel="0" collapsed="false">
      <c r="J207" s="315"/>
    </row>
    <row r="208" customFormat="false" ht="12.75" hidden="false" customHeight="true" outlineLevel="0" collapsed="false">
      <c r="J208" s="315"/>
    </row>
    <row r="209" customFormat="false" ht="12.75" hidden="false" customHeight="true" outlineLevel="0" collapsed="false">
      <c r="J209" s="315"/>
    </row>
    <row r="210" customFormat="false" ht="12.75" hidden="false" customHeight="true" outlineLevel="0" collapsed="false">
      <c r="J210" s="315"/>
    </row>
    <row r="211" customFormat="false" ht="12.75" hidden="false" customHeight="true" outlineLevel="0" collapsed="false">
      <c r="J211" s="315"/>
    </row>
    <row r="212" customFormat="false" ht="12.75" hidden="false" customHeight="true" outlineLevel="0" collapsed="false">
      <c r="J212" s="315"/>
    </row>
    <row r="213" customFormat="false" ht="12.75" hidden="false" customHeight="true" outlineLevel="0" collapsed="false">
      <c r="J213" s="315"/>
    </row>
    <row r="214" customFormat="false" ht="12.75" hidden="false" customHeight="true" outlineLevel="0" collapsed="false">
      <c r="J214" s="315"/>
    </row>
    <row r="215" customFormat="false" ht="12.75" hidden="false" customHeight="true" outlineLevel="0" collapsed="false">
      <c r="J215" s="315"/>
    </row>
    <row r="216" customFormat="false" ht="12.75" hidden="false" customHeight="true" outlineLevel="0" collapsed="false">
      <c r="J216" s="315"/>
    </row>
    <row r="217" customFormat="false" ht="12.75" hidden="false" customHeight="true" outlineLevel="0" collapsed="false">
      <c r="J217" s="315"/>
    </row>
    <row r="218" customFormat="false" ht="12.75" hidden="false" customHeight="true" outlineLevel="0" collapsed="false">
      <c r="J218" s="315"/>
    </row>
    <row r="219" customFormat="false" ht="12.75" hidden="false" customHeight="true" outlineLevel="0" collapsed="false">
      <c r="J219" s="315"/>
    </row>
    <row r="220" customFormat="false" ht="12.75" hidden="false" customHeight="true" outlineLevel="0" collapsed="false">
      <c r="J220" s="315"/>
    </row>
    <row r="221" customFormat="false" ht="12.75" hidden="false" customHeight="true" outlineLevel="0" collapsed="false">
      <c r="J221" s="315"/>
    </row>
    <row r="222" customFormat="false" ht="12.75" hidden="false" customHeight="true" outlineLevel="0" collapsed="false">
      <c r="J222" s="315"/>
    </row>
    <row r="223" customFormat="false" ht="12.75" hidden="false" customHeight="true" outlineLevel="0" collapsed="false">
      <c r="J223" s="315"/>
    </row>
    <row r="224" customFormat="false" ht="12.75" hidden="false" customHeight="true" outlineLevel="0" collapsed="false">
      <c r="J224" s="315"/>
    </row>
    <row r="225" customFormat="false" ht="12.75" hidden="false" customHeight="true" outlineLevel="0" collapsed="false">
      <c r="J225" s="315"/>
    </row>
    <row r="226" customFormat="false" ht="12.75" hidden="false" customHeight="true" outlineLevel="0" collapsed="false">
      <c r="J226" s="315"/>
    </row>
    <row r="227" customFormat="false" ht="12.75" hidden="false" customHeight="true" outlineLevel="0" collapsed="false">
      <c r="J227" s="315"/>
    </row>
    <row r="228" customFormat="false" ht="12.75" hidden="false" customHeight="true" outlineLevel="0" collapsed="false">
      <c r="J228" s="315"/>
    </row>
    <row r="229" customFormat="false" ht="12.75" hidden="false" customHeight="true" outlineLevel="0" collapsed="false">
      <c r="J229" s="315"/>
    </row>
    <row r="230" customFormat="false" ht="12.75" hidden="false" customHeight="true" outlineLevel="0" collapsed="false">
      <c r="J230" s="315"/>
    </row>
    <row r="231" customFormat="false" ht="12.75" hidden="false" customHeight="true" outlineLevel="0" collapsed="false">
      <c r="J231" s="315"/>
    </row>
    <row r="232" customFormat="false" ht="12.75" hidden="false" customHeight="true" outlineLevel="0" collapsed="false">
      <c r="J232" s="315"/>
    </row>
    <row r="233" customFormat="false" ht="12.75" hidden="false" customHeight="true" outlineLevel="0" collapsed="false">
      <c r="J233" s="315"/>
    </row>
    <row r="234" customFormat="false" ht="12.75" hidden="false" customHeight="true" outlineLevel="0" collapsed="false">
      <c r="J234" s="315"/>
    </row>
    <row r="235" customFormat="false" ht="12.75" hidden="false" customHeight="true" outlineLevel="0" collapsed="false">
      <c r="J235" s="315"/>
    </row>
    <row r="236" customFormat="false" ht="12.75" hidden="false" customHeight="true" outlineLevel="0" collapsed="false">
      <c r="J236" s="315"/>
    </row>
    <row r="237" customFormat="false" ht="12.75" hidden="false" customHeight="true" outlineLevel="0" collapsed="false">
      <c r="J237" s="315"/>
    </row>
    <row r="238" customFormat="false" ht="12.75" hidden="false" customHeight="true" outlineLevel="0" collapsed="false">
      <c r="J238" s="315"/>
    </row>
    <row r="239" customFormat="false" ht="12.75" hidden="false" customHeight="true" outlineLevel="0" collapsed="false">
      <c r="J239" s="315"/>
    </row>
    <row r="240" customFormat="false" ht="12.75" hidden="false" customHeight="true" outlineLevel="0" collapsed="false">
      <c r="J240" s="315"/>
    </row>
    <row r="241" customFormat="false" ht="12.75" hidden="false" customHeight="true" outlineLevel="0" collapsed="false">
      <c r="J241" s="315"/>
    </row>
    <row r="242" customFormat="false" ht="12.75" hidden="false" customHeight="true" outlineLevel="0" collapsed="false">
      <c r="J242" s="315"/>
    </row>
    <row r="243" customFormat="false" ht="12.75" hidden="false" customHeight="true" outlineLevel="0" collapsed="false">
      <c r="J243" s="315"/>
    </row>
    <row r="244" customFormat="false" ht="12.75" hidden="false" customHeight="true" outlineLevel="0" collapsed="false">
      <c r="J244" s="315"/>
    </row>
    <row r="245" customFormat="false" ht="12.75" hidden="false" customHeight="true" outlineLevel="0" collapsed="false">
      <c r="J245" s="315"/>
    </row>
    <row r="246" customFormat="false" ht="12.75" hidden="false" customHeight="true" outlineLevel="0" collapsed="false">
      <c r="J246" s="315"/>
    </row>
    <row r="247" customFormat="false" ht="12.75" hidden="false" customHeight="true" outlineLevel="0" collapsed="false">
      <c r="J247" s="315"/>
    </row>
    <row r="248" customFormat="false" ht="12.75" hidden="false" customHeight="true" outlineLevel="0" collapsed="false">
      <c r="J248" s="315"/>
    </row>
    <row r="249" customFormat="false" ht="12.75" hidden="false" customHeight="true" outlineLevel="0" collapsed="false">
      <c r="J249" s="315"/>
    </row>
    <row r="250" customFormat="false" ht="12.75" hidden="false" customHeight="true" outlineLevel="0" collapsed="false">
      <c r="J250" s="315"/>
    </row>
    <row r="251" customFormat="false" ht="12.75" hidden="false" customHeight="true" outlineLevel="0" collapsed="false">
      <c r="J251" s="315"/>
    </row>
    <row r="252" customFormat="false" ht="12.75" hidden="false" customHeight="true" outlineLevel="0" collapsed="false">
      <c r="J252" s="315"/>
    </row>
    <row r="253" customFormat="false" ht="12.75" hidden="false" customHeight="true" outlineLevel="0" collapsed="false">
      <c r="J253" s="315"/>
    </row>
    <row r="254" customFormat="false" ht="12.75" hidden="false" customHeight="true" outlineLevel="0" collapsed="false">
      <c r="J254" s="315"/>
    </row>
    <row r="255" customFormat="false" ht="12.75" hidden="false" customHeight="true" outlineLevel="0" collapsed="false">
      <c r="J255" s="315"/>
    </row>
    <row r="256" customFormat="false" ht="12.75" hidden="false" customHeight="true" outlineLevel="0" collapsed="false">
      <c r="J256" s="315"/>
    </row>
    <row r="257" customFormat="false" ht="12.75" hidden="false" customHeight="true" outlineLevel="0" collapsed="false">
      <c r="J257" s="315"/>
    </row>
    <row r="258" customFormat="false" ht="12.75" hidden="false" customHeight="true" outlineLevel="0" collapsed="false">
      <c r="J258" s="315"/>
    </row>
    <row r="259" customFormat="false" ht="12.75" hidden="false" customHeight="true" outlineLevel="0" collapsed="false">
      <c r="J259" s="315"/>
    </row>
    <row r="260" customFormat="false" ht="12.75" hidden="false" customHeight="true" outlineLevel="0" collapsed="false">
      <c r="J260" s="315"/>
    </row>
    <row r="261" customFormat="false" ht="12.75" hidden="false" customHeight="true" outlineLevel="0" collapsed="false">
      <c r="J261" s="315"/>
    </row>
    <row r="262" customFormat="false" ht="12.75" hidden="false" customHeight="true" outlineLevel="0" collapsed="false">
      <c r="J262" s="315"/>
    </row>
    <row r="263" customFormat="false" ht="12.75" hidden="false" customHeight="true" outlineLevel="0" collapsed="false">
      <c r="J263" s="315"/>
    </row>
    <row r="264" customFormat="false" ht="12.75" hidden="false" customHeight="true" outlineLevel="0" collapsed="false">
      <c r="J264" s="315"/>
    </row>
    <row r="265" customFormat="false" ht="12.75" hidden="false" customHeight="true" outlineLevel="0" collapsed="false">
      <c r="J265" s="315"/>
    </row>
    <row r="266" customFormat="false" ht="12.75" hidden="false" customHeight="true" outlineLevel="0" collapsed="false">
      <c r="J266" s="315"/>
    </row>
    <row r="267" customFormat="false" ht="12.75" hidden="false" customHeight="true" outlineLevel="0" collapsed="false">
      <c r="J267" s="315"/>
    </row>
    <row r="268" customFormat="false" ht="12.75" hidden="false" customHeight="true" outlineLevel="0" collapsed="false">
      <c r="J268" s="315"/>
    </row>
    <row r="269" customFormat="false" ht="12.75" hidden="false" customHeight="true" outlineLevel="0" collapsed="false">
      <c r="J269" s="315"/>
    </row>
    <row r="270" customFormat="false" ht="12.75" hidden="false" customHeight="true" outlineLevel="0" collapsed="false">
      <c r="J270" s="315"/>
    </row>
    <row r="271" customFormat="false" ht="12.75" hidden="false" customHeight="true" outlineLevel="0" collapsed="false">
      <c r="J271" s="315"/>
    </row>
    <row r="272" customFormat="false" ht="12.75" hidden="false" customHeight="true" outlineLevel="0" collapsed="false">
      <c r="J272" s="315"/>
    </row>
    <row r="273" customFormat="false" ht="12.75" hidden="false" customHeight="true" outlineLevel="0" collapsed="false">
      <c r="J273" s="315"/>
    </row>
    <row r="274" customFormat="false" ht="12.75" hidden="false" customHeight="true" outlineLevel="0" collapsed="false">
      <c r="J274" s="315"/>
    </row>
    <row r="275" customFormat="false" ht="12.75" hidden="false" customHeight="true" outlineLevel="0" collapsed="false">
      <c r="J275" s="315"/>
    </row>
    <row r="276" customFormat="false" ht="12.75" hidden="false" customHeight="true" outlineLevel="0" collapsed="false">
      <c r="J276" s="315"/>
    </row>
    <row r="277" customFormat="false" ht="12.75" hidden="false" customHeight="true" outlineLevel="0" collapsed="false">
      <c r="J277" s="315"/>
    </row>
    <row r="278" customFormat="false" ht="12.75" hidden="false" customHeight="true" outlineLevel="0" collapsed="false">
      <c r="J278" s="315"/>
    </row>
    <row r="279" customFormat="false" ht="12.75" hidden="false" customHeight="true" outlineLevel="0" collapsed="false">
      <c r="J279" s="315"/>
    </row>
    <row r="280" customFormat="false" ht="12.75" hidden="false" customHeight="true" outlineLevel="0" collapsed="false">
      <c r="J280" s="315"/>
    </row>
    <row r="281" customFormat="false" ht="12.75" hidden="false" customHeight="true" outlineLevel="0" collapsed="false">
      <c r="J281" s="315"/>
    </row>
    <row r="282" customFormat="false" ht="12.75" hidden="false" customHeight="true" outlineLevel="0" collapsed="false">
      <c r="J282" s="315"/>
    </row>
    <row r="283" customFormat="false" ht="12.75" hidden="false" customHeight="true" outlineLevel="0" collapsed="false">
      <c r="J283" s="315"/>
    </row>
    <row r="284" customFormat="false" ht="12.75" hidden="false" customHeight="true" outlineLevel="0" collapsed="false">
      <c r="J284" s="315"/>
    </row>
    <row r="285" customFormat="false" ht="12.75" hidden="false" customHeight="true" outlineLevel="0" collapsed="false">
      <c r="J285" s="315"/>
    </row>
    <row r="286" customFormat="false" ht="12.75" hidden="false" customHeight="true" outlineLevel="0" collapsed="false">
      <c r="J286" s="315"/>
    </row>
    <row r="287" customFormat="false" ht="12.75" hidden="false" customHeight="true" outlineLevel="0" collapsed="false">
      <c r="J287" s="315"/>
    </row>
    <row r="288" customFormat="false" ht="12.75" hidden="false" customHeight="true" outlineLevel="0" collapsed="false">
      <c r="J288" s="315"/>
    </row>
    <row r="289" customFormat="false" ht="12.75" hidden="false" customHeight="true" outlineLevel="0" collapsed="false">
      <c r="J289" s="315"/>
    </row>
    <row r="290" customFormat="false" ht="12.75" hidden="false" customHeight="true" outlineLevel="0" collapsed="false">
      <c r="J290" s="315"/>
    </row>
    <row r="291" customFormat="false" ht="12.75" hidden="false" customHeight="true" outlineLevel="0" collapsed="false">
      <c r="J291" s="315"/>
    </row>
    <row r="292" customFormat="false" ht="12.75" hidden="false" customHeight="true" outlineLevel="0" collapsed="false">
      <c r="J292" s="315"/>
    </row>
    <row r="293" customFormat="false" ht="12.75" hidden="false" customHeight="true" outlineLevel="0" collapsed="false">
      <c r="J293" s="315"/>
    </row>
    <row r="294" customFormat="false" ht="12.75" hidden="false" customHeight="true" outlineLevel="0" collapsed="false">
      <c r="J294" s="315"/>
    </row>
    <row r="295" customFormat="false" ht="12.75" hidden="false" customHeight="true" outlineLevel="0" collapsed="false">
      <c r="J295" s="315"/>
    </row>
    <row r="296" customFormat="false" ht="12.75" hidden="false" customHeight="true" outlineLevel="0" collapsed="false">
      <c r="J296" s="315"/>
    </row>
    <row r="297" customFormat="false" ht="12.75" hidden="false" customHeight="true" outlineLevel="0" collapsed="false">
      <c r="J297" s="315"/>
    </row>
    <row r="298" customFormat="false" ht="12.75" hidden="false" customHeight="true" outlineLevel="0" collapsed="false">
      <c r="J298" s="315"/>
    </row>
    <row r="299" customFormat="false" ht="12.75" hidden="false" customHeight="true" outlineLevel="0" collapsed="false">
      <c r="J299" s="315"/>
    </row>
    <row r="300" customFormat="false" ht="12.75" hidden="false" customHeight="true" outlineLevel="0" collapsed="false">
      <c r="J300" s="315"/>
    </row>
    <row r="301" customFormat="false" ht="12.75" hidden="false" customHeight="true" outlineLevel="0" collapsed="false">
      <c r="J301" s="315"/>
    </row>
    <row r="302" customFormat="false" ht="12.75" hidden="false" customHeight="true" outlineLevel="0" collapsed="false">
      <c r="J302" s="315"/>
    </row>
    <row r="303" customFormat="false" ht="12.75" hidden="false" customHeight="true" outlineLevel="0" collapsed="false">
      <c r="J303" s="315"/>
    </row>
    <row r="304" customFormat="false" ht="12.75" hidden="false" customHeight="true" outlineLevel="0" collapsed="false">
      <c r="J304" s="315"/>
    </row>
    <row r="305" customFormat="false" ht="12.75" hidden="false" customHeight="true" outlineLevel="0" collapsed="false">
      <c r="J305" s="315"/>
    </row>
    <row r="306" customFormat="false" ht="12.75" hidden="false" customHeight="true" outlineLevel="0" collapsed="false">
      <c r="J306" s="315"/>
    </row>
    <row r="307" customFormat="false" ht="12.75" hidden="false" customHeight="true" outlineLevel="0" collapsed="false">
      <c r="J307" s="315"/>
    </row>
    <row r="308" customFormat="false" ht="12.75" hidden="false" customHeight="true" outlineLevel="0" collapsed="false">
      <c r="J308" s="315"/>
    </row>
    <row r="309" customFormat="false" ht="12.75" hidden="false" customHeight="true" outlineLevel="0" collapsed="false">
      <c r="J309" s="315"/>
    </row>
    <row r="310" customFormat="false" ht="12.75" hidden="false" customHeight="true" outlineLevel="0" collapsed="false">
      <c r="J310" s="315"/>
    </row>
    <row r="311" customFormat="false" ht="12.75" hidden="false" customHeight="true" outlineLevel="0" collapsed="false">
      <c r="J311" s="315"/>
    </row>
    <row r="312" customFormat="false" ht="12.75" hidden="false" customHeight="true" outlineLevel="0" collapsed="false">
      <c r="J312" s="315"/>
    </row>
    <row r="313" customFormat="false" ht="12.75" hidden="false" customHeight="true" outlineLevel="0" collapsed="false">
      <c r="J313" s="315"/>
    </row>
    <row r="314" customFormat="false" ht="12.75" hidden="false" customHeight="true" outlineLevel="0" collapsed="false">
      <c r="J314" s="315"/>
    </row>
    <row r="315" customFormat="false" ht="12.75" hidden="false" customHeight="true" outlineLevel="0" collapsed="false">
      <c r="J315" s="315"/>
    </row>
    <row r="316" customFormat="false" ht="12.75" hidden="false" customHeight="true" outlineLevel="0" collapsed="false">
      <c r="J316" s="315"/>
    </row>
    <row r="317" customFormat="false" ht="12.75" hidden="false" customHeight="true" outlineLevel="0" collapsed="false">
      <c r="J317" s="315"/>
    </row>
    <row r="318" customFormat="false" ht="12.75" hidden="false" customHeight="true" outlineLevel="0" collapsed="false">
      <c r="J318" s="315"/>
    </row>
    <row r="319" customFormat="false" ht="12.75" hidden="false" customHeight="true" outlineLevel="0" collapsed="false">
      <c r="J319" s="315"/>
    </row>
    <row r="320" customFormat="false" ht="12.75" hidden="false" customHeight="true" outlineLevel="0" collapsed="false">
      <c r="J320" s="315"/>
    </row>
    <row r="321" customFormat="false" ht="12.75" hidden="false" customHeight="true" outlineLevel="0" collapsed="false">
      <c r="J321" s="315"/>
    </row>
    <row r="322" customFormat="false" ht="12.75" hidden="false" customHeight="true" outlineLevel="0" collapsed="false">
      <c r="J322" s="315"/>
    </row>
    <row r="323" customFormat="false" ht="12.75" hidden="false" customHeight="true" outlineLevel="0" collapsed="false">
      <c r="J323" s="315"/>
    </row>
    <row r="324" customFormat="false" ht="12.75" hidden="false" customHeight="true" outlineLevel="0" collapsed="false">
      <c r="J324" s="315"/>
    </row>
    <row r="325" customFormat="false" ht="12.75" hidden="false" customHeight="true" outlineLevel="0" collapsed="false">
      <c r="J325" s="315"/>
    </row>
    <row r="326" customFormat="false" ht="12.75" hidden="false" customHeight="true" outlineLevel="0" collapsed="false">
      <c r="J326" s="315"/>
    </row>
    <row r="327" customFormat="false" ht="12.75" hidden="false" customHeight="true" outlineLevel="0" collapsed="false">
      <c r="J327" s="315"/>
    </row>
    <row r="328" customFormat="false" ht="12.75" hidden="false" customHeight="true" outlineLevel="0" collapsed="false">
      <c r="J328" s="315"/>
    </row>
    <row r="329" customFormat="false" ht="12.75" hidden="false" customHeight="true" outlineLevel="0" collapsed="false">
      <c r="J329" s="315"/>
    </row>
    <row r="330" customFormat="false" ht="12.75" hidden="false" customHeight="true" outlineLevel="0" collapsed="false">
      <c r="J330" s="315"/>
    </row>
    <row r="331" customFormat="false" ht="12.75" hidden="false" customHeight="true" outlineLevel="0" collapsed="false">
      <c r="J331" s="315"/>
    </row>
    <row r="332" customFormat="false" ht="12.75" hidden="false" customHeight="true" outlineLevel="0" collapsed="false">
      <c r="J332" s="315"/>
    </row>
    <row r="333" customFormat="false" ht="12.75" hidden="false" customHeight="true" outlineLevel="0" collapsed="false">
      <c r="J333" s="315"/>
    </row>
    <row r="334" customFormat="false" ht="12.75" hidden="false" customHeight="true" outlineLevel="0" collapsed="false">
      <c r="J334" s="315"/>
    </row>
    <row r="335" customFormat="false" ht="12.75" hidden="false" customHeight="true" outlineLevel="0" collapsed="false">
      <c r="J335" s="315"/>
    </row>
    <row r="336" customFormat="false" ht="12.75" hidden="false" customHeight="true" outlineLevel="0" collapsed="false">
      <c r="J336" s="315"/>
    </row>
    <row r="337" customFormat="false" ht="12.75" hidden="false" customHeight="true" outlineLevel="0" collapsed="false">
      <c r="J337" s="315"/>
    </row>
    <row r="338" customFormat="false" ht="12.75" hidden="false" customHeight="true" outlineLevel="0" collapsed="false">
      <c r="J338" s="315"/>
    </row>
    <row r="339" customFormat="false" ht="12.75" hidden="false" customHeight="true" outlineLevel="0" collapsed="false">
      <c r="J339" s="315"/>
    </row>
    <row r="340" customFormat="false" ht="12.75" hidden="false" customHeight="true" outlineLevel="0" collapsed="false">
      <c r="J340" s="315"/>
    </row>
    <row r="341" customFormat="false" ht="12.75" hidden="false" customHeight="true" outlineLevel="0" collapsed="false">
      <c r="J341" s="315"/>
    </row>
    <row r="342" customFormat="false" ht="12.75" hidden="false" customHeight="true" outlineLevel="0" collapsed="false">
      <c r="J342" s="315"/>
    </row>
    <row r="343" customFormat="false" ht="12.75" hidden="false" customHeight="true" outlineLevel="0" collapsed="false">
      <c r="J343" s="315"/>
    </row>
    <row r="344" customFormat="false" ht="12.75" hidden="false" customHeight="true" outlineLevel="0" collapsed="false">
      <c r="J344" s="315"/>
    </row>
    <row r="345" customFormat="false" ht="12.75" hidden="false" customHeight="true" outlineLevel="0" collapsed="false">
      <c r="J345" s="315"/>
    </row>
    <row r="346" customFormat="false" ht="12.75" hidden="false" customHeight="true" outlineLevel="0" collapsed="false">
      <c r="J346" s="315"/>
    </row>
    <row r="347" customFormat="false" ht="12.75" hidden="false" customHeight="true" outlineLevel="0" collapsed="false">
      <c r="J347" s="315"/>
    </row>
    <row r="348" customFormat="false" ht="12.75" hidden="false" customHeight="true" outlineLevel="0" collapsed="false">
      <c r="J348" s="315"/>
    </row>
    <row r="349" customFormat="false" ht="12.75" hidden="false" customHeight="true" outlineLevel="0" collapsed="false">
      <c r="J349" s="315"/>
    </row>
    <row r="350" customFormat="false" ht="12.75" hidden="false" customHeight="true" outlineLevel="0" collapsed="false">
      <c r="J350" s="315"/>
    </row>
    <row r="351" customFormat="false" ht="12.75" hidden="false" customHeight="true" outlineLevel="0" collapsed="false">
      <c r="J351" s="315"/>
    </row>
    <row r="352" customFormat="false" ht="12.75" hidden="false" customHeight="true" outlineLevel="0" collapsed="false">
      <c r="J352" s="315"/>
    </row>
    <row r="353" customFormat="false" ht="12.75" hidden="false" customHeight="true" outlineLevel="0" collapsed="false">
      <c r="J353" s="315"/>
    </row>
    <row r="354" customFormat="false" ht="12.75" hidden="false" customHeight="true" outlineLevel="0" collapsed="false">
      <c r="J354" s="315"/>
    </row>
    <row r="355" customFormat="false" ht="12.75" hidden="false" customHeight="true" outlineLevel="0" collapsed="false">
      <c r="J355" s="315"/>
    </row>
    <row r="356" customFormat="false" ht="12.75" hidden="false" customHeight="true" outlineLevel="0" collapsed="false">
      <c r="J356" s="315"/>
    </row>
    <row r="357" customFormat="false" ht="12.75" hidden="false" customHeight="true" outlineLevel="0" collapsed="false">
      <c r="J357" s="315"/>
    </row>
    <row r="358" customFormat="false" ht="12.75" hidden="false" customHeight="true" outlineLevel="0" collapsed="false">
      <c r="J358" s="315"/>
    </row>
    <row r="359" customFormat="false" ht="12.75" hidden="false" customHeight="true" outlineLevel="0" collapsed="false">
      <c r="J359" s="315"/>
    </row>
    <row r="360" customFormat="false" ht="12.75" hidden="false" customHeight="true" outlineLevel="0" collapsed="false">
      <c r="J360" s="315"/>
    </row>
    <row r="361" customFormat="false" ht="12.75" hidden="false" customHeight="true" outlineLevel="0" collapsed="false">
      <c r="J361" s="315"/>
    </row>
    <row r="362" customFormat="false" ht="12.75" hidden="false" customHeight="true" outlineLevel="0" collapsed="false">
      <c r="J362" s="315"/>
    </row>
    <row r="363" customFormat="false" ht="12.75" hidden="false" customHeight="true" outlineLevel="0" collapsed="false">
      <c r="J363" s="315"/>
    </row>
    <row r="364" customFormat="false" ht="12.75" hidden="false" customHeight="true" outlineLevel="0" collapsed="false">
      <c r="J364" s="315"/>
    </row>
    <row r="365" customFormat="false" ht="12.75" hidden="false" customHeight="true" outlineLevel="0" collapsed="false">
      <c r="J365" s="315"/>
    </row>
    <row r="366" customFormat="false" ht="12.75" hidden="false" customHeight="true" outlineLevel="0" collapsed="false">
      <c r="J366" s="315"/>
    </row>
    <row r="367" customFormat="false" ht="12.75" hidden="false" customHeight="true" outlineLevel="0" collapsed="false">
      <c r="J367" s="315"/>
    </row>
    <row r="368" customFormat="false" ht="12.75" hidden="false" customHeight="true" outlineLevel="0" collapsed="false">
      <c r="J368" s="315"/>
    </row>
    <row r="369" customFormat="false" ht="12.75" hidden="false" customHeight="true" outlineLevel="0" collapsed="false">
      <c r="J369" s="315"/>
    </row>
    <row r="370" customFormat="false" ht="12.75" hidden="false" customHeight="true" outlineLevel="0" collapsed="false">
      <c r="J370" s="315"/>
    </row>
    <row r="371" customFormat="false" ht="12.75" hidden="false" customHeight="true" outlineLevel="0" collapsed="false">
      <c r="J371" s="315"/>
    </row>
    <row r="372" customFormat="false" ht="12.75" hidden="false" customHeight="true" outlineLevel="0" collapsed="false">
      <c r="J372" s="315"/>
    </row>
    <row r="373" customFormat="false" ht="12.75" hidden="false" customHeight="true" outlineLevel="0" collapsed="false">
      <c r="J373" s="315"/>
    </row>
    <row r="374" customFormat="false" ht="12.75" hidden="false" customHeight="true" outlineLevel="0" collapsed="false">
      <c r="J374" s="315"/>
    </row>
    <row r="375" customFormat="false" ht="12.75" hidden="false" customHeight="true" outlineLevel="0" collapsed="false">
      <c r="J375" s="315"/>
    </row>
    <row r="376" customFormat="false" ht="12.75" hidden="false" customHeight="true" outlineLevel="0" collapsed="false">
      <c r="J376" s="315"/>
    </row>
    <row r="377" customFormat="false" ht="12.75" hidden="false" customHeight="true" outlineLevel="0" collapsed="false">
      <c r="J377" s="315"/>
    </row>
    <row r="378" customFormat="false" ht="12.75" hidden="false" customHeight="true" outlineLevel="0" collapsed="false">
      <c r="J378" s="315"/>
    </row>
    <row r="379" customFormat="false" ht="12.75" hidden="false" customHeight="true" outlineLevel="0" collapsed="false">
      <c r="J379" s="315"/>
    </row>
    <row r="380" customFormat="false" ht="12.75" hidden="false" customHeight="true" outlineLevel="0" collapsed="false">
      <c r="J380" s="315"/>
    </row>
    <row r="381" customFormat="false" ht="12.75" hidden="false" customHeight="true" outlineLevel="0" collapsed="false">
      <c r="J381" s="315"/>
    </row>
    <row r="382" customFormat="false" ht="12.75" hidden="false" customHeight="true" outlineLevel="0" collapsed="false">
      <c r="J382" s="315"/>
    </row>
    <row r="383" customFormat="false" ht="12.75" hidden="false" customHeight="true" outlineLevel="0" collapsed="false">
      <c r="J383" s="315"/>
    </row>
    <row r="384" customFormat="false" ht="12.75" hidden="false" customHeight="true" outlineLevel="0" collapsed="false">
      <c r="J384" s="315"/>
    </row>
    <row r="385" customFormat="false" ht="12.75" hidden="false" customHeight="true" outlineLevel="0" collapsed="false">
      <c r="J385" s="315"/>
    </row>
    <row r="386" customFormat="false" ht="12.75" hidden="false" customHeight="true" outlineLevel="0" collapsed="false">
      <c r="J386" s="315"/>
    </row>
    <row r="387" customFormat="false" ht="12.75" hidden="false" customHeight="true" outlineLevel="0" collapsed="false">
      <c r="J387" s="315"/>
    </row>
    <row r="388" customFormat="false" ht="12.75" hidden="false" customHeight="true" outlineLevel="0" collapsed="false">
      <c r="J388" s="315"/>
    </row>
    <row r="389" customFormat="false" ht="12.75" hidden="false" customHeight="true" outlineLevel="0" collapsed="false">
      <c r="J389" s="315"/>
    </row>
    <row r="390" customFormat="false" ht="12.75" hidden="false" customHeight="true" outlineLevel="0" collapsed="false">
      <c r="J390" s="315"/>
    </row>
    <row r="391" customFormat="false" ht="12.75" hidden="false" customHeight="true" outlineLevel="0" collapsed="false">
      <c r="J391" s="315"/>
    </row>
    <row r="392" customFormat="false" ht="12.75" hidden="false" customHeight="true" outlineLevel="0" collapsed="false">
      <c r="J392" s="315"/>
    </row>
    <row r="393" customFormat="false" ht="12.75" hidden="false" customHeight="true" outlineLevel="0" collapsed="false">
      <c r="J393" s="315"/>
    </row>
    <row r="394" customFormat="false" ht="12.75" hidden="false" customHeight="true" outlineLevel="0" collapsed="false">
      <c r="J394" s="315"/>
    </row>
    <row r="395" customFormat="false" ht="12.75" hidden="false" customHeight="true" outlineLevel="0" collapsed="false">
      <c r="J395" s="315"/>
    </row>
    <row r="396" customFormat="false" ht="12.75" hidden="false" customHeight="true" outlineLevel="0" collapsed="false">
      <c r="J396" s="315"/>
    </row>
    <row r="397" customFormat="false" ht="12.75" hidden="false" customHeight="true" outlineLevel="0" collapsed="false">
      <c r="J397" s="315"/>
    </row>
    <row r="398" customFormat="false" ht="12.75" hidden="false" customHeight="true" outlineLevel="0" collapsed="false">
      <c r="J398" s="315"/>
    </row>
    <row r="399" customFormat="false" ht="12.75" hidden="false" customHeight="true" outlineLevel="0" collapsed="false">
      <c r="J399" s="315"/>
    </row>
    <row r="400" customFormat="false" ht="12.75" hidden="false" customHeight="true" outlineLevel="0" collapsed="false">
      <c r="J400" s="315"/>
    </row>
    <row r="401" customFormat="false" ht="12.75" hidden="false" customHeight="true" outlineLevel="0" collapsed="false">
      <c r="J401" s="315"/>
    </row>
    <row r="402" customFormat="false" ht="12.75" hidden="false" customHeight="true" outlineLevel="0" collapsed="false">
      <c r="J402" s="315"/>
    </row>
    <row r="403" customFormat="false" ht="12.75" hidden="false" customHeight="true" outlineLevel="0" collapsed="false">
      <c r="J403" s="315"/>
    </row>
    <row r="404" customFormat="false" ht="12.75" hidden="false" customHeight="true" outlineLevel="0" collapsed="false">
      <c r="J404" s="315"/>
    </row>
    <row r="405" customFormat="false" ht="12.75" hidden="false" customHeight="true" outlineLevel="0" collapsed="false">
      <c r="J405" s="315"/>
    </row>
    <row r="406" customFormat="false" ht="12.75" hidden="false" customHeight="true" outlineLevel="0" collapsed="false">
      <c r="J406" s="315"/>
    </row>
    <row r="407" customFormat="false" ht="12.75" hidden="false" customHeight="true" outlineLevel="0" collapsed="false">
      <c r="J407" s="315"/>
    </row>
    <row r="408" customFormat="false" ht="12.75" hidden="false" customHeight="true" outlineLevel="0" collapsed="false">
      <c r="J408" s="315"/>
    </row>
    <row r="409" customFormat="false" ht="12.75" hidden="false" customHeight="true" outlineLevel="0" collapsed="false">
      <c r="J409" s="315"/>
    </row>
    <row r="410" customFormat="false" ht="12.75" hidden="false" customHeight="true" outlineLevel="0" collapsed="false">
      <c r="J410" s="315"/>
    </row>
    <row r="411" customFormat="false" ht="12.75" hidden="false" customHeight="true" outlineLevel="0" collapsed="false">
      <c r="J411" s="315"/>
    </row>
    <row r="412" customFormat="false" ht="12.75" hidden="false" customHeight="true" outlineLevel="0" collapsed="false">
      <c r="J412" s="315"/>
    </row>
    <row r="413" customFormat="false" ht="12.75" hidden="false" customHeight="true" outlineLevel="0" collapsed="false">
      <c r="J413" s="315"/>
    </row>
    <row r="414" customFormat="false" ht="12.75" hidden="false" customHeight="true" outlineLevel="0" collapsed="false">
      <c r="J414" s="315"/>
    </row>
    <row r="415" customFormat="false" ht="12.75" hidden="false" customHeight="true" outlineLevel="0" collapsed="false">
      <c r="J415" s="315"/>
    </row>
    <row r="416" customFormat="false" ht="12.75" hidden="false" customHeight="true" outlineLevel="0" collapsed="false">
      <c r="J416" s="315"/>
    </row>
    <row r="417" customFormat="false" ht="12.75" hidden="false" customHeight="true" outlineLevel="0" collapsed="false">
      <c r="J417" s="315"/>
    </row>
    <row r="418" customFormat="false" ht="12.75" hidden="false" customHeight="true" outlineLevel="0" collapsed="false">
      <c r="J418" s="315"/>
    </row>
    <row r="419" customFormat="false" ht="12.75" hidden="false" customHeight="true" outlineLevel="0" collapsed="false">
      <c r="J419" s="315"/>
    </row>
    <row r="420" customFormat="false" ht="12.75" hidden="false" customHeight="true" outlineLevel="0" collapsed="false">
      <c r="J420" s="315"/>
    </row>
    <row r="421" customFormat="false" ht="12.75" hidden="false" customHeight="true" outlineLevel="0" collapsed="false">
      <c r="J421" s="315"/>
    </row>
    <row r="422" customFormat="false" ht="12.75" hidden="false" customHeight="true" outlineLevel="0" collapsed="false">
      <c r="J422" s="315"/>
    </row>
    <row r="423" customFormat="false" ht="12.75" hidden="false" customHeight="true" outlineLevel="0" collapsed="false">
      <c r="J423" s="315"/>
    </row>
    <row r="424" customFormat="false" ht="12.75" hidden="false" customHeight="true" outlineLevel="0" collapsed="false">
      <c r="J424" s="315"/>
    </row>
    <row r="425" customFormat="false" ht="12.75" hidden="false" customHeight="true" outlineLevel="0" collapsed="false">
      <c r="J425" s="315"/>
    </row>
    <row r="426" customFormat="false" ht="12.75" hidden="false" customHeight="true" outlineLevel="0" collapsed="false">
      <c r="J426" s="315"/>
    </row>
    <row r="427" customFormat="false" ht="12.75" hidden="false" customHeight="true" outlineLevel="0" collapsed="false">
      <c r="J427" s="315"/>
    </row>
    <row r="428" customFormat="false" ht="12.75" hidden="false" customHeight="true" outlineLevel="0" collapsed="false">
      <c r="J428" s="315"/>
    </row>
    <row r="429" customFormat="false" ht="12.75" hidden="false" customHeight="true" outlineLevel="0" collapsed="false">
      <c r="J429" s="315"/>
    </row>
    <row r="430" customFormat="false" ht="12.75" hidden="false" customHeight="true" outlineLevel="0" collapsed="false">
      <c r="J430" s="315"/>
    </row>
    <row r="431" customFormat="false" ht="12.75" hidden="false" customHeight="true" outlineLevel="0" collapsed="false">
      <c r="J431" s="315"/>
    </row>
    <row r="432" customFormat="false" ht="12.75" hidden="false" customHeight="true" outlineLevel="0" collapsed="false">
      <c r="J432" s="315"/>
    </row>
    <row r="433" customFormat="false" ht="12.75" hidden="false" customHeight="true" outlineLevel="0" collapsed="false">
      <c r="J433" s="315"/>
    </row>
    <row r="434" customFormat="false" ht="12.75" hidden="false" customHeight="true" outlineLevel="0" collapsed="false">
      <c r="J434" s="315"/>
    </row>
    <row r="435" customFormat="false" ht="12.75" hidden="false" customHeight="true" outlineLevel="0" collapsed="false">
      <c r="J435" s="315"/>
    </row>
    <row r="436" customFormat="false" ht="12.75" hidden="false" customHeight="true" outlineLevel="0" collapsed="false">
      <c r="J436" s="315"/>
    </row>
    <row r="437" customFormat="false" ht="12.75" hidden="false" customHeight="true" outlineLevel="0" collapsed="false">
      <c r="J437" s="315"/>
    </row>
    <row r="438" customFormat="false" ht="12.75" hidden="false" customHeight="true" outlineLevel="0" collapsed="false">
      <c r="J438" s="315"/>
    </row>
    <row r="439" customFormat="false" ht="12.75" hidden="false" customHeight="true" outlineLevel="0" collapsed="false">
      <c r="J439" s="315"/>
    </row>
    <row r="440" customFormat="false" ht="12.75" hidden="false" customHeight="true" outlineLevel="0" collapsed="false">
      <c r="J440" s="315"/>
    </row>
    <row r="441" customFormat="false" ht="12.75" hidden="false" customHeight="true" outlineLevel="0" collapsed="false">
      <c r="J441" s="315"/>
    </row>
    <row r="442" customFormat="false" ht="12.75" hidden="false" customHeight="true" outlineLevel="0" collapsed="false">
      <c r="J442" s="315"/>
    </row>
    <row r="443" customFormat="false" ht="12.75" hidden="false" customHeight="true" outlineLevel="0" collapsed="false">
      <c r="J443" s="315"/>
    </row>
    <row r="444" customFormat="false" ht="12.75" hidden="false" customHeight="true" outlineLevel="0" collapsed="false">
      <c r="J444" s="315"/>
    </row>
    <row r="445" customFormat="false" ht="12.75" hidden="false" customHeight="true" outlineLevel="0" collapsed="false">
      <c r="J445" s="315"/>
    </row>
    <row r="446" customFormat="false" ht="12.75" hidden="false" customHeight="true" outlineLevel="0" collapsed="false">
      <c r="J446" s="315"/>
    </row>
    <row r="447" customFormat="false" ht="12.75" hidden="false" customHeight="true" outlineLevel="0" collapsed="false">
      <c r="J447" s="315"/>
    </row>
    <row r="448" customFormat="false" ht="12.75" hidden="false" customHeight="true" outlineLevel="0" collapsed="false">
      <c r="J448" s="315"/>
    </row>
    <row r="449" customFormat="false" ht="12.75" hidden="false" customHeight="true" outlineLevel="0" collapsed="false">
      <c r="J449" s="315"/>
    </row>
    <row r="450" customFormat="false" ht="12.75" hidden="false" customHeight="true" outlineLevel="0" collapsed="false">
      <c r="J450" s="315"/>
    </row>
    <row r="451" customFormat="false" ht="12.75" hidden="false" customHeight="true" outlineLevel="0" collapsed="false">
      <c r="J451" s="315"/>
    </row>
    <row r="452" customFormat="false" ht="12.75" hidden="false" customHeight="true" outlineLevel="0" collapsed="false">
      <c r="J452" s="315"/>
    </row>
    <row r="453" customFormat="false" ht="12.75" hidden="false" customHeight="true" outlineLevel="0" collapsed="false">
      <c r="J453" s="315"/>
    </row>
    <row r="454" customFormat="false" ht="12.75" hidden="false" customHeight="true" outlineLevel="0" collapsed="false">
      <c r="J454" s="315"/>
    </row>
    <row r="455" customFormat="false" ht="12.75" hidden="false" customHeight="true" outlineLevel="0" collapsed="false">
      <c r="J455" s="315"/>
    </row>
    <row r="456" customFormat="false" ht="12.75" hidden="false" customHeight="true" outlineLevel="0" collapsed="false">
      <c r="J456" s="315"/>
    </row>
    <row r="457" customFormat="false" ht="12.75" hidden="false" customHeight="true" outlineLevel="0" collapsed="false">
      <c r="J457" s="315"/>
    </row>
    <row r="458" customFormat="false" ht="12.75" hidden="false" customHeight="true" outlineLevel="0" collapsed="false">
      <c r="J458" s="315"/>
    </row>
    <row r="459" customFormat="false" ht="12.75" hidden="false" customHeight="true" outlineLevel="0" collapsed="false">
      <c r="J459" s="315"/>
    </row>
    <row r="460" customFormat="false" ht="12.75" hidden="false" customHeight="true" outlineLevel="0" collapsed="false">
      <c r="J460" s="315"/>
    </row>
    <row r="461" customFormat="false" ht="12.75" hidden="false" customHeight="true" outlineLevel="0" collapsed="false">
      <c r="J461" s="315"/>
    </row>
    <row r="462" customFormat="false" ht="12.75" hidden="false" customHeight="true" outlineLevel="0" collapsed="false">
      <c r="J462" s="315"/>
    </row>
    <row r="463" customFormat="false" ht="12.75" hidden="false" customHeight="true" outlineLevel="0" collapsed="false">
      <c r="J463" s="315"/>
    </row>
    <row r="464" customFormat="false" ht="12.75" hidden="false" customHeight="true" outlineLevel="0" collapsed="false">
      <c r="J464" s="315"/>
    </row>
    <row r="465" customFormat="false" ht="12.75" hidden="false" customHeight="true" outlineLevel="0" collapsed="false">
      <c r="J465" s="315"/>
    </row>
    <row r="466" customFormat="false" ht="12.75" hidden="false" customHeight="true" outlineLevel="0" collapsed="false">
      <c r="J466" s="315"/>
    </row>
    <row r="467" customFormat="false" ht="12.75" hidden="false" customHeight="true" outlineLevel="0" collapsed="false">
      <c r="J467" s="315"/>
    </row>
    <row r="468" customFormat="false" ht="12.75" hidden="false" customHeight="true" outlineLevel="0" collapsed="false">
      <c r="J468" s="315"/>
    </row>
    <row r="469" customFormat="false" ht="12.75" hidden="false" customHeight="true" outlineLevel="0" collapsed="false">
      <c r="J469" s="315"/>
    </row>
    <row r="470" customFormat="false" ht="12.75" hidden="false" customHeight="true" outlineLevel="0" collapsed="false">
      <c r="J470" s="315"/>
    </row>
    <row r="471" customFormat="false" ht="12.75" hidden="false" customHeight="true" outlineLevel="0" collapsed="false">
      <c r="J471" s="315"/>
    </row>
    <row r="472" customFormat="false" ht="12.75" hidden="false" customHeight="true" outlineLevel="0" collapsed="false">
      <c r="J472" s="315"/>
    </row>
    <row r="473" customFormat="false" ht="12.75" hidden="false" customHeight="true" outlineLevel="0" collapsed="false">
      <c r="J473" s="315"/>
    </row>
    <row r="474" customFormat="false" ht="12.75" hidden="false" customHeight="true" outlineLevel="0" collapsed="false">
      <c r="J474" s="315"/>
    </row>
    <row r="475" customFormat="false" ht="12.75" hidden="false" customHeight="true" outlineLevel="0" collapsed="false">
      <c r="J475" s="315"/>
    </row>
    <row r="476" customFormat="false" ht="12.75" hidden="false" customHeight="true" outlineLevel="0" collapsed="false">
      <c r="J476" s="315"/>
    </row>
    <row r="477" customFormat="false" ht="12.75" hidden="false" customHeight="true" outlineLevel="0" collapsed="false">
      <c r="J477" s="315"/>
    </row>
    <row r="478" customFormat="false" ht="12.75" hidden="false" customHeight="true" outlineLevel="0" collapsed="false">
      <c r="J478" s="315"/>
    </row>
    <row r="479" customFormat="false" ht="12.75" hidden="false" customHeight="true" outlineLevel="0" collapsed="false">
      <c r="J479" s="315"/>
    </row>
    <row r="480" customFormat="false" ht="12.75" hidden="false" customHeight="true" outlineLevel="0" collapsed="false">
      <c r="J480" s="315"/>
    </row>
    <row r="481" customFormat="false" ht="12.75" hidden="false" customHeight="true" outlineLevel="0" collapsed="false">
      <c r="J481" s="315"/>
    </row>
    <row r="482" customFormat="false" ht="12.75" hidden="false" customHeight="true" outlineLevel="0" collapsed="false">
      <c r="J482" s="315"/>
    </row>
    <row r="483" customFormat="false" ht="12.75" hidden="false" customHeight="true" outlineLevel="0" collapsed="false">
      <c r="J483" s="315"/>
    </row>
    <row r="484" customFormat="false" ht="12.75" hidden="false" customHeight="true" outlineLevel="0" collapsed="false">
      <c r="J484" s="315"/>
    </row>
    <row r="485" customFormat="false" ht="12.75" hidden="false" customHeight="true" outlineLevel="0" collapsed="false">
      <c r="J485" s="315"/>
    </row>
    <row r="486" customFormat="false" ht="12.75" hidden="false" customHeight="true" outlineLevel="0" collapsed="false">
      <c r="J486" s="315"/>
    </row>
    <row r="487" customFormat="false" ht="12.75" hidden="false" customHeight="true" outlineLevel="0" collapsed="false">
      <c r="J487" s="315"/>
    </row>
    <row r="488" customFormat="false" ht="12.75" hidden="false" customHeight="true" outlineLevel="0" collapsed="false">
      <c r="J488" s="315"/>
    </row>
    <row r="489" customFormat="false" ht="12.75" hidden="false" customHeight="true" outlineLevel="0" collapsed="false">
      <c r="J489" s="315"/>
    </row>
    <row r="490" customFormat="false" ht="12.75" hidden="false" customHeight="true" outlineLevel="0" collapsed="false">
      <c r="J490" s="315"/>
    </row>
    <row r="491" customFormat="false" ht="12.75" hidden="false" customHeight="true" outlineLevel="0" collapsed="false">
      <c r="J491" s="315"/>
    </row>
    <row r="492" customFormat="false" ht="12.75" hidden="false" customHeight="true" outlineLevel="0" collapsed="false">
      <c r="J492" s="315"/>
    </row>
    <row r="493" customFormat="false" ht="12.75" hidden="false" customHeight="true" outlineLevel="0" collapsed="false">
      <c r="J493" s="315"/>
    </row>
    <row r="494" customFormat="false" ht="12.75" hidden="false" customHeight="true" outlineLevel="0" collapsed="false">
      <c r="J494" s="315"/>
    </row>
    <row r="495" customFormat="false" ht="12.75" hidden="false" customHeight="true" outlineLevel="0" collapsed="false">
      <c r="J495" s="315"/>
    </row>
    <row r="496" customFormat="false" ht="12.75" hidden="false" customHeight="true" outlineLevel="0" collapsed="false">
      <c r="J496" s="315"/>
    </row>
    <row r="497" customFormat="false" ht="12.75" hidden="false" customHeight="true" outlineLevel="0" collapsed="false">
      <c r="J497" s="315"/>
    </row>
    <row r="498" customFormat="false" ht="12.75" hidden="false" customHeight="true" outlineLevel="0" collapsed="false">
      <c r="J498" s="315"/>
    </row>
    <row r="499" customFormat="false" ht="12.75" hidden="false" customHeight="true" outlineLevel="0" collapsed="false">
      <c r="J499" s="315"/>
    </row>
    <row r="500" customFormat="false" ht="12.75" hidden="false" customHeight="true" outlineLevel="0" collapsed="false">
      <c r="J500" s="315"/>
    </row>
    <row r="501" customFormat="false" ht="12.75" hidden="false" customHeight="true" outlineLevel="0" collapsed="false">
      <c r="J501" s="315"/>
    </row>
    <row r="502" customFormat="false" ht="12.75" hidden="false" customHeight="true" outlineLevel="0" collapsed="false">
      <c r="J502" s="315"/>
    </row>
    <row r="503" customFormat="false" ht="12.75" hidden="false" customHeight="true" outlineLevel="0" collapsed="false">
      <c r="J503" s="315"/>
    </row>
    <row r="504" customFormat="false" ht="12.75" hidden="false" customHeight="true" outlineLevel="0" collapsed="false">
      <c r="J504" s="315"/>
    </row>
    <row r="505" customFormat="false" ht="12.75" hidden="false" customHeight="true" outlineLevel="0" collapsed="false">
      <c r="J505" s="315"/>
    </row>
    <row r="506" customFormat="false" ht="12.75" hidden="false" customHeight="true" outlineLevel="0" collapsed="false">
      <c r="J506" s="315"/>
    </row>
    <row r="507" customFormat="false" ht="12.75" hidden="false" customHeight="true" outlineLevel="0" collapsed="false">
      <c r="J507" s="315"/>
    </row>
    <row r="508" customFormat="false" ht="12.75" hidden="false" customHeight="true" outlineLevel="0" collapsed="false">
      <c r="J508" s="315"/>
    </row>
    <row r="509" customFormat="false" ht="12.75" hidden="false" customHeight="true" outlineLevel="0" collapsed="false">
      <c r="J509" s="315"/>
    </row>
    <row r="510" customFormat="false" ht="12.75" hidden="false" customHeight="true" outlineLevel="0" collapsed="false">
      <c r="J510" s="315"/>
    </row>
    <row r="511" customFormat="false" ht="12.75" hidden="false" customHeight="true" outlineLevel="0" collapsed="false">
      <c r="J511" s="315"/>
    </row>
    <row r="512" customFormat="false" ht="12.75" hidden="false" customHeight="true" outlineLevel="0" collapsed="false">
      <c r="J512" s="315"/>
    </row>
    <row r="513" customFormat="false" ht="12.75" hidden="false" customHeight="true" outlineLevel="0" collapsed="false">
      <c r="J513" s="315"/>
    </row>
    <row r="514" customFormat="false" ht="12.75" hidden="false" customHeight="true" outlineLevel="0" collapsed="false">
      <c r="J514" s="315"/>
    </row>
    <row r="515" customFormat="false" ht="12.75" hidden="false" customHeight="true" outlineLevel="0" collapsed="false">
      <c r="J515" s="315"/>
    </row>
    <row r="516" customFormat="false" ht="12.75" hidden="false" customHeight="true" outlineLevel="0" collapsed="false">
      <c r="J516" s="315"/>
    </row>
    <row r="517" customFormat="false" ht="12.75" hidden="false" customHeight="true" outlineLevel="0" collapsed="false">
      <c r="J517" s="315"/>
    </row>
    <row r="518" customFormat="false" ht="12.75" hidden="false" customHeight="true" outlineLevel="0" collapsed="false">
      <c r="J518" s="315"/>
    </row>
    <row r="519" customFormat="false" ht="12.75" hidden="false" customHeight="true" outlineLevel="0" collapsed="false">
      <c r="J519" s="315"/>
    </row>
    <row r="520" customFormat="false" ht="12.75" hidden="false" customHeight="true" outlineLevel="0" collapsed="false">
      <c r="J520" s="315"/>
    </row>
    <row r="521" customFormat="false" ht="12.75" hidden="false" customHeight="true" outlineLevel="0" collapsed="false">
      <c r="J521" s="315"/>
    </row>
    <row r="522" customFormat="false" ht="12.75" hidden="false" customHeight="true" outlineLevel="0" collapsed="false">
      <c r="J522" s="315"/>
    </row>
    <row r="523" customFormat="false" ht="12.75" hidden="false" customHeight="true" outlineLevel="0" collapsed="false">
      <c r="J523" s="315"/>
    </row>
    <row r="524" customFormat="false" ht="12.75" hidden="false" customHeight="true" outlineLevel="0" collapsed="false">
      <c r="J524" s="315"/>
    </row>
    <row r="525" customFormat="false" ht="12.75" hidden="false" customHeight="true" outlineLevel="0" collapsed="false">
      <c r="J525" s="315"/>
    </row>
    <row r="526" customFormat="false" ht="12.75" hidden="false" customHeight="true" outlineLevel="0" collapsed="false">
      <c r="J526" s="315"/>
    </row>
    <row r="527" customFormat="false" ht="12.75" hidden="false" customHeight="true" outlineLevel="0" collapsed="false">
      <c r="J527" s="315"/>
    </row>
    <row r="528" customFormat="false" ht="12.75" hidden="false" customHeight="true" outlineLevel="0" collapsed="false">
      <c r="J528" s="315"/>
    </row>
    <row r="529" customFormat="false" ht="12.75" hidden="false" customHeight="true" outlineLevel="0" collapsed="false">
      <c r="J529" s="315"/>
    </row>
    <row r="530" customFormat="false" ht="12.75" hidden="false" customHeight="true" outlineLevel="0" collapsed="false">
      <c r="J530" s="315"/>
    </row>
    <row r="531" customFormat="false" ht="12.75" hidden="false" customHeight="true" outlineLevel="0" collapsed="false">
      <c r="J531" s="315"/>
    </row>
    <row r="532" customFormat="false" ht="12.75" hidden="false" customHeight="true" outlineLevel="0" collapsed="false">
      <c r="J532" s="315"/>
    </row>
    <row r="533" customFormat="false" ht="12.75" hidden="false" customHeight="true" outlineLevel="0" collapsed="false">
      <c r="J533" s="315"/>
    </row>
    <row r="534" customFormat="false" ht="12.75" hidden="false" customHeight="true" outlineLevel="0" collapsed="false">
      <c r="J534" s="315"/>
    </row>
    <row r="535" customFormat="false" ht="12.75" hidden="false" customHeight="true" outlineLevel="0" collapsed="false">
      <c r="J535" s="315"/>
    </row>
    <row r="536" customFormat="false" ht="12.75" hidden="false" customHeight="true" outlineLevel="0" collapsed="false">
      <c r="J536" s="315"/>
    </row>
    <row r="537" customFormat="false" ht="12.75" hidden="false" customHeight="true" outlineLevel="0" collapsed="false">
      <c r="J537" s="315"/>
    </row>
    <row r="538" customFormat="false" ht="12.75" hidden="false" customHeight="true" outlineLevel="0" collapsed="false">
      <c r="J538" s="315"/>
    </row>
    <row r="539" customFormat="false" ht="12.75" hidden="false" customHeight="true" outlineLevel="0" collapsed="false">
      <c r="J539" s="315"/>
    </row>
    <row r="540" customFormat="false" ht="12.75" hidden="false" customHeight="true" outlineLevel="0" collapsed="false">
      <c r="J540" s="315"/>
    </row>
    <row r="541" customFormat="false" ht="12.75" hidden="false" customHeight="true" outlineLevel="0" collapsed="false">
      <c r="J541" s="315"/>
    </row>
    <row r="542" customFormat="false" ht="12.75" hidden="false" customHeight="true" outlineLevel="0" collapsed="false">
      <c r="J542" s="315"/>
    </row>
    <row r="543" customFormat="false" ht="12.75" hidden="false" customHeight="true" outlineLevel="0" collapsed="false">
      <c r="J543" s="315"/>
    </row>
    <row r="544" customFormat="false" ht="12.75" hidden="false" customHeight="true" outlineLevel="0" collapsed="false">
      <c r="J544" s="315"/>
    </row>
    <row r="545" customFormat="false" ht="12.75" hidden="false" customHeight="true" outlineLevel="0" collapsed="false">
      <c r="J545" s="315"/>
    </row>
    <row r="546" customFormat="false" ht="12.75" hidden="false" customHeight="true" outlineLevel="0" collapsed="false">
      <c r="J546" s="315"/>
    </row>
    <row r="547" customFormat="false" ht="12.75" hidden="false" customHeight="true" outlineLevel="0" collapsed="false">
      <c r="J547" s="315"/>
    </row>
    <row r="548" customFormat="false" ht="12.75" hidden="false" customHeight="true" outlineLevel="0" collapsed="false">
      <c r="J548" s="315"/>
    </row>
    <row r="549" customFormat="false" ht="12.75" hidden="false" customHeight="true" outlineLevel="0" collapsed="false">
      <c r="J549" s="315"/>
    </row>
    <row r="550" customFormat="false" ht="12.75" hidden="false" customHeight="true" outlineLevel="0" collapsed="false">
      <c r="J550" s="315"/>
    </row>
    <row r="551" customFormat="false" ht="12.75" hidden="false" customHeight="true" outlineLevel="0" collapsed="false">
      <c r="J551" s="315"/>
    </row>
    <row r="552" customFormat="false" ht="12.75" hidden="false" customHeight="true" outlineLevel="0" collapsed="false">
      <c r="J552" s="315"/>
    </row>
    <row r="553" customFormat="false" ht="12.75" hidden="false" customHeight="true" outlineLevel="0" collapsed="false">
      <c r="J553" s="315"/>
    </row>
    <row r="554" customFormat="false" ht="12.75" hidden="false" customHeight="true" outlineLevel="0" collapsed="false">
      <c r="J554" s="315"/>
    </row>
    <row r="555" customFormat="false" ht="12.75" hidden="false" customHeight="true" outlineLevel="0" collapsed="false">
      <c r="J555" s="315"/>
    </row>
    <row r="556" customFormat="false" ht="12.75" hidden="false" customHeight="true" outlineLevel="0" collapsed="false">
      <c r="J556" s="315"/>
    </row>
    <row r="557" customFormat="false" ht="12.75" hidden="false" customHeight="true" outlineLevel="0" collapsed="false">
      <c r="J557" s="315"/>
    </row>
    <row r="558" customFormat="false" ht="12.75" hidden="false" customHeight="true" outlineLevel="0" collapsed="false">
      <c r="J558" s="315"/>
    </row>
    <row r="559" customFormat="false" ht="12.75" hidden="false" customHeight="true" outlineLevel="0" collapsed="false">
      <c r="J559" s="315"/>
    </row>
    <row r="560" customFormat="false" ht="12.75" hidden="false" customHeight="true" outlineLevel="0" collapsed="false">
      <c r="J560" s="315"/>
    </row>
    <row r="561" customFormat="false" ht="12.75" hidden="false" customHeight="true" outlineLevel="0" collapsed="false">
      <c r="J561" s="315"/>
    </row>
    <row r="562" customFormat="false" ht="12.75" hidden="false" customHeight="true" outlineLevel="0" collapsed="false">
      <c r="J562" s="315"/>
    </row>
    <row r="563" customFormat="false" ht="12.75" hidden="false" customHeight="true" outlineLevel="0" collapsed="false">
      <c r="J563" s="315"/>
    </row>
    <row r="564" customFormat="false" ht="12.75" hidden="false" customHeight="true" outlineLevel="0" collapsed="false">
      <c r="J564" s="315"/>
    </row>
    <row r="565" customFormat="false" ht="12.75" hidden="false" customHeight="true" outlineLevel="0" collapsed="false">
      <c r="J565" s="315"/>
    </row>
    <row r="566" customFormat="false" ht="12.75" hidden="false" customHeight="true" outlineLevel="0" collapsed="false">
      <c r="J566" s="315"/>
    </row>
    <row r="567" customFormat="false" ht="12.75" hidden="false" customHeight="true" outlineLevel="0" collapsed="false">
      <c r="J567" s="315"/>
    </row>
    <row r="568" customFormat="false" ht="12.75" hidden="false" customHeight="true" outlineLevel="0" collapsed="false">
      <c r="J568" s="315"/>
    </row>
    <row r="569" customFormat="false" ht="12.75" hidden="false" customHeight="true" outlineLevel="0" collapsed="false">
      <c r="J569" s="315"/>
    </row>
    <row r="570" customFormat="false" ht="12.75" hidden="false" customHeight="true" outlineLevel="0" collapsed="false">
      <c r="J570" s="315"/>
    </row>
    <row r="571" customFormat="false" ht="12.75" hidden="false" customHeight="true" outlineLevel="0" collapsed="false">
      <c r="J571" s="315"/>
    </row>
    <row r="572" customFormat="false" ht="12.75" hidden="false" customHeight="true" outlineLevel="0" collapsed="false">
      <c r="J572" s="315"/>
    </row>
    <row r="573" customFormat="false" ht="12.75" hidden="false" customHeight="true" outlineLevel="0" collapsed="false">
      <c r="J573" s="315"/>
    </row>
    <row r="574" customFormat="false" ht="12.75" hidden="false" customHeight="true" outlineLevel="0" collapsed="false">
      <c r="J574" s="315"/>
    </row>
    <row r="575" customFormat="false" ht="12.75" hidden="false" customHeight="true" outlineLevel="0" collapsed="false">
      <c r="J575" s="315"/>
    </row>
    <row r="576" customFormat="false" ht="12.75" hidden="false" customHeight="true" outlineLevel="0" collapsed="false">
      <c r="J576" s="315"/>
    </row>
    <row r="577" customFormat="false" ht="12.75" hidden="false" customHeight="true" outlineLevel="0" collapsed="false">
      <c r="J577" s="315"/>
    </row>
    <row r="578" customFormat="false" ht="12.75" hidden="false" customHeight="true" outlineLevel="0" collapsed="false">
      <c r="J578" s="315"/>
    </row>
    <row r="579" customFormat="false" ht="12.75" hidden="false" customHeight="true" outlineLevel="0" collapsed="false">
      <c r="J579" s="315"/>
    </row>
    <row r="580" customFormat="false" ht="12.75" hidden="false" customHeight="true" outlineLevel="0" collapsed="false">
      <c r="J580" s="315"/>
    </row>
    <row r="581" customFormat="false" ht="12.75" hidden="false" customHeight="true" outlineLevel="0" collapsed="false">
      <c r="J581" s="315"/>
    </row>
    <row r="582" customFormat="false" ht="12.75" hidden="false" customHeight="true" outlineLevel="0" collapsed="false">
      <c r="J582" s="315"/>
    </row>
    <row r="583" customFormat="false" ht="12.75" hidden="false" customHeight="true" outlineLevel="0" collapsed="false">
      <c r="J583" s="315"/>
    </row>
    <row r="584" customFormat="false" ht="12.75" hidden="false" customHeight="true" outlineLevel="0" collapsed="false">
      <c r="J584" s="315"/>
    </row>
    <row r="585" customFormat="false" ht="12.75" hidden="false" customHeight="true" outlineLevel="0" collapsed="false">
      <c r="J585" s="315"/>
    </row>
    <row r="586" customFormat="false" ht="12.75" hidden="false" customHeight="true" outlineLevel="0" collapsed="false">
      <c r="J586" s="315"/>
    </row>
    <row r="587" customFormat="false" ht="12.75" hidden="false" customHeight="true" outlineLevel="0" collapsed="false">
      <c r="J587" s="315"/>
    </row>
    <row r="588" customFormat="false" ht="12.75" hidden="false" customHeight="true" outlineLevel="0" collapsed="false">
      <c r="J588" s="315"/>
    </row>
    <row r="589" customFormat="false" ht="12.75" hidden="false" customHeight="true" outlineLevel="0" collapsed="false">
      <c r="J589" s="315"/>
    </row>
    <row r="590" customFormat="false" ht="12.75" hidden="false" customHeight="true" outlineLevel="0" collapsed="false">
      <c r="J590" s="315"/>
    </row>
    <row r="591" customFormat="false" ht="12.75" hidden="false" customHeight="true" outlineLevel="0" collapsed="false">
      <c r="J591" s="315"/>
    </row>
    <row r="592" customFormat="false" ht="12.75" hidden="false" customHeight="true" outlineLevel="0" collapsed="false">
      <c r="J592" s="315"/>
    </row>
    <row r="593" customFormat="false" ht="12.75" hidden="false" customHeight="true" outlineLevel="0" collapsed="false">
      <c r="J593" s="315"/>
    </row>
    <row r="594" customFormat="false" ht="12.75" hidden="false" customHeight="true" outlineLevel="0" collapsed="false">
      <c r="J594" s="315"/>
    </row>
    <row r="595" customFormat="false" ht="12.75" hidden="false" customHeight="true" outlineLevel="0" collapsed="false">
      <c r="J595" s="315"/>
    </row>
    <row r="596" customFormat="false" ht="12.75" hidden="false" customHeight="true" outlineLevel="0" collapsed="false">
      <c r="J596" s="315"/>
    </row>
    <row r="597" customFormat="false" ht="12.75" hidden="false" customHeight="true" outlineLevel="0" collapsed="false">
      <c r="J597" s="315"/>
    </row>
    <row r="598" customFormat="false" ht="12.75" hidden="false" customHeight="true" outlineLevel="0" collapsed="false">
      <c r="J598" s="315"/>
    </row>
    <row r="599" customFormat="false" ht="12.75" hidden="false" customHeight="true" outlineLevel="0" collapsed="false">
      <c r="J599" s="315"/>
    </row>
    <row r="600" customFormat="false" ht="12.75" hidden="false" customHeight="true" outlineLevel="0" collapsed="false">
      <c r="J600" s="315"/>
    </row>
    <row r="601" customFormat="false" ht="12.75" hidden="false" customHeight="true" outlineLevel="0" collapsed="false">
      <c r="J601" s="315"/>
    </row>
    <row r="602" customFormat="false" ht="12.75" hidden="false" customHeight="true" outlineLevel="0" collapsed="false">
      <c r="J602" s="315"/>
    </row>
    <row r="603" customFormat="false" ht="12.75" hidden="false" customHeight="true" outlineLevel="0" collapsed="false">
      <c r="J603" s="315"/>
    </row>
    <row r="604" customFormat="false" ht="12.75" hidden="false" customHeight="true" outlineLevel="0" collapsed="false">
      <c r="J604" s="315"/>
    </row>
    <row r="605" customFormat="false" ht="12.75" hidden="false" customHeight="true" outlineLevel="0" collapsed="false">
      <c r="J605" s="315"/>
    </row>
    <row r="606" customFormat="false" ht="12.75" hidden="false" customHeight="true" outlineLevel="0" collapsed="false">
      <c r="J606" s="315"/>
    </row>
    <row r="607" customFormat="false" ht="12.75" hidden="false" customHeight="true" outlineLevel="0" collapsed="false">
      <c r="J607" s="315"/>
    </row>
    <row r="608" customFormat="false" ht="12.75" hidden="false" customHeight="true" outlineLevel="0" collapsed="false">
      <c r="J608" s="315"/>
    </row>
    <row r="609" customFormat="false" ht="12.75" hidden="false" customHeight="true" outlineLevel="0" collapsed="false">
      <c r="J609" s="315"/>
    </row>
    <row r="610" customFormat="false" ht="12.75" hidden="false" customHeight="true" outlineLevel="0" collapsed="false">
      <c r="J610" s="315"/>
    </row>
    <row r="611" customFormat="false" ht="12.75" hidden="false" customHeight="true" outlineLevel="0" collapsed="false">
      <c r="J611" s="315"/>
    </row>
    <row r="612" customFormat="false" ht="12.75" hidden="false" customHeight="true" outlineLevel="0" collapsed="false">
      <c r="J612" s="315"/>
    </row>
    <row r="613" customFormat="false" ht="12.75" hidden="false" customHeight="true" outlineLevel="0" collapsed="false">
      <c r="J613" s="315"/>
    </row>
    <row r="614" customFormat="false" ht="12.75" hidden="false" customHeight="true" outlineLevel="0" collapsed="false">
      <c r="J614" s="315"/>
    </row>
    <row r="615" customFormat="false" ht="12.75" hidden="false" customHeight="true" outlineLevel="0" collapsed="false">
      <c r="J615" s="315"/>
    </row>
    <row r="616" customFormat="false" ht="12.75" hidden="false" customHeight="true" outlineLevel="0" collapsed="false">
      <c r="J616" s="315"/>
    </row>
    <row r="617" customFormat="false" ht="12.75" hidden="false" customHeight="true" outlineLevel="0" collapsed="false">
      <c r="J617" s="315"/>
    </row>
    <row r="618" customFormat="false" ht="12.75" hidden="false" customHeight="true" outlineLevel="0" collapsed="false">
      <c r="J618" s="315"/>
    </row>
    <row r="619" customFormat="false" ht="12.75" hidden="false" customHeight="true" outlineLevel="0" collapsed="false">
      <c r="J619" s="315"/>
    </row>
    <row r="620" customFormat="false" ht="12.75" hidden="false" customHeight="true" outlineLevel="0" collapsed="false">
      <c r="J620" s="315"/>
    </row>
    <row r="621" customFormat="false" ht="12.75" hidden="false" customHeight="true" outlineLevel="0" collapsed="false">
      <c r="J621" s="315"/>
    </row>
    <row r="622" customFormat="false" ht="12.75" hidden="false" customHeight="true" outlineLevel="0" collapsed="false">
      <c r="J622" s="315"/>
    </row>
    <row r="623" customFormat="false" ht="12.75" hidden="false" customHeight="true" outlineLevel="0" collapsed="false">
      <c r="J623" s="315"/>
    </row>
    <row r="624" customFormat="false" ht="12.75" hidden="false" customHeight="true" outlineLevel="0" collapsed="false">
      <c r="J624" s="315"/>
    </row>
    <row r="625" customFormat="false" ht="12.75" hidden="false" customHeight="true" outlineLevel="0" collapsed="false">
      <c r="J625" s="315"/>
    </row>
    <row r="626" customFormat="false" ht="12.75" hidden="false" customHeight="true" outlineLevel="0" collapsed="false">
      <c r="J626" s="315"/>
    </row>
    <row r="627" customFormat="false" ht="12.75" hidden="false" customHeight="true" outlineLevel="0" collapsed="false">
      <c r="J627" s="315"/>
    </row>
    <row r="628" customFormat="false" ht="12.75" hidden="false" customHeight="true" outlineLevel="0" collapsed="false">
      <c r="J628" s="315"/>
    </row>
    <row r="629" customFormat="false" ht="12.75" hidden="false" customHeight="true" outlineLevel="0" collapsed="false">
      <c r="J629" s="315"/>
    </row>
    <row r="630" customFormat="false" ht="12.75" hidden="false" customHeight="true" outlineLevel="0" collapsed="false">
      <c r="J630" s="315"/>
    </row>
    <row r="631" customFormat="false" ht="12.75" hidden="false" customHeight="true" outlineLevel="0" collapsed="false">
      <c r="J631" s="315"/>
    </row>
    <row r="632" customFormat="false" ht="12.75" hidden="false" customHeight="true" outlineLevel="0" collapsed="false">
      <c r="J632" s="315"/>
    </row>
    <row r="633" customFormat="false" ht="12.75" hidden="false" customHeight="true" outlineLevel="0" collapsed="false">
      <c r="J633" s="315"/>
    </row>
    <row r="634" customFormat="false" ht="12.75" hidden="false" customHeight="true" outlineLevel="0" collapsed="false">
      <c r="J634" s="315"/>
    </row>
    <row r="635" customFormat="false" ht="12.75" hidden="false" customHeight="true" outlineLevel="0" collapsed="false">
      <c r="J635" s="315"/>
    </row>
    <row r="636" customFormat="false" ht="12.75" hidden="false" customHeight="true" outlineLevel="0" collapsed="false">
      <c r="J636" s="315"/>
    </row>
    <row r="637" customFormat="false" ht="12.75" hidden="false" customHeight="true" outlineLevel="0" collapsed="false">
      <c r="J637" s="315"/>
    </row>
    <row r="638" customFormat="false" ht="12.75" hidden="false" customHeight="true" outlineLevel="0" collapsed="false">
      <c r="J638" s="315"/>
    </row>
    <row r="639" customFormat="false" ht="12.75" hidden="false" customHeight="true" outlineLevel="0" collapsed="false">
      <c r="J639" s="315"/>
    </row>
    <row r="640" customFormat="false" ht="12.75" hidden="false" customHeight="true" outlineLevel="0" collapsed="false">
      <c r="J640" s="315"/>
    </row>
    <row r="641" customFormat="false" ht="12.75" hidden="false" customHeight="true" outlineLevel="0" collapsed="false">
      <c r="J641" s="315"/>
    </row>
    <row r="642" customFormat="false" ht="12.75" hidden="false" customHeight="true" outlineLevel="0" collapsed="false">
      <c r="J642" s="315"/>
    </row>
    <row r="643" customFormat="false" ht="12.75" hidden="false" customHeight="true" outlineLevel="0" collapsed="false">
      <c r="J643" s="315"/>
    </row>
    <row r="644" customFormat="false" ht="12.75" hidden="false" customHeight="true" outlineLevel="0" collapsed="false">
      <c r="J644" s="315"/>
    </row>
    <row r="645" customFormat="false" ht="12.75" hidden="false" customHeight="true" outlineLevel="0" collapsed="false">
      <c r="J645" s="315"/>
    </row>
    <row r="646" customFormat="false" ht="12.75" hidden="false" customHeight="true" outlineLevel="0" collapsed="false">
      <c r="J646" s="315"/>
    </row>
    <row r="647" customFormat="false" ht="12.75" hidden="false" customHeight="true" outlineLevel="0" collapsed="false">
      <c r="J647" s="315"/>
    </row>
    <row r="648" customFormat="false" ht="12.75" hidden="false" customHeight="true" outlineLevel="0" collapsed="false">
      <c r="J648" s="315"/>
    </row>
    <row r="649" customFormat="false" ht="12.75" hidden="false" customHeight="true" outlineLevel="0" collapsed="false">
      <c r="J649" s="315"/>
    </row>
    <row r="650" customFormat="false" ht="12.75" hidden="false" customHeight="true" outlineLevel="0" collapsed="false">
      <c r="J650" s="315"/>
    </row>
    <row r="651" customFormat="false" ht="12.75" hidden="false" customHeight="true" outlineLevel="0" collapsed="false">
      <c r="J651" s="315"/>
    </row>
    <row r="652" customFormat="false" ht="12.75" hidden="false" customHeight="true" outlineLevel="0" collapsed="false">
      <c r="J652" s="315"/>
    </row>
    <row r="653" customFormat="false" ht="12.75" hidden="false" customHeight="true" outlineLevel="0" collapsed="false">
      <c r="J653" s="315"/>
    </row>
    <row r="654" customFormat="false" ht="12.75" hidden="false" customHeight="true" outlineLevel="0" collapsed="false">
      <c r="J654" s="315"/>
    </row>
    <row r="655" customFormat="false" ht="12.75" hidden="false" customHeight="true" outlineLevel="0" collapsed="false">
      <c r="J655" s="315"/>
    </row>
    <row r="656" customFormat="false" ht="12.75" hidden="false" customHeight="true" outlineLevel="0" collapsed="false">
      <c r="J656" s="315"/>
    </row>
    <row r="657" customFormat="false" ht="12.75" hidden="false" customHeight="true" outlineLevel="0" collapsed="false">
      <c r="J657" s="315"/>
    </row>
    <row r="658" customFormat="false" ht="12.75" hidden="false" customHeight="true" outlineLevel="0" collapsed="false">
      <c r="J658" s="315"/>
    </row>
    <row r="659" customFormat="false" ht="12.75" hidden="false" customHeight="true" outlineLevel="0" collapsed="false">
      <c r="J659" s="315"/>
    </row>
  </sheetData>
  <autoFilter ref="A7:P147"/>
  <mergeCells count="9">
    <mergeCell ref="B3:E3"/>
    <mergeCell ref="H4:I4"/>
    <mergeCell ref="J4:K4"/>
    <mergeCell ref="L4:M4"/>
    <mergeCell ref="N4:O4"/>
    <mergeCell ref="H5:I5"/>
    <mergeCell ref="J5:K5"/>
    <mergeCell ref="L5:M5"/>
    <mergeCell ref="N5:O5"/>
  </mergeCells>
  <conditionalFormatting sqref="D33">
    <cfRule type="cellIs" priority="2" operator="equal" aboveAverage="0" equalAverage="0" bottom="0" percent="0" rank="0" text="" dxfId="19">
      <formula>"F"</formula>
    </cfRule>
    <cfRule type="expression" priority="3" aboveAverage="0" equalAverage="0" bottom="0" percent="0" rank="0" text="" dxfId="20">
      <formula>#ref!=$E$5</formula>
    </cfRule>
    <cfRule type="expression" priority="4" aboveAverage="0" equalAverage="0" bottom="0" percent="0" rank="0" text="" dxfId="20">
      <formula>$F33=$E$5</formula>
    </cfRule>
  </conditionalFormatting>
  <conditionalFormatting sqref="B106">
    <cfRule type="duplicateValues" priority="5" aboveAverage="0" equalAverage="0" bottom="0" percent="0" rank="0" text="" dxfId="16"/>
    <cfRule type="duplicateValues" priority="6" aboveAverage="0" equalAverage="0" bottom="0" percent="0" rank="0" text="" dxfId="17"/>
    <cfRule type="duplicateValues" priority="7" aboveAverage="0" equalAverage="0" bottom="0" percent="0" rank="0" text="" dxfId="16"/>
  </conditionalFormatting>
  <conditionalFormatting sqref="D106">
    <cfRule type="expression" priority="8" aboveAverage="0" equalAverage="0" bottom="0" percent="0" rank="0" text="" dxfId="18">
      <formula>#ref!=#ref!</formula>
    </cfRule>
    <cfRule type="cellIs" priority="9" operator="equal" aboveAverage="0" equalAverage="0" bottom="0" percent="0" rank="0" text="" dxfId="19">
      <formula>"F"</formula>
    </cfRule>
  </conditionalFormatting>
  <conditionalFormatting sqref="D106 F106">
    <cfRule type="expression" priority="10" aboveAverage="0" equalAverage="0" bottom="0" percent="0" rank="0" text="" dxfId="18">
      <formula>$F106=#ref!</formula>
    </cfRule>
  </conditionalFormatting>
  <conditionalFormatting sqref="D105">
    <cfRule type="cellIs" priority="11" operator="equal" aboveAverage="0" equalAverage="0" bottom="0" percent="0" rank="0" text="" dxfId="19">
      <formula>"F"</formula>
    </cfRule>
    <cfRule type="expression" priority="12" aboveAverage="0" equalAverage="0" bottom="0" percent="0" rank="0" text="" dxfId="20">
      <formula>#ref!=#ref!</formula>
    </cfRule>
    <cfRule type="expression" priority="13" aboveAverage="0" equalAverage="0" bottom="0" percent="0" rank="0" text="" dxfId="20">
      <formula>$F105=#ref!</formula>
    </cfRule>
  </conditionalFormatting>
  <conditionalFormatting sqref="A105:A106">
    <cfRule type="duplicateValues" priority="14" aboveAverage="0" equalAverage="0" bottom="0" percent="0" rank="0" text="" dxfId="21"/>
  </conditionalFormatting>
  <conditionalFormatting sqref="A101:A104">
    <cfRule type="duplicateValues" priority="15" aboveAverage="0" equalAverage="0" bottom="0" percent="0" rank="0" text="" dxfId="21"/>
  </conditionalFormatting>
  <conditionalFormatting sqref="F142">
    <cfRule type="expression" priority="16" aboveAverage="0" equalAverage="0" bottom="0" percent="0" rank="0" text="" dxfId="18">
      <formula>$F142=$E$5</formula>
    </cfRule>
  </conditionalFormatting>
  <conditionalFormatting sqref="F107">
    <cfRule type="expression" priority="17" aboveAverage="0" equalAverage="0" bottom="0" percent="0" rank="0" text="" dxfId="18">
      <formula>$F107=$E$5</formula>
    </cfRule>
  </conditionalFormatting>
  <conditionalFormatting sqref="F8:F100">
    <cfRule type="expression" priority="18" aboveAverage="0" equalAverage="0" bottom="0" percent="0" rank="0" text="" dxfId="18">
      <formula>$F8=$E$5</formula>
    </cfRule>
  </conditionalFormatting>
  <conditionalFormatting sqref="D69:D100 D107:D111">
    <cfRule type="cellIs" priority="19" operator="equal" aboveAverage="0" equalAverage="0" bottom="0" percent="0" rank="0" text="" dxfId="19">
      <formula>"F"</formula>
    </cfRule>
  </conditionalFormatting>
  <conditionalFormatting sqref="D89:D100 D107:D111">
    <cfRule type="expression" priority="20" aboveAverage="0" equalAverage="0" bottom="0" percent="0" rank="0" text="" dxfId="18">
      <formula>#ref!=$E$5</formula>
    </cfRule>
  </conditionalFormatting>
  <conditionalFormatting sqref="D70:D100 D107:D111">
    <cfRule type="expression" priority="21" aboveAverage="0" equalAverage="0" bottom="0" percent="0" rank="0" text="" dxfId="18">
      <formula>$F70=$E$5</formula>
    </cfRule>
  </conditionalFormatting>
  <conditionalFormatting sqref="A89:A100 A107:A111">
    <cfRule type="duplicateValues" priority="22" aboveAverage="0" equalAverage="0" bottom="0" percent="0" rank="0" text="" dxfId="21"/>
  </conditionalFormatting>
  <conditionalFormatting sqref="D80:D88">
    <cfRule type="expression" priority="23" aboveAverage="0" equalAverage="0" bottom="0" percent="0" rank="0" text="" dxfId="18">
      <formula>#ref!=$E$5</formula>
    </cfRule>
  </conditionalFormatting>
  <conditionalFormatting sqref="D79">
    <cfRule type="expression" priority="24" aboveAverage="0" equalAverage="0" bottom="0" percent="0" rank="0" text="" dxfId="18">
      <formula>#ref!=$E$5</formula>
    </cfRule>
  </conditionalFormatting>
  <conditionalFormatting sqref="A70:A88">
    <cfRule type="duplicateValues" priority="25" aboveAverage="0" equalAverage="0" bottom="0" percent="0" rank="0" text="" dxfId="21"/>
  </conditionalFormatting>
  <conditionalFormatting sqref="D70:D78">
    <cfRule type="expression" priority="26" aboveAverage="0" equalAverage="0" bottom="0" percent="0" rank="0" text="" dxfId="18">
      <formula>#ref!=$E$5</formula>
    </cfRule>
  </conditionalFormatting>
  <conditionalFormatting sqref="F112:F135">
    <cfRule type="expression" priority="27" aboveAverage="0" equalAverage="0" bottom="0" percent="0" rank="0" text="" dxfId="18">
      <formula>$F112=$E$5</formula>
    </cfRule>
  </conditionalFormatting>
  <conditionalFormatting sqref="D8:D32 D34:D42">
    <cfRule type="cellIs" priority="28" operator="equal" aboveAverage="0" equalAverage="0" bottom="0" percent="0" rank="0" text="" dxfId="19">
      <formula>"F"</formula>
    </cfRule>
  </conditionalFormatting>
  <conditionalFormatting sqref="D8:D20">
    <cfRule type="expression" priority="29" aboveAverage="0" equalAverage="0" bottom="0" percent="0" rank="0" text="" dxfId="18">
      <formula>#ref!=$E$5</formula>
    </cfRule>
  </conditionalFormatting>
  <conditionalFormatting sqref="D44:D58">
    <cfRule type="cellIs" priority="30" operator="equal" aboveAverage="0" equalAverage="0" bottom="0" percent="0" rank="0" text="" dxfId="19">
      <formula>"F"</formula>
    </cfRule>
    <cfRule type="expression" priority="31" aboveAverage="0" equalAverage="0" bottom="0" percent="0" rank="0" text="" dxfId="18">
      <formula>#ref!=$E$5</formula>
    </cfRule>
  </conditionalFormatting>
  <conditionalFormatting sqref="D22:D32 D34:D42">
    <cfRule type="expression" priority="32" aboveAverage="0" equalAverage="0" bottom="0" percent="0" rank="0" text="" dxfId="18">
      <formula>#ref!=$E$5</formula>
    </cfRule>
  </conditionalFormatting>
  <conditionalFormatting sqref="D21">
    <cfRule type="expression" priority="33" aboveAverage="0" equalAverage="0" bottom="0" percent="0" rank="0" text="" dxfId="18">
      <formula>#ref!=$E$5</formula>
    </cfRule>
  </conditionalFormatting>
  <conditionalFormatting sqref="D8:D32 D34:D42 D44:D58">
    <cfRule type="expression" priority="34" aboveAverage="0" equalAverage="0" bottom="0" percent="0" rank="0" text="" dxfId="18">
      <formula>$F8=$E$5</formula>
    </cfRule>
  </conditionalFormatting>
  <conditionalFormatting sqref="D142:D143">
    <cfRule type="expression" priority="35" aboveAverage="0" equalAverage="0" bottom="0" percent="0" rank="0" text="" dxfId="18">
      <formula>$F142=$E$5</formula>
    </cfRule>
  </conditionalFormatting>
  <conditionalFormatting sqref="A59:A69 A112:A142">
    <cfRule type="duplicateValues" priority="36" aboveAverage="0" equalAverage="0" bottom="0" percent="0" rank="0" text="" dxfId="16"/>
  </conditionalFormatting>
  <conditionalFormatting sqref="B7 B59:B69 B112:B142">
    <cfRule type="duplicateValues" priority="37" aboveAverage="0" equalAverage="0" bottom="0" percent="0" rank="0" text="" dxfId="16"/>
  </conditionalFormatting>
  <conditionalFormatting sqref="D123">
    <cfRule type="cellIs" priority="38" operator="equal" aboveAverage="0" equalAverage="0" bottom="0" percent="0" rank="0" text="" dxfId="19">
      <formula>"F"</formula>
    </cfRule>
    <cfRule type="expression" priority="39" aboveAverage="0" equalAverage="0" bottom="0" percent="0" rank="0" text="" dxfId="18">
      <formula>#ref!=$E$5</formula>
    </cfRule>
    <cfRule type="expression" priority="40" aboveAverage="0" equalAverage="0" bottom="0" percent="0" rank="0" text="" dxfId="18">
      <formula>$F123=$E$5</formula>
    </cfRule>
  </conditionalFormatting>
  <conditionalFormatting sqref="J52:K52">
    <cfRule type="expression" priority="41" aboveAverage="0" equalAverage="0" bottom="0" percent="0" rank="0" text="" dxfId="18">
      <formula>$F52=$E$5</formula>
    </cfRule>
  </conditionalFormatting>
  <conditionalFormatting sqref="J45:K45">
    <cfRule type="expression" priority="42" aboveAverage="0" equalAverage="0" bottom="0" percent="0" rank="0" text="" dxfId="18">
      <formula>$F45=$E$5</formula>
    </cfRule>
  </conditionalFormatting>
  <conditionalFormatting sqref="J42:K42">
    <cfRule type="expression" priority="43" aboveAverage="0" equalAverage="0" bottom="0" percent="0" rank="0" text="" dxfId="18">
      <formula>$F42=$E$5</formula>
    </cfRule>
  </conditionalFormatting>
  <conditionalFormatting sqref="J92:K92">
    <cfRule type="expression" priority="44" aboveAverage="0" equalAverage="0" bottom="0" percent="0" rank="0" text="" dxfId="18">
      <formula>$F93=$E$5</formula>
    </cfRule>
  </conditionalFormatting>
  <conditionalFormatting sqref="J39:K39">
    <cfRule type="expression" priority="45" aboveAverage="0" equalAverage="0" bottom="0" percent="0" rank="0" text="" dxfId="18">
      <formula>$F39=$E$5</formula>
    </cfRule>
  </conditionalFormatting>
  <conditionalFormatting sqref="J29:K29">
    <cfRule type="expression" priority="46" aboveAverage="0" equalAverage="0" bottom="0" percent="0" rank="0" text="" dxfId="18">
      <formula>$F29=$E$5</formula>
    </cfRule>
  </conditionalFormatting>
  <conditionalFormatting sqref="J14:K15">
    <cfRule type="expression" priority="47" aboveAverage="0" equalAverage="0" bottom="0" percent="0" rank="0" text="" dxfId="18">
      <formula>$F14=$E$5</formula>
    </cfRule>
  </conditionalFormatting>
  <conditionalFormatting sqref="J10:K10">
    <cfRule type="expression" priority="48" aboveAverage="0" equalAverage="0" bottom="0" percent="0" rank="0" text="" dxfId="18">
      <formula>$F10=$E$5</formula>
    </cfRule>
  </conditionalFormatting>
  <conditionalFormatting sqref="J64:K64 J72:K72 J74:K74 J78:K78 J82:K83 J95:K95 J97:K97 J99:K99 J102:K102 J111:K111 J115:K115 J118:K118 J124:K124 J130:K130 J133:K134 J139:K139 J141:K142">
    <cfRule type="expression" priority="49" aboveAverage="0" equalAverage="0" bottom="0" percent="0" rank="0" text="" dxfId="18">
      <formula>$F64=$E$5</formula>
    </cfRule>
  </conditionalFormatting>
  <conditionalFormatting sqref="B59:B65 B67:B69 B112:B113 B115 B117:B121 B124:B131 B134:B138 B140:B142">
    <cfRule type="duplicateValues" priority="50" aboveAverage="0" equalAverage="0" bottom="0" percent="0" rank="0" text="" dxfId="17"/>
  </conditionalFormatting>
  <conditionalFormatting sqref="D61 D113 D129 D131 D133:D134 D136:D137 D140:D141">
    <cfRule type="cellIs" priority="51" operator="equal" aboveAverage="0" equalAverage="0" bottom="0" percent="0" rank="0" text="" dxfId="19">
      <formula>"F"</formula>
    </cfRule>
  </conditionalFormatting>
  <conditionalFormatting sqref="D61 D69 D113 D129 D131 D133:D134 D136:D137 D140:D141">
    <cfRule type="expression" priority="52" aboveAverage="0" equalAverage="0" bottom="0" percent="0" rank="0" text="" dxfId="18">
      <formula>#ref!=$E$5</formula>
    </cfRule>
  </conditionalFormatting>
  <conditionalFormatting sqref="D59:D69 D112:D122 D124:D141">
    <cfRule type="expression" priority="53" aboveAverage="0" equalAverage="0" bottom="0" percent="0" rank="0" text="" dxfId="18">
      <formula>$F59=$E$5</formula>
    </cfRule>
  </conditionalFormatting>
  <conditionalFormatting sqref="G132:O132 G143:P146 H8:P9 H10:I10 H11:P13 H14:I15 H16:P28 H29:I29 H30:P38 H39:I39 H40:P41 H42:I42 H43:P44 H45:I45 H46:P51 H52:I52 H53:P63 H64:I64 H65:P71 H72:I72 H73:P73 H74:I74 H75:P77 H78:I78 H79:P81 H82:I83 H84:P91 H92:I92 H93:P94 H95:I95 H96:P96 H97:I97 H98:P98 H99:I99 H100:P101 H102:I102 H103:P110 H111:I111 H112:P114 H115:I115 H116:P117 H118:I118 H119:P123 H124:I124 H125:O129 H130:I130 H131:O131 H133:I134 H135:O138 H139:I139 H140:O140 H141:I142 L10:P10 L14:P15 L29:P29 L39:P39 L42:P42 L45:P45 L52:P52 L64:P64 L72:P72 L74:P74 L78:P78 L82:P83 L92:P92 L95:P95 L97:P97 L99:P99 L102:P102 L111:P111 L115:P115 L118:P118 L124:P124 L130:O130 L133:O134 L139:O139 L141:O142 P125:P142">
    <cfRule type="expression" priority="54" aboveAverage="0" equalAverage="0" bottom="0" percent="0" rank="0" text="" dxfId="18">
      <formula>#ref!=$E$5</formula>
    </cfRule>
  </conditionalFormatting>
  <conditionalFormatting sqref="B59:B69 B112:B142">
    <cfRule type="duplicateValues" priority="55" aboveAverage="0" equalAverage="0" bottom="0" percent="0" rank="0" text="" dxfId="16"/>
  </conditionalFormatting>
  <dataValidations count="7">
    <dataValidation allowBlank="false" errorStyle="stop" operator="between" showDropDown="false" showErrorMessage="true" showInputMessage="true" sqref="E5 F9 F11 F13:F16 F18:F19 F22:F24 F30:F31 F34:F35 F38 F41:F47 F49:F50 F52 F54:F57 F59:F60 F62:F64" type="list">
      <formula1>#ref!</formula1>
      <formula2>0</formula2>
    </dataValidation>
    <dataValidation allowBlank="true" errorStyle="stop" operator="between" showDropDown="false" showErrorMessage="true" showInputMessage="true" sqref="D8:D32 D34:D42 D44:D100 D106:D143" type="list">
      <formula1>"F,M"</formula1>
      <formula2>0</formula2>
    </dataValidation>
    <dataValidation allowBlank="true" errorStyle="stop" operator="between" showDropDown="false" showErrorMessage="true" showInputMessage="true" sqref="D33 D105" type="list">
      <formula1>"F,M"</formula1>
      <formula2>0</formula2>
    </dataValidation>
    <dataValidation allowBlank="false" errorStyle="stop" operator="between" showDropDown="false" showErrorMessage="true" showInputMessage="true" sqref="F20 F25 F27 F66:F67 F69:F100 F107 F112:F113 F115 F117:F121 F125:F129 F131 F134:F135 F142" type="list">
      <formula1>#ref!</formula1>
      <formula2>0</formula2>
    </dataValidation>
    <dataValidation allowBlank="true" errorStyle="stop" operator="between" showDropDown="false" showErrorMessage="true" showInputMessage="false" sqref="F8 F17 F21 F26 F28:F29 F32:F33 F37 F40 F48 F51 F65 F68 F114 F116 F122:F123 F132:F133" type="list">
      <formula1>#ref!</formula1>
      <formula2>0</formula2>
    </dataValidation>
    <dataValidation allowBlank="true" errorStyle="stop" operator="between" showDropDown="false" showErrorMessage="true" showInputMessage="true" sqref="F124 F130" type="list">
      <formula1>#ref!</formula1>
      <formula2>0</formula2>
    </dataValidation>
    <dataValidation allowBlank="true" errorStyle="stop" operator="between" showDropDown="false" showErrorMessage="true" showInputMessage="false" sqref="F10 F12 F36 F39 F53 F58 F61" type="list">
      <formula1>#ref!</formula1>
      <formula2>0</formula2>
    </dataValidation>
  </dataValidations>
  <printOptions headings="false" gridLines="false" gridLinesSet="true" horizontalCentered="false" verticalCentered="false"/>
  <pageMargins left="0.720138888888889" right="0.39375" top="0.389583333333333" bottom="0.490277777777778" header="0.209722222222222" footer="0.25"/>
  <pageSetup paperSize="9" scale="100" fitToWidth="1" fitToHeight="2" pageOrder="downThenOver" orientation="portrait" blackAndWhite="false" draft="false" cellComments="none" horizontalDpi="300" verticalDpi="300" copies="1"/>
  <headerFooter differentFirst="false" differentOddEven="false">
    <oddHeader>&amp;CPage &amp;P</oddHeader>
    <oddFooter>&amp;Cle &amp;D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3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H36" activeCellId="0" sqref="H36"/>
    </sheetView>
  </sheetViews>
  <sheetFormatPr defaultColWidth="10.66796875" defaultRowHeight="12.75" customHeight="true" zeroHeight="false" outlineLevelRow="0" outlineLevelCol="0"/>
  <cols>
    <col collapsed="false" customWidth="true" hidden="false" outlineLevel="0" max="1" min="1" style="2" width="13.67"/>
    <col collapsed="false" customWidth="true" hidden="false" outlineLevel="0" max="2" min="2" style="2" width="24.16"/>
    <col collapsed="false" customWidth="true" hidden="false" outlineLevel="0" max="3" min="3" style="2" width="24.52"/>
    <col collapsed="false" customWidth="true" hidden="false" outlineLevel="0" max="4" min="4" style="2" width="6.51"/>
    <col collapsed="false" customWidth="true" hidden="false" outlineLevel="0" max="5" min="5" style="2" width="14.83"/>
    <col collapsed="false" customWidth="true" hidden="false" outlineLevel="0" max="6" min="6" style="1" width="11.5"/>
    <col collapsed="false" customWidth="true" hidden="false" outlineLevel="0" max="7" min="7" style="1" width="6.16"/>
    <col collapsed="false" customWidth="true" hidden="false" outlineLevel="0" max="8" min="8" style="1" width="3.5"/>
    <col collapsed="false" customWidth="true" hidden="false" outlineLevel="0" max="9" min="9" style="1" width="11.5"/>
    <col collapsed="false" customWidth="true" hidden="false" outlineLevel="0" max="10" min="10" style="2" width="3.5"/>
    <col collapsed="false" customWidth="true" hidden="false" outlineLevel="0" max="11" min="11" style="2" width="8.67"/>
    <col collapsed="false" customWidth="true" hidden="false" outlineLevel="0" max="12" min="12" style="2" width="3.5"/>
    <col collapsed="false" customWidth="true" hidden="false" outlineLevel="0" max="13" min="13" style="2" width="10.51"/>
    <col collapsed="false" customWidth="true" hidden="false" outlineLevel="0" max="14" min="14" style="2" width="3.5"/>
    <col collapsed="false" customWidth="true" hidden="false" outlineLevel="0" max="15" min="15" style="2" width="7"/>
    <col collapsed="false" customWidth="true" hidden="false" outlineLevel="0" max="16" min="16" style="1" width="14.33"/>
  </cols>
  <sheetData>
    <row r="1" customFormat="false" ht="17.25" hidden="false" customHeight="true" outlineLevel="0" collapsed="false">
      <c r="B1" s="307" t="str">
        <f aca="false">Poussins!B1</f>
        <v>TOURNOI DE LA VALLEE DE CHEVREUSE 2025-2026</v>
      </c>
      <c r="C1" s="308"/>
      <c r="D1" s="308"/>
      <c r="E1" s="308"/>
      <c r="F1" s="309"/>
      <c r="G1" s="309"/>
      <c r="H1" s="535"/>
      <c r="J1" s="536"/>
      <c r="L1" s="536"/>
      <c r="N1" s="536"/>
      <c r="T1" s="311"/>
    </row>
    <row r="2" customFormat="false" ht="25.5" hidden="false" customHeight="true" outlineLevel="0" collapsed="false">
      <c r="T2" s="311"/>
    </row>
    <row r="3" customFormat="false" ht="17.25" hidden="false" customHeight="true" outlineLevel="0" collapsed="false">
      <c r="B3" s="515" t="s">
        <v>1426</v>
      </c>
      <c r="C3" s="515"/>
      <c r="D3" s="515"/>
      <c r="E3" s="515"/>
      <c r="T3" s="311"/>
    </row>
    <row r="4" customFormat="false" ht="12.75" hidden="false" customHeight="true" outlineLevel="0" collapsed="false">
      <c r="C4" s="1" t="s">
        <v>1330</v>
      </c>
      <c r="D4" s="1"/>
      <c r="H4" s="317" t="s">
        <v>1331</v>
      </c>
      <c r="I4" s="317"/>
      <c r="J4" s="537" t="s">
        <v>1332</v>
      </c>
      <c r="K4" s="537"/>
      <c r="L4" s="537" t="s">
        <v>1333</v>
      </c>
      <c r="M4" s="537"/>
      <c r="N4" s="537" t="s">
        <v>1334</v>
      </c>
      <c r="O4" s="537"/>
      <c r="T4" s="311"/>
    </row>
    <row r="5" customFormat="false" ht="12.75" hidden="false" customHeight="true" outlineLevel="0" collapsed="false">
      <c r="C5" s="318" t="s">
        <v>1335</v>
      </c>
      <c r="D5" s="318"/>
      <c r="E5" s="319" t="s">
        <v>1355</v>
      </c>
      <c r="H5" s="538" t="n">
        <f aca="false">Poussins!H5</f>
        <v>45991</v>
      </c>
      <c r="I5" s="538"/>
      <c r="J5" s="320" t="n">
        <f aca="false">Poussins!J5</f>
        <v>46040</v>
      </c>
      <c r="K5" s="320"/>
      <c r="L5" s="538" t="n">
        <f aca="false">Poussins!L5</f>
        <v>46103</v>
      </c>
      <c r="M5" s="538"/>
      <c r="N5" s="538" t="n">
        <f aca="false">Poussins!N5</f>
        <v>46180</v>
      </c>
      <c r="O5" s="538"/>
      <c r="T5" s="311"/>
    </row>
    <row r="6" customFormat="false" ht="12.75" hidden="false" customHeight="true" outlineLevel="0" collapsed="false">
      <c r="H6" s="539"/>
      <c r="I6" s="540"/>
      <c r="J6" s="541"/>
      <c r="K6" s="542"/>
      <c r="L6" s="541"/>
      <c r="M6" s="542"/>
      <c r="N6" s="541"/>
      <c r="O6" s="542"/>
      <c r="T6" s="311"/>
    </row>
    <row r="7" customFormat="false" ht="12.75" hidden="false" customHeight="true" outlineLevel="0" collapsed="false">
      <c r="A7" s="325" t="s">
        <v>0</v>
      </c>
      <c r="B7" s="325" t="s">
        <v>1</v>
      </c>
      <c r="C7" s="543" t="s">
        <v>2</v>
      </c>
      <c r="D7" s="543" t="s">
        <v>3</v>
      </c>
      <c r="E7" s="544" t="s">
        <v>4</v>
      </c>
      <c r="F7" s="545" t="s">
        <v>5</v>
      </c>
      <c r="G7" s="545" t="s">
        <v>995</v>
      </c>
      <c r="H7" s="485" t="s">
        <v>1337</v>
      </c>
      <c r="I7" s="484" t="s">
        <v>1338</v>
      </c>
      <c r="J7" s="418" t="s">
        <v>1339</v>
      </c>
      <c r="K7" s="417" t="s">
        <v>1340</v>
      </c>
      <c r="L7" s="546" t="s">
        <v>1341</v>
      </c>
      <c r="M7" s="547" t="s">
        <v>1342</v>
      </c>
      <c r="N7" s="546" t="s">
        <v>1343</v>
      </c>
      <c r="O7" s="547" t="s">
        <v>1344</v>
      </c>
      <c r="P7" s="548" t="s">
        <v>1345</v>
      </c>
      <c r="T7" s="311"/>
    </row>
    <row r="8" customFormat="false" ht="15" hidden="false" customHeight="true" outlineLevel="0" collapsed="false">
      <c r="A8" s="223" t="n">
        <v>1070</v>
      </c>
      <c r="B8" s="44" t="s">
        <v>32</v>
      </c>
      <c r="C8" s="44" t="s">
        <v>33</v>
      </c>
      <c r="D8" s="24" t="s">
        <v>26</v>
      </c>
      <c r="E8" s="520" t="n">
        <v>43191</v>
      </c>
      <c r="F8" s="26" t="s">
        <v>34</v>
      </c>
      <c r="G8" s="222" t="n">
        <v>500</v>
      </c>
      <c r="H8" s="549"/>
      <c r="I8" s="334"/>
      <c r="J8" s="550"/>
      <c r="K8" s="551"/>
      <c r="L8" s="552"/>
      <c r="M8" s="522"/>
      <c r="N8" s="553"/>
      <c r="O8" s="522"/>
      <c r="P8" s="554" t="n">
        <f aca="false">SUM(I8:O8)</f>
        <v>0</v>
      </c>
      <c r="T8" s="311"/>
    </row>
    <row r="9" customFormat="false" ht="15" hidden="false" customHeight="true" outlineLevel="0" collapsed="false">
      <c r="A9" s="62" t="n">
        <v>4070</v>
      </c>
      <c r="B9" s="44" t="s">
        <v>146</v>
      </c>
      <c r="C9" s="44" t="s">
        <v>147</v>
      </c>
      <c r="D9" s="24" t="s">
        <v>26</v>
      </c>
      <c r="E9" s="520" t="n">
        <v>41002</v>
      </c>
      <c r="F9" s="26" t="s">
        <v>34</v>
      </c>
      <c r="G9" s="222" t="n">
        <v>500</v>
      </c>
      <c r="H9" s="549"/>
      <c r="I9" s="334"/>
      <c r="J9" s="550"/>
      <c r="K9" s="551"/>
      <c r="L9" s="552"/>
      <c r="M9" s="522"/>
      <c r="N9" s="553"/>
      <c r="O9" s="555"/>
      <c r="P9" s="554" t="n">
        <f aca="false">SUM(I9:O9)</f>
        <v>0</v>
      </c>
      <c r="T9" s="311"/>
    </row>
    <row r="10" customFormat="false" ht="15" hidden="false" customHeight="true" outlineLevel="0" collapsed="false">
      <c r="A10" s="223" t="n">
        <v>2145</v>
      </c>
      <c r="B10" s="44" t="s">
        <v>256</v>
      </c>
      <c r="C10" s="44" t="s">
        <v>257</v>
      </c>
      <c r="D10" s="24" t="s">
        <v>26</v>
      </c>
      <c r="E10" s="520" t="n">
        <v>42096</v>
      </c>
      <c r="F10" s="26" t="s">
        <v>34</v>
      </c>
      <c r="G10" s="222" t="n">
        <v>678</v>
      </c>
      <c r="H10" s="549"/>
      <c r="I10" s="334"/>
      <c r="J10" s="550"/>
      <c r="K10" s="551"/>
      <c r="L10" s="556"/>
      <c r="M10" s="551"/>
      <c r="N10" s="557"/>
      <c r="O10" s="551"/>
      <c r="P10" s="554" t="n">
        <f aca="false">SUM(I10:O10)</f>
        <v>0</v>
      </c>
      <c r="Q10" s="295"/>
    </row>
    <row r="11" customFormat="false" ht="15" hidden="false" customHeight="true" outlineLevel="0" collapsed="false">
      <c r="A11" s="493" t="n">
        <v>3102</v>
      </c>
      <c r="B11" s="44" t="s">
        <v>298</v>
      </c>
      <c r="C11" s="44" t="s">
        <v>299</v>
      </c>
      <c r="D11" s="24" t="s">
        <v>26</v>
      </c>
      <c r="E11" s="520" t="n">
        <v>41563</v>
      </c>
      <c r="F11" s="26" t="s">
        <v>34</v>
      </c>
      <c r="G11" s="222" t="n">
        <v>737</v>
      </c>
      <c r="H11" s="549"/>
      <c r="I11" s="334"/>
      <c r="J11" s="550"/>
      <c r="K11" s="551"/>
      <c r="L11" s="552"/>
      <c r="M11" s="522"/>
      <c r="N11" s="553"/>
      <c r="O11" s="522"/>
      <c r="P11" s="554" t="n">
        <f aca="false">SUM(I11:O11)</f>
        <v>0</v>
      </c>
    </row>
    <row r="12" customFormat="false" ht="15" hidden="false" customHeight="true" outlineLevel="0" collapsed="false">
      <c r="A12" s="493" t="n">
        <v>3103</v>
      </c>
      <c r="B12" s="44" t="s">
        <v>298</v>
      </c>
      <c r="C12" s="44" t="s">
        <v>300</v>
      </c>
      <c r="D12" s="24" t="s">
        <v>26</v>
      </c>
      <c r="E12" s="520" t="n">
        <v>41563</v>
      </c>
      <c r="F12" s="26" t="s">
        <v>34</v>
      </c>
      <c r="G12" s="222" t="n">
        <v>697</v>
      </c>
      <c r="H12" s="549"/>
      <c r="I12" s="334"/>
      <c r="J12" s="550"/>
      <c r="K12" s="551"/>
      <c r="L12" s="556"/>
      <c r="M12" s="551"/>
      <c r="N12" s="557"/>
      <c r="O12" s="551"/>
      <c r="P12" s="554" t="n">
        <f aca="false">SUM(I12:O12)</f>
        <v>0</v>
      </c>
    </row>
    <row r="13" customFormat="false" ht="13.5" hidden="false" customHeight="true" outlineLevel="0" collapsed="false">
      <c r="A13" s="223" t="n">
        <v>1075</v>
      </c>
      <c r="B13" s="44" t="s">
        <v>412</v>
      </c>
      <c r="C13" s="44" t="s">
        <v>413</v>
      </c>
      <c r="D13" s="24" t="s">
        <v>26</v>
      </c>
      <c r="E13" s="520" t="n">
        <v>42845</v>
      </c>
      <c r="F13" s="26" t="s">
        <v>34</v>
      </c>
      <c r="G13" s="222" t="n">
        <v>500</v>
      </c>
      <c r="H13" s="549"/>
      <c r="I13" s="334"/>
      <c r="J13" s="550"/>
      <c r="K13" s="551"/>
      <c r="L13" s="552"/>
      <c r="M13" s="555"/>
      <c r="N13" s="553"/>
      <c r="O13" s="555"/>
      <c r="P13" s="554" t="n">
        <f aca="false">SUM(I13:O13)</f>
        <v>0</v>
      </c>
      <c r="T13" s="311"/>
    </row>
    <row r="14" customFormat="false" ht="13.5" hidden="false" customHeight="true" outlineLevel="0" collapsed="false">
      <c r="A14" s="223" t="n">
        <v>2153</v>
      </c>
      <c r="B14" s="44" t="s">
        <v>418</v>
      </c>
      <c r="C14" s="44" t="s">
        <v>420</v>
      </c>
      <c r="D14" s="24" t="s">
        <v>26</v>
      </c>
      <c r="E14" s="520" t="n">
        <v>42185</v>
      </c>
      <c r="F14" s="26" t="s">
        <v>34</v>
      </c>
      <c r="G14" s="222" t="n">
        <v>500</v>
      </c>
      <c r="H14" s="549"/>
      <c r="I14" s="334"/>
      <c r="J14" s="550"/>
      <c r="K14" s="551"/>
      <c r="L14" s="552"/>
      <c r="M14" s="555"/>
      <c r="N14" s="553"/>
      <c r="O14" s="555"/>
      <c r="P14" s="554" t="n">
        <f aca="false">SUM(I14:O14)</f>
        <v>0</v>
      </c>
      <c r="T14" s="311"/>
    </row>
    <row r="15" customFormat="false" ht="13.5" hidden="false" customHeight="true" outlineLevel="0" collapsed="false">
      <c r="A15" s="62" t="n">
        <v>4073</v>
      </c>
      <c r="B15" s="44" t="s">
        <v>432</v>
      </c>
      <c r="C15" s="44" t="s">
        <v>433</v>
      </c>
      <c r="D15" s="24" t="s">
        <v>26</v>
      </c>
      <c r="E15" s="520" t="n">
        <v>40922</v>
      </c>
      <c r="F15" s="26" t="s">
        <v>34</v>
      </c>
      <c r="G15" s="222" t="n">
        <v>500</v>
      </c>
      <c r="H15" s="549"/>
      <c r="I15" s="334"/>
      <c r="J15" s="550"/>
      <c r="K15" s="551"/>
      <c r="L15" s="556"/>
      <c r="M15" s="551"/>
      <c r="N15" s="557"/>
      <c r="O15" s="551"/>
      <c r="P15" s="554" t="n">
        <f aca="false">SUM(I15:O15)</f>
        <v>0</v>
      </c>
    </row>
    <row r="16" customFormat="false" ht="13.5" hidden="false" customHeight="true" outlineLevel="0" collapsed="false">
      <c r="A16" s="493" t="n">
        <v>3106</v>
      </c>
      <c r="B16" s="44" t="s">
        <v>530</v>
      </c>
      <c r="C16" s="44" t="s">
        <v>531</v>
      </c>
      <c r="D16" s="24" t="s">
        <v>26</v>
      </c>
      <c r="E16" s="520" t="n">
        <v>41787</v>
      </c>
      <c r="F16" s="26" t="s">
        <v>34</v>
      </c>
      <c r="G16" s="222" t="n">
        <v>500</v>
      </c>
      <c r="H16" s="549"/>
      <c r="I16" s="334"/>
      <c r="J16" s="550"/>
      <c r="K16" s="551"/>
      <c r="L16" s="556"/>
      <c r="M16" s="551"/>
      <c r="N16" s="557"/>
      <c r="O16" s="551"/>
      <c r="P16" s="554" t="n">
        <f aca="false">SUM(I16:O16)</f>
        <v>0</v>
      </c>
    </row>
    <row r="17" customFormat="false" ht="13.5" hidden="false" customHeight="true" outlineLevel="0" collapsed="false">
      <c r="A17" s="62" t="n">
        <v>4087</v>
      </c>
      <c r="B17" s="44" t="s">
        <v>815</v>
      </c>
      <c r="C17" s="44" t="s">
        <v>280</v>
      </c>
      <c r="D17" s="24" t="s">
        <v>26</v>
      </c>
      <c r="E17" s="520" t="n">
        <v>39874</v>
      </c>
      <c r="F17" s="26" t="s">
        <v>34</v>
      </c>
      <c r="G17" s="222" t="n">
        <v>500</v>
      </c>
      <c r="H17" s="549"/>
      <c r="I17" s="334"/>
      <c r="J17" s="550"/>
      <c r="K17" s="551"/>
      <c r="L17" s="552"/>
      <c r="M17" s="555"/>
      <c r="N17" s="553"/>
      <c r="O17" s="555"/>
      <c r="P17" s="554" t="n">
        <f aca="false">SUM(I17:O17)</f>
        <v>0</v>
      </c>
    </row>
    <row r="18" s="1" customFormat="true" ht="13.5" hidden="false" customHeight="true" outlineLevel="0" collapsed="false">
      <c r="A18" s="223" t="n">
        <v>1081</v>
      </c>
      <c r="B18" s="44" t="s">
        <v>815</v>
      </c>
      <c r="C18" s="44" t="s">
        <v>69</v>
      </c>
      <c r="D18" s="24" t="s">
        <v>26</v>
      </c>
      <c r="E18" s="520" t="n">
        <v>43081</v>
      </c>
      <c r="F18" s="26" t="s">
        <v>34</v>
      </c>
      <c r="G18" s="222" t="n">
        <v>500</v>
      </c>
      <c r="H18" s="549"/>
      <c r="I18" s="334"/>
      <c r="J18" s="550"/>
      <c r="K18" s="551"/>
      <c r="L18" s="556"/>
      <c r="M18" s="551"/>
      <c r="N18" s="557"/>
      <c r="O18" s="551"/>
      <c r="P18" s="554" t="n">
        <f aca="false">SUM(I18:O18)</f>
        <v>0</v>
      </c>
      <c r="Q18" s="2"/>
      <c r="R18" s="2"/>
      <c r="S18" s="2"/>
      <c r="T18" s="2"/>
      <c r="U18" s="2"/>
    </row>
    <row r="19" s="1" customFormat="true" ht="13.5" hidden="false" customHeight="true" outlineLevel="0" collapsed="false">
      <c r="A19" s="62" t="n">
        <v>4081</v>
      </c>
      <c r="B19" s="44" t="s">
        <v>899</v>
      </c>
      <c r="C19" s="44" t="s">
        <v>900</v>
      </c>
      <c r="D19" s="24" t="s">
        <v>26</v>
      </c>
      <c r="E19" s="520" t="n">
        <v>41135</v>
      </c>
      <c r="F19" s="26" t="s">
        <v>34</v>
      </c>
      <c r="G19" s="222" t="n">
        <v>785</v>
      </c>
      <c r="H19" s="558"/>
      <c r="I19" s="334"/>
      <c r="J19" s="550"/>
      <c r="K19" s="551"/>
      <c r="L19" s="559"/>
      <c r="M19" s="555"/>
      <c r="N19" s="553"/>
      <c r="O19" s="522"/>
      <c r="P19" s="554" t="n">
        <f aca="false">SUM(I19:O19)</f>
        <v>0</v>
      </c>
    </row>
    <row r="20" s="1" customFormat="true" ht="13.5" hidden="false" customHeight="true" outlineLevel="0" collapsed="false">
      <c r="A20" s="493" t="n">
        <v>3119</v>
      </c>
      <c r="B20" s="44" t="s">
        <v>913</v>
      </c>
      <c r="C20" s="44" t="s">
        <v>915</v>
      </c>
      <c r="D20" s="24" t="s">
        <v>26</v>
      </c>
      <c r="E20" s="520" t="n">
        <v>41529</v>
      </c>
      <c r="F20" s="26" t="s">
        <v>34</v>
      </c>
      <c r="G20" s="222" t="n">
        <v>500</v>
      </c>
      <c r="H20" s="558" t="s">
        <v>1346</v>
      </c>
      <c r="I20" s="334" t="n">
        <v>7</v>
      </c>
      <c r="J20" s="550"/>
      <c r="K20" s="551"/>
      <c r="L20" s="556"/>
      <c r="M20" s="551"/>
      <c r="N20" s="557"/>
      <c r="O20" s="551"/>
      <c r="P20" s="554" t="n">
        <f aca="false">SUM(I20:O20)</f>
        <v>7</v>
      </c>
    </row>
    <row r="21" customFormat="false" ht="13.5" hidden="false" customHeight="true" outlineLevel="0" collapsed="false">
      <c r="A21" s="223" t="n">
        <v>2171</v>
      </c>
      <c r="B21" s="44" t="s">
        <v>977</v>
      </c>
      <c r="C21" s="44" t="s">
        <v>433</v>
      </c>
      <c r="D21" s="24" t="s">
        <v>26</v>
      </c>
      <c r="E21" s="520" t="n">
        <v>42697</v>
      </c>
      <c r="F21" s="26" t="s">
        <v>34</v>
      </c>
      <c r="G21" s="222" t="n">
        <v>500</v>
      </c>
      <c r="H21" s="558"/>
      <c r="I21" s="334"/>
      <c r="J21" s="550"/>
      <c r="K21" s="551"/>
      <c r="L21" s="552"/>
      <c r="M21" s="555"/>
      <c r="N21" s="553"/>
      <c r="O21" s="555"/>
      <c r="P21" s="554" t="n">
        <f aca="false">SUM(I21:O21)</f>
        <v>0</v>
      </c>
      <c r="Q21" s="1"/>
      <c r="R21" s="1"/>
      <c r="S21" s="1"/>
      <c r="T21" s="1"/>
      <c r="U21" s="1"/>
    </row>
    <row r="22" customFormat="false" ht="13.5" hidden="false" customHeight="true" outlineLevel="0" collapsed="false">
      <c r="A22" s="223" t="n">
        <v>2174</v>
      </c>
      <c r="B22" s="44" t="s">
        <v>1133</v>
      </c>
      <c r="C22" s="44" t="s">
        <v>1135</v>
      </c>
      <c r="D22" s="24" t="s">
        <v>26</v>
      </c>
      <c r="E22" s="520" t="n">
        <v>42288</v>
      </c>
      <c r="F22" s="26" t="s">
        <v>34</v>
      </c>
      <c r="G22" s="222" t="n">
        <v>500</v>
      </c>
      <c r="H22" s="558" t="s">
        <v>1346</v>
      </c>
      <c r="I22" s="334" t="n">
        <v>5</v>
      </c>
      <c r="J22" s="560"/>
      <c r="K22" s="555"/>
      <c r="L22" s="552"/>
      <c r="M22" s="522"/>
      <c r="N22" s="553"/>
      <c r="O22" s="555"/>
      <c r="P22" s="554" t="n">
        <f aca="false">SUM(I22:O22)</f>
        <v>5</v>
      </c>
    </row>
    <row r="23" customFormat="false" ht="13.5" hidden="false" customHeight="true" outlineLevel="0" collapsed="false">
      <c r="A23" s="493" t="n">
        <v>3124</v>
      </c>
      <c r="B23" s="44" t="s">
        <v>1205</v>
      </c>
      <c r="C23" s="44" t="s">
        <v>1206</v>
      </c>
      <c r="D23" s="24" t="s">
        <v>26</v>
      </c>
      <c r="E23" s="520" t="n">
        <v>41809</v>
      </c>
      <c r="F23" s="26" t="s">
        <v>34</v>
      </c>
      <c r="G23" s="222" t="n">
        <v>500</v>
      </c>
      <c r="H23" s="549"/>
      <c r="I23" s="334"/>
      <c r="J23" s="550"/>
      <c r="K23" s="551"/>
      <c r="L23" s="559"/>
      <c r="M23" s="555"/>
      <c r="N23" s="553"/>
      <c r="O23" s="555"/>
      <c r="P23" s="554" t="n">
        <f aca="false">SUM(I23:O23)</f>
        <v>0</v>
      </c>
    </row>
    <row r="24" customFormat="false" ht="13.5" hidden="false" customHeight="true" outlineLevel="0" collapsed="false">
      <c r="A24" s="223" t="n">
        <v>2177</v>
      </c>
      <c r="B24" s="44" t="s">
        <v>1321</v>
      </c>
      <c r="C24" s="44" t="s">
        <v>1322</v>
      </c>
      <c r="D24" s="24" t="s">
        <v>26</v>
      </c>
      <c r="E24" s="520" t="n">
        <v>42406</v>
      </c>
      <c r="F24" s="26" t="s">
        <v>34</v>
      </c>
      <c r="G24" s="222" t="n">
        <v>500</v>
      </c>
      <c r="H24" s="549"/>
      <c r="I24" s="334"/>
      <c r="J24" s="550"/>
      <c r="K24" s="551"/>
      <c r="L24" s="556"/>
      <c r="M24" s="551"/>
      <c r="N24" s="557"/>
      <c r="O24" s="551"/>
      <c r="P24" s="554" t="n">
        <f aca="false">SUM(I24:O24)</f>
        <v>0</v>
      </c>
    </row>
    <row r="25" customFormat="false" ht="13.5" hidden="false" customHeight="true" outlineLevel="0" collapsed="false">
      <c r="A25" s="561"/>
      <c r="B25" s="40"/>
      <c r="C25" s="40"/>
      <c r="D25" s="14"/>
      <c r="E25" s="15"/>
      <c r="F25" s="16" t="s">
        <v>119</v>
      </c>
      <c r="G25" s="456"/>
      <c r="H25" s="549"/>
      <c r="I25" s="334"/>
      <c r="J25" s="550"/>
      <c r="K25" s="551"/>
      <c r="L25" s="556"/>
      <c r="M25" s="551"/>
      <c r="N25" s="557"/>
      <c r="O25" s="551"/>
      <c r="P25" s="554" t="n">
        <f aca="false">SUM(I25:O25)</f>
        <v>0</v>
      </c>
    </row>
    <row r="26" customFormat="false" ht="13.5" hidden="false" customHeight="true" outlineLevel="0" collapsed="false">
      <c r="A26" s="223" t="n">
        <v>3037</v>
      </c>
      <c r="B26" s="51" t="s">
        <v>329</v>
      </c>
      <c r="C26" s="51" t="s">
        <v>330</v>
      </c>
      <c r="D26" s="36" t="s">
        <v>26</v>
      </c>
      <c r="E26" s="37" t="n">
        <v>41718</v>
      </c>
      <c r="F26" s="16" t="s">
        <v>143</v>
      </c>
      <c r="G26" s="24" t="s">
        <v>70</v>
      </c>
      <c r="H26" s="558" t="s">
        <v>1346</v>
      </c>
      <c r="I26" s="334" t="n">
        <v>5</v>
      </c>
      <c r="J26" s="550"/>
      <c r="K26" s="551"/>
      <c r="L26" s="559"/>
      <c r="M26" s="555"/>
      <c r="N26" s="553"/>
      <c r="O26" s="555"/>
      <c r="P26" s="554" t="n">
        <f aca="false">SUM(I26:O26)</f>
        <v>5</v>
      </c>
    </row>
    <row r="27" customFormat="false" ht="13.5" hidden="false" customHeight="true" outlineLevel="0" collapsed="false">
      <c r="A27" s="223" t="n">
        <v>1018</v>
      </c>
      <c r="B27" s="51" t="s">
        <v>407</v>
      </c>
      <c r="C27" s="51" t="s">
        <v>408</v>
      </c>
      <c r="D27" s="36" t="s">
        <v>26</v>
      </c>
      <c r="E27" s="37" t="n">
        <v>43293</v>
      </c>
      <c r="F27" s="16" t="s">
        <v>143</v>
      </c>
      <c r="G27" s="24" t="s">
        <v>70</v>
      </c>
      <c r="H27" s="558"/>
      <c r="I27" s="334"/>
      <c r="J27" s="560"/>
      <c r="K27" s="555"/>
      <c r="L27" s="559"/>
      <c r="M27" s="555"/>
      <c r="N27" s="553"/>
      <c r="O27" s="555"/>
      <c r="P27" s="554" t="n">
        <f aca="false">SUM(I27:O27)</f>
        <v>0</v>
      </c>
    </row>
    <row r="28" customFormat="false" ht="13.5" hidden="false" customHeight="true" outlineLevel="0" collapsed="false">
      <c r="A28" s="223" t="n">
        <v>3041</v>
      </c>
      <c r="B28" s="34" t="s">
        <v>24</v>
      </c>
      <c r="C28" s="35" t="s">
        <v>25</v>
      </c>
      <c r="D28" s="36" t="s">
        <v>26</v>
      </c>
      <c r="E28" s="37" t="n">
        <v>41694</v>
      </c>
      <c r="F28" s="16" t="s">
        <v>12</v>
      </c>
      <c r="G28" s="16" t="n">
        <v>500</v>
      </c>
      <c r="H28" s="558" t="s">
        <v>1346</v>
      </c>
      <c r="I28" s="334" t="n">
        <v>2</v>
      </c>
      <c r="J28" s="550"/>
      <c r="K28" s="551"/>
      <c r="L28" s="556"/>
      <c r="M28" s="551"/>
      <c r="N28" s="557"/>
      <c r="O28" s="551"/>
      <c r="P28" s="554" t="n">
        <f aca="false">SUM(I28:O28)</f>
        <v>2</v>
      </c>
    </row>
    <row r="29" customFormat="false" ht="13.5" hidden="false" customHeight="true" outlineLevel="0" collapsed="false">
      <c r="A29" s="62" t="n">
        <v>4032</v>
      </c>
      <c r="B29" s="35" t="s">
        <v>282</v>
      </c>
      <c r="C29" s="34" t="s">
        <v>284</v>
      </c>
      <c r="D29" s="36" t="s">
        <v>26</v>
      </c>
      <c r="E29" s="37" t="n">
        <v>40711</v>
      </c>
      <c r="F29" s="16" t="s">
        <v>12</v>
      </c>
      <c r="G29" s="16" t="n">
        <v>500</v>
      </c>
      <c r="H29" s="549"/>
      <c r="I29" s="334"/>
      <c r="J29" s="550"/>
      <c r="K29" s="551"/>
      <c r="L29" s="556"/>
      <c r="M29" s="551"/>
      <c r="N29" s="557"/>
      <c r="O29" s="551"/>
      <c r="P29" s="554" t="n">
        <f aca="false">SUM(I29:O29)</f>
        <v>0</v>
      </c>
    </row>
    <row r="30" customFormat="false" ht="13.5" hidden="false" customHeight="true" outlineLevel="0" collapsed="false">
      <c r="A30" s="62" t="n">
        <v>4021</v>
      </c>
      <c r="B30" s="35" t="s">
        <v>287</v>
      </c>
      <c r="C30" s="34" t="s">
        <v>288</v>
      </c>
      <c r="D30" s="36" t="s">
        <v>26</v>
      </c>
      <c r="E30" s="37" t="n">
        <v>40897</v>
      </c>
      <c r="F30" s="16" t="s">
        <v>12</v>
      </c>
      <c r="G30" s="16" t="n">
        <v>500</v>
      </c>
      <c r="H30" s="549"/>
      <c r="I30" s="334"/>
      <c r="J30" s="550"/>
      <c r="K30" s="551"/>
      <c r="L30" s="556"/>
      <c r="M30" s="551"/>
      <c r="N30" s="557"/>
      <c r="O30" s="551"/>
      <c r="P30" s="554" t="n">
        <f aca="false">SUM(I30:O30)</f>
        <v>0</v>
      </c>
    </row>
    <row r="31" customFormat="false" ht="13.5" hidden="false" customHeight="true" outlineLevel="0" collapsed="false">
      <c r="A31" s="223" t="n">
        <v>2101</v>
      </c>
      <c r="B31" s="35" t="s">
        <v>550</v>
      </c>
      <c r="C31" s="34" t="s">
        <v>551</v>
      </c>
      <c r="D31" s="36" t="s">
        <v>26</v>
      </c>
      <c r="E31" s="37" t="n">
        <v>42069</v>
      </c>
      <c r="F31" s="16" t="s">
        <v>12</v>
      </c>
      <c r="G31" s="16" t="n">
        <v>500</v>
      </c>
      <c r="H31" s="549"/>
      <c r="I31" s="334"/>
      <c r="J31" s="550"/>
      <c r="K31" s="551"/>
      <c r="L31" s="556"/>
      <c r="M31" s="551"/>
      <c r="N31" s="557"/>
      <c r="O31" s="551"/>
      <c r="P31" s="554" t="n">
        <f aca="false">SUM(I31:O31)</f>
        <v>0</v>
      </c>
    </row>
    <row r="32" customFormat="false" ht="15" hidden="false" customHeight="true" outlineLevel="0" collapsed="false">
      <c r="A32" s="223" t="n">
        <v>3003</v>
      </c>
      <c r="B32" s="35" t="s">
        <v>619</v>
      </c>
      <c r="C32" s="34" t="s">
        <v>620</v>
      </c>
      <c r="D32" s="36" t="s">
        <v>26</v>
      </c>
      <c r="E32" s="37" t="n">
        <v>41984</v>
      </c>
      <c r="F32" s="16" t="s">
        <v>12</v>
      </c>
      <c r="G32" s="16" t="n">
        <v>500</v>
      </c>
      <c r="H32" s="549"/>
      <c r="I32" s="334"/>
      <c r="J32" s="550"/>
      <c r="K32" s="551"/>
      <c r="L32" s="559"/>
      <c r="M32" s="555"/>
      <c r="N32" s="553"/>
      <c r="O32" s="555"/>
      <c r="P32" s="554" t="n">
        <f aca="false">SUM(I32:O32)</f>
        <v>0</v>
      </c>
    </row>
    <row r="33" customFormat="false" ht="13.5" hidden="false" customHeight="true" outlineLevel="0" collapsed="false">
      <c r="A33" s="223" t="n">
        <v>1058</v>
      </c>
      <c r="B33" s="35" t="s">
        <v>786</v>
      </c>
      <c r="C33" s="34" t="s">
        <v>787</v>
      </c>
      <c r="D33" s="36" t="s">
        <v>26</v>
      </c>
      <c r="E33" s="37" t="n">
        <v>42820</v>
      </c>
      <c r="F33" s="16" t="s">
        <v>12</v>
      </c>
      <c r="G33" s="16" t="n">
        <v>500</v>
      </c>
      <c r="H33" s="549"/>
      <c r="I33" s="334"/>
      <c r="J33" s="550"/>
      <c r="K33" s="551"/>
      <c r="L33" s="559"/>
      <c r="M33" s="555"/>
      <c r="N33" s="553"/>
      <c r="O33" s="555"/>
      <c r="P33" s="554" t="n">
        <f aca="false">SUM(I33:O33)</f>
        <v>0</v>
      </c>
      <c r="T33" s="311"/>
      <c r="U33" s="311"/>
    </row>
    <row r="34" customFormat="false" ht="13.5" hidden="false" customHeight="true" outlineLevel="0" collapsed="false">
      <c r="A34" s="62" t="n">
        <v>4025</v>
      </c>
      <c r="B34" s="229" t="s">
        <v>1301</v>
      </c>
      <c r="C34" s="230" t="s">
        <v>1302</v>
      </c>
      <c r="D34" s="36" t="s">
        <v>26</v>
      </c>
      <c r="E34" s="37" t="n">
        <v>40861</v>
      </c>
      <c r="F34" s="16" t="s">
        <v>12</v>
      </c>
      <c r="G34" s="16" t="n">
        <v>500</v>
      </c>
      <c r="H34" s="549"/>
      <c r="I34" s="334"/>
      <c r="J34" s="550"/>
      <c r="K34" s="551"/>
      <c r="L34" s="559"/>
      <c r="M34" s="555"/>
      <c r="N34" s="553"/>
      <c r="O34" s="555"/>
      <c r="P34" s="554" t="n">
        <f aca="false">SUM(I34:O34)</f>
        <v>0</v>
      </c>
    </row>
    <row r="35" customFormat="false" ht="13.5" hidden="false" customHeight="true" outlineLevel="0" collapsed="false">
      <c r="A35" s="225" t="n">
        <v>1000</v>
      </c>
      <c r="B35" s="79" t="s">
        <v>175</v>
      </c>
      <c r="C35" s="79" t="s">
        <v>177</v>
      </c>
      <c r="D35" s="36" t="s">
        <v>26</v>
      </c>
      <c r="E35" s="37" t="n">
        <v>44506</v>
      </c>
      <c r="F35" s="16" t="s">
        <v>52</v>
      </c>
      <c r="G35" s="224" t="s">
        <v>70</v>
      </c>
      <c r="H35" s="487"/>
      <c r="I35" s="334"/>
      <c r="J35" s="550"/>
      <c r="K35" s="551"/>
      <c r="L35" s="556"/>
      <c r="M35" s="551"/>
      <c r="N35" s="557"/>
      <c r="O35" s="551"/>
      <c r="P35" s="554" t="n">
        <f aca="false">SUM(I35:O35)</f>
        <v>0</v>
      </c>
    </row>
    <row r="36" customFormat="false" ht="13.5" hidden="false" customHeight="true" outlineLevel="0" collapsed="false">
      <c r="A36" s="62" t="n">
        <v>4001</v>
      </c>
      <c r="B36" s="79" t="s">
        <v>190</v>
      </c>
      <c r="C36" s="79" t="s">
        <v>191</v>
      </c>
      <c r="D36" s="36" t="s">
        <v>26</v>
      </c>
      <c r="E36" s="37" t="n">
        <v>41272</v>
      </c>
      <c r="F36" s="16" t="s">
        <v>52</v>
      </c>
      <c r="G36" s="224" t="s">
        <v>70</v>
      </c>
      <c r="H36" s="558" t="s">
        <v>1346</v>
      </c>
      <c r="I36" s="334" t="n">
        <v>6</v>
      </c>
      <c r="J36" s="550"/>
      <c r="K36" s="551"/>
      <c r="L36" s="556"/>
      <c r="M36" s="551"/>
      <c r="N36" s="557"/>
      <c r="O36" s="551"/>
      <c r="P36" s="554" t="n">
        <f aca="false">SUM(I36:O36)</f>
        <v>6</v>
      </c>
    </row>
    <row r="37" customFormat="false" ht="15" hidden="false" customHeight="true" outlineLevel="0" collapsed="false">
      <c r="A37" s="223" t="n">
        <v>2050</v>
      </c>
      <c r="B37" s="79" t="s">
        <v>621</v>
      </c>
      <c r="C37" s="79" t="s">
        <v>622</v>
      </c>
      <c r="D37" s="36" t="s">
        <v>26</v>
      </c>
      <c r="E37" s="37" t="n">
        <v>42384</v>
      </c>
      <c r="F37" s="16" t="s">
        <v>52</v>
      </c>
      <c r="G37" s="224" t="s">
        <v>70</v>
      </c>
      <c r="H37" s="549"/>
      <c r="I37" s="334"/>
      <c r="J37" s="550"/>
      <c r="K37" s="551"/>
      <c r="L37" s="556"/>
      <c r="M37" s="551"/>
      <c r="N37" s="557"/>
      <c r="O37" s="551"/>
      <c r="P37" s="554" t="n">
        <f aca="false">SUM(I37:O37)</f>
        <v>0</v>
      </c>
    </row>
    <row r="38" customFormat="false" ht="15" hidden="false" customHeight="true" outlineLevel="0" collapsed="false">
      <c r="A38" s="223" t="n">
        <v>1006</v>
      </c>
      <c r="B38" s="79" t="s">
        <v>652</v>
      </c>
      <c r="C38" s="79" t="s">
        <v>653</v>
      </c>
      <c r="D38" s="36" t="s">
        <v>26</v>
      </c>
      <c r="E38" s="37" t="n">
        <v>43694</v>
      </c>
      <c r="F38" s="16" t="s">
        <v>52</v>
      </c>
      <c r="G38" s="224" t="s">
        <v>70</v>
      </c>
      <c r="H38" s="549"/>
      <c r="I38" s="334"/>
      <c r="J38" s="550"/>
      <c r="K38" s="551"/>
      <c r="L38" s="556"/>
      <c r="M38" s="551"/>
      <c r="N38" s="557"/>
      <c r="O38" s="551"/>
      <c r="P38" s="554" t="n">
        <f aca="false">SUM(I38:O38)</f>
        <v>0</v>
      </c>
      <c r="T38" s="311"/>
    </row>
    <row r="39" customFormat="false" ht="15" hidden="false" customHeight="true" outlineLevel="0" collapsed="false">
      <c r="A39" s="62" t="n">
        <v>4011</v>
      </c>
      <c r="B39" s="79" t="s">
        <v>721</v>
      </c>
      <c r="C39" s="79" t="s">
        <v>722</v>
      </c>
      <c r="D39" s="36" t="s">
        <v>26</v>
      </c>
      <c r="E39" s="37" t="n">
        <v>41161</v>
      </c>
      <c r="F39" s="16" t="s">
        <v>52</v>
      </c>
      <c r="G39" s="224" t="s">
        <v>70</v>
      </c>
      <c r="H39" s="487"/>
      <c r="I39" s="334"/>
      <c r="J39" s="550"/>
      <c r="K39" s="551"/>
      <c r="L39" s="556"/>
      <c r="M39" s="551"/>
      <c r="N39" s="557"/>
      <c r="O39" s="551"/>
      <c r="P39" s="554" t="n">
        <f aca="false">SUM(I39:O39)</f>
        <v>0</v>
      </c>
      <c r="T39" s="311"/>
    </row>
    <row r="40" customFormat="false" ht="15" hidden="false" customHeight="true" outlineLevel="0" collapsed="false">
      <c r="A40" s="225" t="n">
        <v>1003</v>
      </c>
      <c r="B40" s="79" t="s">
        <v>775</v>
      </c>
      <c r="C40" s="79" t="s">
        <v>777</v>
      </c>
      <c r="D40" s="36" t="s">
        <v>26</v>
      </c>
      <c r="E40" s="37" t="n">
        <v>43962</v>
      </c>
      <c r="F40" s="16" t="s">
        <v>52</v>
      </c>
      <c r="G40" s="224" t="s">
        <v>70</v>
      </c>
      <c r="H40" s="549"/>
      <c r="I40" s="334"/>
      <c r="J40" s="550"/>
      <c r="K40" s="551"/>
      <c r="L40" s="559"/>
      <c r="M40" s="555"/>
      <c r="N40" s="553"/>
      <c r="O40" s="555"/>
      <c r="P40" s="554" t="n">
        <f aca="false">SUM(I40:O40)</f>
        <v>0</v>
      </c>
      <c r="T40" s="311"/>
    </row>
    <row r="41" customFormat="false" ht="15" hidden="false" customHeight="true" outlineLevel="0" collapsed="false">
      <c r="A41" s="223" t="n">
        <v>3029</v>
      </c>
      <c r="B41" s="79" t="s">
        <v>1037</v>
      </c>
      <c r="C41" s="79" t="s">
        <v>1038</v>
      </c>
      <c r="D41" s="36" t="s">
        <v>26</v>
      </c>
      <c r="E41" s="37" t="n">
        <v>41772</v>
      </c>
      <c r="F41" s="16" t="s">
        <v>52</v>
      </c>
      <c r="G41" s="224" t="s">
        <v>70</v>
      </c>
      <c r="H41" s="549"/>
      <c r="I41" s="334"/>
      <c r="J41" s="550"/>
      <c r="K41" s="551"/>
      <c r="L41" s="556"/>
      <c r="M41" s="551"/>
      <c r="N41" s="557"/>
      <c r="O41" s="551"/>
      <c r="P41" s="554" t="n">
        <f aca="false">SUM(I41:O41)</f>
        <v>0</v>
      </c>
      <c r="T41" s="311"/>
    </row>
    <row r="42" customFormat="false" ht="15" hidden="false" customHeight="true" outlineLevel="0" collapsed="false">
      <c r="A42" s="223" t="n">
        <v>1008</v>
      </c>
      <c r="B42" s="79" t="s">
        <v>1104</v>
      </c>
      <c r="C42" s="79" t="s">
        <v>69</v>
      </c>
      <c r="D42" s="36" t="s">
        <v>26</v>
      </c>
      <c r="E42" s="37" t="n">
        <v>43645</v>
      </c>
      <c r="F42" s="16" t="s">
        <v>52</v>
      </c>
      <c r="G42" s="224" t="s">
        <v>70</v>
      </c>
      <c r="H42" s="549"/>
      <c r="I42" s="334"/>
      <c r="J42" s="550"/>
      <c r="K42" s="551"/>
      <c r="L42" s="559"/>
      <c r="M42" s="555"/>
      <c r="N42" s="553"/>
      <c r="O42" s="555"/>
      <c r="P42" s="554" t="n">
        <f aca="false">SUM(I42:O42)</f>
        <v>0</v>
      </c>
      <c r="T42" s="311"/>
    </row>
    <row r="43" customFormat="false" ht="15" hidden="false" customHeight="true" outlineLevel="0" collapsed="false">
      <c r="A43" s="225" t="n">
        <v>1002</v>
      </c>
      <c r="B43" s="79" t="s">
        <v>1323</v>
      </c>
      <c r="C43" s="79" t="s">
        <v>1325</v>
      </c>
      <c r="D43" s="36" t="s">
        <v>26</v>
      </c>
      <c r="E43" s="37" t="n">
        <v>43983</v>
      </c>
      <c r="F43" s="16" t="s">
        <v>52</v>
      </c>
      <c r="G43" s="224" t="s">
        <v>70</v>
      </c>
      <c r="H43" s="562"/>
      <c r="I43" s="334"/>
      <c r="J43" s="550"/>
      <c r="K43" s="551"/>
      <c r="L43" s="559"/>
      <c r="M43" s="555"/>
      <c r="N43" s="553"/>
      <c r="O43" s="555"/>
      <c r="P43" s="554" t="n">
        <f aca="false">SUM(I43:O43)</f>
        <v>0</v>
      </c>
      <c r="T43" s="311"/>
    </row>
    <row r="44" customFormat="false" ht="15.75" hidden="false" customHeight="true" outlineLevel="0" collapsed="false">
      <c r="A44" s="223" t="n">
        <v>1025</v>
      </c>
      <c r="B44" s="79" t="s">
        <v>1323</v>
      </c>
      <c r="C44" s="79" t="s">
        <v>1326</v>
      </c>
      <c r="D44" s="36" t="s">
        <v>26</v>
      </c>
      <c r="E44" s="37" t="n">
        <v>43226</v>
      </c>
      <c r="F44" s="16" t="s">
        <v>52</v>
      </c>
      <c r="G44" s="224" t="s">
        <v>70</v>
      </c>
      <c r="H44" s="558"/>
      <c r="I44" s="334"/>
      <c r="J44" s="550"/>
      <c r="K44" s="551"/>
      <c r="L44" s="556"/>
      <c r="M44" s="551"/>
      <c r="N44" s="557"/>
      <c r="O44" s="551"/>
      <c r="P44" s="554" t="n">
        <f aca="false">SUM(I44:O44)</f>
        <v>0</v>
      </c>
      <c r="T44" s="311"/>
    </row>
    <row r="45" customFormat="false" ht="15" hidden="false" customHeight="true" outlineLevel="0" collapsed="false">
      <c r="A45" s="62" t="n">
        <v>4038</v>
      </c>
      <c r="B45" s="51" t="s">
        <v>196</v>
      </c>
      <c r="C45" s="51" t="s">
        <v>51</v>
      </c>
      <c r="D45" s="36" t="s">
        <v>26</v>
      </c>
      <c r="E45" s="37" t="n">
        <v>40602</v>
      </c>
      <c r="F45" s="16" t="s">
        <v>197</v>
      </c>
      <c r="G45" s="24" t="n">
        <v>500</v>
      </c>
      <c r="H45" s="558" t="s">
        <v>1346</v>
      </c>
      <c r="I45" s="334" t="n">
        <v>3</v>
      </c>
      <c r="J45" s="550"/>
      <c r="K45" s="551"/>
      <c r="L45" s="559"/>
      <c r="M45" s="555"/>
      <c r="N45" s="553"/>
      <c r="O45" s="555"/>
      <c r="P45" s="554" t="n">
        <f aca="false">SUM(I45:O45)</f>
        <v>3</v>
      </c>
      <c r="T45" s="311"/>
    </row>
    <row r="46" customFormat="false" ht="14.25" hidden="false" customHeight="true" outlineLevel="0" collapsed="false">
      <c r="A46" s="223" t="n">
        <v>1014</v>
      </c>
      <c r="B46" s="51" t="s">
        <v>1004</v>
      </c>
      <c r="C46" s="51" t="s">
        <v>1005</v>
      </c>
      <c r="D46" s="36" t="s">
        <v>26</v>
      </c>
      <c r="E46" s="52" t="n">
        <v>43409</v>
      </c>
      <c r="F46" s="16" t="s">
        <v>20</v>
      </c>
      <c r="G46" s="24" t="n">
        <v>500</v>
      </c>
      <c r="H46" s="549"/>
      <c r="I46" s="334"/>
      <c r="J46" s="550"/>
      <c r="K46" s="551"/>
      <c r="L46" s="556"/>
      <c r="M46" s="551"/>
      <c r="N46" s="557"/>
      <c r="O46" s="551"/>
      <c r="P46" s="554" t="n">
        <f aca="false">SUM(I46:O46)</f>
        <v>0</v>
      </c>
      <c r="T46" s="311"/>
    </row>
    <row r="47" customFormat="false" ht="15" hidden="false" customHeight="true" outlineLevel="0" collapsed="false">
      <c r="A47" s="62" t="n">
        <v>4002</v>
      </c>
      <c r="B47" s="563" t="s">
        <v>1105</v>
      </c>
      <c r="C47" s="563" t="s">
        <v>1106</v>
      </c>
      <c r="D47" s="36" t="s">
        <v>26</v>
      </c>
      <c r="E47" s="52" t="n">
        <v>41269</v>
      </c>
      <c r="F47" s="16" t="s">
        <v>20</v>
      </c>
      <c r="G47" s="24" t="n">
        <v>500</v>
      </c>
      <c r="H47" s="549"/>
      <c r="I47" s="334"/>
      <c r="J47" s="550"/>
      <c r="K47" s="551"/>
      <c r="L47" s="556"/>
      <c r="M47" s="551"/>
      <c r="N47" s="557"/>
      <c r="O47" s="551"/>
      <c r="P47" s="554" t="n">
        <f aca="false">SUM(I47:O47)</f>
        <v>0</v>
      </c>
      <c r="T47" s="311"/>
    </row>
    <row r="48" customFormat="false" ht="15" hidden="false" customHeight="true" outlineLevel="0" collapsed="false">
      <c r="A48" s="223" t="n">
        <v>1033</v>
      </c>
      <c r="B48" s="51" t="s">
        <v>1288</v>
      </c>
      <c r="C48" s="51" t="s">
        <v>1289</v>
      </c>
      <c r="D48" s="36" t="s">
        <v>26</v>
      </c>
      <c r="E48" s="52" t="n">
        <v>43120</v>
      </c>
      <c r="F48" s="16" t="s">
        <v>20</v>
      </c>
      <c r="G48" s="24" t="n">
        <v>500</v>
      </c>
      <c r="H48" s="549"/>
      <c r="I48" s="334"/>
      <c r="J48" s="550"/>
      <c r="K48" s="551"/>
      <c r="L48" s="559"/>
      <c r="M48" s="555"/>
      <c r="N48" s="553"/>
      <c r="O48" s="555"/>
      <c r="P48" s="554" t="n">
        <f aca="false">SUM(I48:O48)</f>
        <v>0</v>
      </c>
      <c r="T48" s="311"/>
    </row>
    <row r="49" customFormat="false" ht="15" hidden="false" customHeight="true" outlineLevel="0" collapsed="false">
      <c r="A49" s="223" t="n">
        <v>2012</v>
      </c>
      <c r="B49" s="115" t="s">
        <v>68</v>
      </c>
      <c r="C49" s="115" t="s">
        <v>69</v>
      </c>
      <c r="D49" s="36" t="s">
        <v>26</v>
      </c>
      <c r="E49" s="37" t="n">
        <v>42666</v>
      </c>
      <c r="F49" s="16" t="s">
        <v>29</v>
      </c>
      <c r="G49" s="24" t="s">
        <v>70</v>
      </c>
      <c r="H49" s="549"/>
      <c r="I49" s="334"/>
      <c r="J49" s="550"/>
      <c r="K49" s="551"/>
      <c r="L49" s="559"/>
      <c r="M49" s="555"/>
      <c r="N49" s="553"/>
      <c r="O49" s="555"/>
      <c r="P49" s="554" t="n">
        <f aca="false">SUM(I49:O49)</f>
        <v>0</v>
      </c>
      <c r="T49" s="311"/>
    </row>
    <row r="50" customFormat="false" ht="15.75" hidden="false" customHeight="true" outlineLevel="0" collapsed="false">
      <c r="A50" s="223" t="n">
        <v>2042</v>
      </c>
      <c r="B50" s="115" t="s">
        <v>279</v>
      </c>
      <c r="C50" s="115" t="s">
        <v>280</v>
      </c>
      <c r="D50" s="36" t="s">
        <v>26</v>
      </c>
      <c r="E50" s="37" t="n">
        <v>42416</v>
      </c>
      <c r="F50" s="16" t="s">
        <v>29</v>
      </c>
      <c r="G50" s="24" t="s">
        <v>70</v>
      </c>
      <c r="H50" s="549"/>
      <c r="I50" s="334"/>
      <c r="J50" s="550"/>
      <c r="K50" s="551"/>
      <c r="L50" s="559"/>
      <c r="M50" s="555"/>
      <c r="N50" s="553"/>
      <c r="O50" s="555"/>
      <c r="P50" s="554" t="n">
        <f aca="false">SUM(I50:O50)</f>
        <v>0</v>
      </c>
      <c r="T50" s="311"/>
    </row>
    <row r="51" customFormat="false" ht="15" hidden="false" customHeight="true" outlineLevel="0" collapsed="false">
      <c r="A51" s="223" t="n">
        <v>2024</v>
      </c>
      <c r="B51" s="115" t="s">
        <v>472</v>
      </c>
      <c r="C51" s="115" t="s">
        <v>337</v>
      </c>
      <c r="D51" s="36" t="s">
        <v>26</v>
      </c>
      <c r="E51" s="37" t="n">
        <v>42568</v>
      </c>
      <c r="F51" s="16" t="s">
        <v>29</v>
      </c>
      <c r="G51" s="24" t="s">
        <v>70</v>
      </c>
      <c r="H51" s="549"/>
      <c r="I51" s="334"/>
      <c r="J51" s="550"/>
      <c r="K51" s="551"/>
      <c r="L51" s="556"/>
      <c r="M51" s="551"/>
      <c r="N51" s="557"/>
      <c r="O51" s="551"/>
      <c r="P51" s="554" t="n">
        <f aca="false">SUM(I51:O51)</f>
        <v>0</v>
      </c>
      <c r="T51" s="311"/>
    </row>
    <row r="52" customFormat="false" ht="14.25" hidden="false" customHeight="true" outlineLevel="0" collapsed="false">
      <c r="A52" s="223" t="n">
        <v>3045</v>
      </c>
      <c r="B52" s="115" t="s">
        <v>509</v>
      </c>
      <c r="C52" s="115" t="s">
        <v>510</v>
      </c>
      <c r="D52" s="36" t="s">
        <v>26</v>
      </c>
      <c r="E52" s="37" t="n">
        <v>41657</v>
      </c>
      <c r="F52" s="16" t="s">
        <v>29</v>
      </c>
      <c r="G52" s="24" t="s">
        <v>70</v>
      </c>
      <c r="H52" s="549"/>
      <c r="I52" s="334"/>
      <c r="J52" s="550"/>
      <c r="K52" s="551"/>
      <c r="L52" s="559"/>
      <c r="M52" s="555"/>
      <c r="N52" s="553"/>
      <c r="O52" s="555"/>
      <c r="P52" s="554" t="n">
        <f aca="false">SUM(I52:O52)</f>
        <v>0</v>
      </c>
      <c r="T52" s="311"/>
    </row>
    <row r="53" customFormat="false" ht="15" hidden="false" customHeight="true" outlineLevel="0" collapsed="false">
      <c r="A53" s="223" t="n">
        <v>1032</v>
      </c>
      <c r="B53" s="115" t="s">
        <v>741</v>
      </c>
      <c r="C53" s="115" t="s">
        <v>742</v>
      </c>
      <c r="D53" s="36" t="s">
        <v>26</v>
      </c>
      <c r="E53" s="37" t="n">
        <v>43121</v>
      </c>
      <c r="F53" s="16" t="s">
        <v>29</v>
      </c>
      <c r="G53" s="24" t="s">
        <v>70</v>
      </c>
      <c r="H53" s="549"/>
      <c r="I53" s="334"/>
      <c r="J53" s="550"/>
      <c r="K53" s="551"/>
      <c r="L53" s="556"/>
      <c r="M53" s="551"/>
      <c r="N53" s="557"/>
      <c r="O53" s="551"/>
      <c r="P53" s="554" t="n">
        <f aca="false">SUM(I53:O53)</f>
        <v>0</v>
      </c>
      <c r="T53" s="311"/>
    </row>
    <row r="54" customFormat="false" ht="15" hidden="false" customHeight="true" outlineLevel="0" collapsed="false">
      <c r="A54" s="223" t="n">
        <v>1029</v>
      </c>
      <c r="B54" s="115" t="s">
        <v>829</v>
      </c>
      <c r="C54" s="115" t="s">
        <v>830</v>
      </c>
      <c r="D54" s="36" t="s">
        <v>26</v>
      </c>
      <c r="E54" s="37" t="n">
        <v>43181</v>
      </c>
      <c r="F54" s="16" t="s">
        <v>29</v>
      </c>
      <c r="G54" s="24" t="s">
        <v>70</v>
      </c>
      <c r="H54" s="549"/>
      <c r="I54" s="334"/>
      <c r="J54" s="550"/>
      <c r="K54" s="551"/>
      <c r="L54" s="556"/>
      <c r="M54" s="551"/>
      <c r="N54" s="557"/>
      <c r="O54" s="551"/>
      <c r="P54" s="554" t="n">
        <f aca="false">SUM(I54:O54)</f>
        <v>0</v>
      </c>
      <c r="T54" s="311"/>
    </row>
    <row r="55" customFormat="false" ht="14.25" hidden="false" customHeight="true" outlineLevel="0" collapsed="false">
      <c r="A55" s="223" t="n">
        <v>1005</v>
      </c>
      <c r="B55" s="115" t="s">
        <v>1009</v>
      </c>
      <c r="C55" s="115" t="s">
        <v>1008</v>
      </c>
      <c r="D55" s="36" t="s">
        <v>26</v>
      </c>
      <c r="E55" s="37" t="n">
        <v>43818</v>
      </c>
      <c r="F55" s="16" t="s">
        <v>29</v>
      </c>
      <c r="G55" s="24" t="s">
        <v>70</v>
      </c>
      <c r="H55" s="549"/>
      <c r="I55" s="334"/>
      <c r="J55" s="550"/>
      <c r="K55" s="551"/>
      <c r="L55" s="556"/>
      <c r="M55" s="551"/>
      <c r="N55" s="557"/>
      <c r="O55" s="551"/>
      <c r="P55" s="554" t="n">
        <f aca="false">SUM(I55:O55)</f>
        <v>0</v>
      </c>
      <c r="T55" s="311"/>
    </row>
    <row r="56" customFormat="false" ht="15" hidden="false" customHeight="true" outlineLevel="0" collapsed="false">
      <c r="A56" s="223" t="n">
        <v>2000</v>
      </c>
      <c r="B56" s="115" t="s">
        <v>1025</v>
      </c>
      <c r="C56" s="115" t="s">
        <v>875</v>
      </c>
      <c r="D56" s="36" t="s">
        <v>26</v>
      </c>
      <c r="E56" s="37" t="n">
        <v>42731</v>
      </c>
      <c r="F56" s="16" t="s">
        <v>29</v>
      </c>
      <c r="G56" s="24" t="s">
        <v>70</v>
      </c>
      <c r="H56" s="549"/>
      <c r="I56" s="334"/>
      <c r="J56" s="550"/>
      <c r="K56" s="551"/>
      <c r="L56" s="559"/>
      <c r="M56" s="555"/>
      <c r="N56" s="553"/>
      <c r="O56" s="555"/>
      <c r="P56" s="554" t="n">
        <f aca="false">SUM(I56:O56)</f>
        <v>0</v>
      </c>
      <c r="T56" s="311"/>
    </row>
    <row r="57" customFormat="false" ht="15" hidden="false" customHeight="true" outlineLevel="0" collapsed="false">
      <c r="A57" s="223" t="n">
        <v>3024</v>
      </c>
      <c r="B57" s="115" t="s">
        <v>1031</v>
      </c>
      <c r="C57" s="115" t="s">
        <v>1032</v>
      </c>
      <c r="D57" s="36" t="s">
        <v>26</v>
      </c>
      <c r="E57" s="37" t="n">
        <v>41828</v>
      </c>
      <c r="F57" s="16" t="s">
        <v>29</v>
      </c>
      <c r="G57" s="24" t="s">
        <v>70</v>
      </c>
      <c r="H57" s="549"/>
      <c r="I57" s="334"/>
      <c r="J57" s="550"/>
      <c r="K57" s="551"/>
      <c r="L57" s="556"/>
      <c r="M57" s="551"/>
      <c r="N57" s="557"/>
      <c r="O57" s="551"/>
      <c r="P57" s="554" t="n">
        <f aca="false">SUM(I57:O57)</f>
        <v>0</v>
      </c>
      <c r="T57" s="311"/>
    </row>
    <row r="58" customFormat="false" ht="15" hidden="false" customHeight="true" outlineLevel="0" collapsed="false">
      <c r="A58" s="223" t="n">
        <v>1052</v>
      </c>
      <c r="B58" s="115" t="s">
        <v>1114</v>
      </c>
      <c r="C58" s="115" t="s">
        <v>531</v>
      </c>
      <c r="D58" s="36" t="s">
        <v>26</v>
      </c>
      <c r="E58" s="37" t="n">
        <v>42878</v>
      </c>
      <c r="F58" s="16" t="s">
        <v>29</v>
      </c>
      <c r="G58" s="24" t="s">
        <v>70</v>
      </c>
      <c r="H58" s="549"/>
      <c r="I58" s="334"/>
      <c r="J58" s="550"/>
      <c r="K58" s="551"/>
      <c r="L58" s="556"/>
      <c r="M58" s="551"/>
      <c r="N58" s="557"/>
      <c r="O58" s="551"/>
      <c r="P58" s="554" t="n">
        <f aca="false">SUM(I58:O58)</f>
        <v>0</v>
      </c>
      <c r="T58" s="311"/>
    </row>
    <row r="59" customFormat="false" ht="15" hidden="false" customHeight="true" outlineLevel="0" collapsed="false">
      <c r="A59" s="223" t="n">
        <v>1038</v>
      </c>
      <c r="B59" s="115" t="s">
        <v>784</v>
      </c>
      <c r="C59" s="115" t="s">
        <v>785</v>
      </c>
      <c r="D59" s="36" t="s">
        <v>26</v>
      </c>
      <c r="E59" s="37" t="n">
        <v>43086</v>
      </c>
      <c r="F59" s="16" t="s">
        <v>129</v>
      </c>
      <c r="G59" s="109" t="n">
        <v>500</v>
      </c>
      <c r="H59" s="562"/>
      <c r="I59" s="334"/>
      <c r="J59" s="550"/>
      <c r="K59" s="551"/>
      <c r="L59" s="556"/>
      <c r="M59" s="551"/>
      <c r="N59" s="557"/>
      <c r="O59" s="551"/>
      <c r="P59" s="554" t="n">
        <f aca="false">SUM(I59:O59)</f>
        <v>0</v>
      </c>
      <c r="T59" s="311"/>
    </row>
    <row r="60" customFormat="false" ht="15" hidden="false" customHeight="true" outlineLevel="0" collapsed="false">
      <c r="A60" s="493" t="n">
        <v>3096</v>
      </c>
      <c r="B60" s="23" t="s">
        <v>44</v>
      </c>
      <c r="C60" s="23" t="s">
        <v>45</v>
      </c>
      <c r="D60" s="24" t="s">
        <v>26</v>
      </c>
      <c r="E60" s="43" t="n">
        <v>41620</v>
      </c>
      <c r="F60" s="16" t="s">
        <v>9</v>
      </c>
      <c r="G60" s="222" t="n">
        <v>575</v>
      </c>
      <c r="H60" s="558"/>
      <c r="I60" s="334"/>
      <c r="J60" s="550"/>
      <c r="K60" s="551"/>
      <c r="L60" s="556"/>
      <c r="M60" s="551"/>
      <c r="N60" s="557"/>
      <c r="O60" s="551"/>
      <c r="P60" s="554" t="n">
        <f aca="false">SUM(I60:O60)</f>
        <v>0</v>
      </c>
      <c r="T60" s="311"/>
    </row>
    <row r="61" customFormat="false" ht="14.25" hidden="false" customHeight="true" outlineLevel="0" collapsed="false">
      <c r="A61" s="62" t="n">
        <v>4063</v>
      </c>
      <c r="B61" s="23" t="s">
        <v>44</v>
      </c>
      <c r="C61" s="23" t="s">
        <v>46</v>
      </c>
      <c r="D61" s="24" t="s">
        <v>26</v>
      </c>
      <c r="E61" s="43" t="n">
        <v>40917</v>
      </c>
      <c r="F61" s="16" t="s">
        <v>9</v>
      </c>
      <c r="G61" s="222" t="n">
        <v>500</v>
      </c>
      <c r="H61" s="549" t="s">
        <v>1346</v>
      </c>
      <c r="I61" s="334" t="n">
        <v>9</v>
      </c>
      <c r="J61" s="550"/>
      <c r="K61" s="551"/>
      <c r="L61" s="559"/>
      <c r="M61" s="555"/>
      <c r="N61" s="553"/>
      <c r="O61" s="555"/>
      <c r="P61" s="554" t="n">
        <f aca="false">SUM(I61:O61)</f>
        <v>9</v>
      </c>
      <c r="T61" s="311"/>
    </row>
    <row r="62" customFormat="false" ht="14.25" hidden="false" customHeight="true" outlineLevel="0" collapsed="false">
      <c r="A62" s="62" t="n">
        <v>4062</v>
      </c>
      <c r="B62" s="23" t="s">
        <v>563</v>
      </c>
      <c r="C62" s="23" t="s">
        <v>531</v>
      </c>
      <c r="D62" s="24" t="s">
        <v>26</v>
      </c>
      <c r="E62" s="43" t="n">
        <v>40738</v>
      </c>
      <c r="F62" s="16" t="s">
        <v>9</v>
      </c>
      <c r="G62" s="222" t="n">
        <v>500</v>
      </c>
      <c r="H62" s="549" t="s">
        <v>1346</v>
      </c>
      <c r="I62" s="334" t="n">
        <v>5</v>
      </c>
      <c r="J62" s="550"/>
      <c r="K62" s="551"/>
      <c r="L62" s="556"/>
      <c r="M62" s="551"/>
      <c r="N62" s="557"/>
      <c r="O62" s="551"/>
      <c r="P62" s="554" t="n">
        <f aca="false">SUM(I62:O62)</f>
        <v>5</v>
      </c>
      <c r="T62" s="311"/>
    </row>
    <row r="63" customFormat="false" ht="15" hidden="false" customHeight="true" outlineLevel="0" collapsed="false">
      <c r="A63" s="62" t="n">
        <v>4069</v>
      </c>
      <c r="B63" s="23" t="s">
        <v>1066</v>
      </c>
      <c r="C63" s="23" t="s">
        <v>1067</v>
      </c>
      <c r="D63" s="24" t="s">
        <v>26</v>
      </c>
      <c r="E63" s="43" t="n">
        <v>39279</v>
      </c>
      <c r="F63" s="16" t="s">
        <v>9</v>
      </c>
      <c r="G63" s="222" t="n">
        <v>500</v>
      </c>
      <c r="H63" s="549" t="s">
        <v>1346</v>
      </c>
      <c r="I63" s="334" t="n">
        <v>6</v>
      </c>
      <c r="J63" s="550"/>
      <c r="K63" s="551"/>
      <c r="L63" s="559"/>
      <c r="M63" s="555"/>
      <c r="N63" s="553"/>
      <c r="O63" s="555"/>
      <c r="P63" s="554" t="n">
        <f aca="false">SUM(I63:O63)</f>
        <v>6</v>
      </c>
      <c r="T63" s="311"/>
    </row>
    <row r="64" customFormat="false" ht="15" hidden="false" customHeight="true" outlineLevel="0" collapsed="false">
      <c r="A64" s="223" t="n">
        <v>2126</v>
      </c>
      <c r="B64" s="44" t="s">
        <v>881</v>
      </c>
      <c r="C64" s="44" t="s">
        <v>882</v>
      </c>
      <c r="D64" s="24" t="s">
        <v>26</v>
      </c>
      <c r="E64" s="362" t="n">
        <v>42371</v>
      </c>
      <c r="F64" s="16" t="s">
        <v>17</v>
      </c>
      <c r="G64" s="225" t="n">
        <v>500</v>
      </c>
      <c r="H64" s="549"/>
      <c r="I64" s="334"/>
      <c r="J64" s="550"/>
      <c r="K64" s="551"/>
      <c r="L64" s="556"/>
      <c r="M64" s="551"/>
      <c r="N64" s="557"/>
      <c r="O64" s="551"/>
      <c r="P64" s="554" t="n">
        <f aca="false">SUM(I64:O64)</f>
        <v>0</v>
      </c>
      <c r="T64" s="311"/>
    </row>
    <row r="65" customFormat="false" ht="14.25" hidden="false" customHeight="true" outlineLevel="0" collapsed="false">
      <c r="A65" s="223" t="n">
        <v>2127</v>
      </c>
      <c r="B65" s="44" t="s">
        <v>1018</v>
      </c>
      <c r="C65" s="44" t="s">
        <v>1019</v>
      </c>
      <c r="D65" s="24" t="s">
        <v>26</v>
      </c>
      <c r="E65" s="362" t="n">
        <v>42411</v>
      </c>
      <c r="F65" s="16" t="s">
        <v>17</v>
      </c>
      <c r="G65" s="225" t="n">
        <v>500</v>
      </c>
      <c r="H65" s="549"/>
      <c r="I65" s="334"/>
      <c r="J65" s="550"/>
      <c r="K65" s="551"/>
      <c r="L65" s="556"/>
      <c r="M65" s="551"/>
      <c r="N65" s="557"/>
      <c r="O65" s="551"/>
      <c r="P65" s="554" t="n">
        <f aca="false">SUM(I65:O65)</f>
        <v>0</v>
      </c>
      <c r="T65" s="311"/>
    </row>
    <row r="66" customFormat="false" ht="15" hidden="false" customHeight="true" outlineLevel="0" collapsed="false">
      <c r="A66" s="223" t="n">
        <v>1067</v>
      </c>
      <c r="B66" s="44" t="s">
        <v>1112</v>
      </c>
      <c r="C66" s="44" t="s">
        <v>1113</v>
      </c>
      <c r="D66" s="24" t="s">
        <v>26</v>
      </c>
      <c r="E66" s="452" t="n">
        <v>43332</v>
      </c>
      <c r="F66" s="16" t="s">
        <v>17</v>
      </c>
      <c r="G66" s="225" t="n">
        <v>500</v>
      </c>
      <c r="H66" s="549"/>
      <c r="I66" s="334"/>
      <c r="J66" s="550"/>
      <c r="K66" s="551"/>
      <c r="L66" s="559"/>
      <c r="M66" s="555"/>
      <c r="N66" s="553"/>
      <c r="O66" s="555"/>
      <c r="P66" s="554" t="n">
        <f aca="false">SUM(I66:O66)</f>
        <v>0</v>
      </c>
      <c r="T66" s="311"/>
    </row>
    <row r="67" customFormat="false" ht="15" hidden="false" customHeight="true" outlineLevel="0" collapsed="false">
      <c r="A67" s="62" t="n">
        <v>4061</v>
      </c>
      <c r="B67" s="23" t="s">
        <v>1237</v>
      </c>
      <c r="C67" s="23" t="s">
        <v>915</v>
      </c>
      <c r="D67" s="24" t="s">
        <v>26</v>
      </c>
      <c r="E67" s="25" t="n">
        <v>40185</v>
      </c>
      <c r="F67" s="16" t="s">
        <v>17</v>
      </c>
      <c r="G67" s="222" t="n">
        <v>500</v>
      </c>
      <c r="H67" s="549"/>
      <c r="I67" s="334"/>
      <c r="J67" s="550"/>
      <c r="K67" s="551"/>
      <c r="L67" s="556"/>
      <c r="M67" s="551"/>
      <c r="N67" s="557"/>
      <c r="O67" s="551"/>
      <c r="P67" s="554" t="n">
        <f aca="false">SUM(I67:O67)</f>
        <v>0</v>
      </c>
      <c r="T67" s="311"/>
    </row>
    <row r="68" customFormat="false" ht="15" hidden="false" customHeight="true" outlineLevel="0" collapsed="false">
      <c r="A68" s="561"/>
      <c r="B68" s="58"/>
      <c r="C68" s="58"/>
      <c r="D68" s="14"/>
      <c r="E68" s="15"/>
      <c r="F68" s="16"/>
      <c r="G68" s="456"/>
      <c r="H68" s="562"/>
      <c r="I68" s="334"/>
      <c r="J68" s="550"/>
      <c r="K68" s="551"/>
      <c r="L68" s="556"/>
      <c r="M68" s="551"/>
      <c r="N68" s="557"/>
      <c r="O68" s="551"/>
      <c r="P68" s="554" t="n">
        <f aca="false">SUM(I68:O68)</f>
        <v>0</v>
      </c>
      <c r="T68" s="311"/>
    </row>
    <row r="69" customFormat="false" ht="15" hidden="false" customHeight="true" outlineLevel="0" collapsed="false">
      <c r="A69" s="62"/>
      <c r="B69" s="564"/>
      <c r="C69" s="564"/>
      <c r="D69" s="7"/>
      <c r="E69" s="565"/>
      <c r="F69" s="90"/>
      <c r="G69" s="121"/>
      <c r="H69" s="566"/>
      <c r="I69" s="334"/>
      <c r="J69" s="550"/>
      <c r="K69" s="551"/>
      <c r="L69" s="556"/>
      <c r="M69" s="551"/>
      <c r="N69" s="557"/>
      <c r="O69" s="551"/>
      <c r="P69" s="554" t="n">
        <f aca="false">SUM(I69:O69)</f>
        <v>0</v>
      </c>
      <c r="T69" s="311"/>
    </row>
    <row r="70" customFormat="false" ht="15" hidden="false" customHeight="true" outlineLevel="0" collapsed="false">
      <c r="A70" s="62"/>
      <c r="B70" s="567"/>
      <c r="C70" s="567"/>
      <c r="D70" s="36"/>
      <c r="E70" s="37"/>
      <c r="F70" s="16"/>
      <c r="G70" s="224"/>
      <c r="H70" s="566"/>
      <c r="I70" s="334"/>
      <c r="J70" s="550"/>
      <c r="K70" s="551"/>
      <c r="L70" s="559"/>
      <c r="M70" s="555"/>
      <c r="N70" s="553"/>
      <c r="O70" s="555"/>
      <c r="P70" s="554" t="n">
        <f aca="false">SUM(I70:O70)</f>
        <v>0</v>
      </c>
      <c r="T70" s="311"/>
    </row>
    <row r="71" customFormat="false" ht="15" hidden="false" customHeight="true" outlineLevel="0" collapsed="false">
      <c r="A71" s="62"/>
      <c r="B71" s="35"/>
      <c r="C71" s="35"/>
      <c r="D71" s="36"/>
      <c r="E71" s="37"/>
      <c r="F71" s="72"/>
      <c r="G71" s="16"/>
      <c r="H71" s="566"/>
      <c r="I71" s="334"/>
      <c r="J71" s="550"/>
      <c r="K71" s="551"/>
      <c r="L71" s="559"/>
      <c r="M71" s="555"/>
      <c r="N71" s="553"/>
      <c r="O71" s="555"/>
      <c r="P71" s="554" t="n">
        <f aca="false">SUM(I71:O71)</f>
        <v>0</v>
      </c>
      <c r="T71" s="311"/>
    </row>
    <row r="72" customFormat="false" ht="14.25" hidden="false" customHeight="true" outlineLevel="0" collapsed="false">
      <c r="A72" s="62"/>
      <c r="B72" s="229"/>
      <c r="C72" s="229"/>
      <c r="D72" s="36"/>
      <c r="E72" s="37"/>
      <c r="F72" s="72"/>
      <c r="G72" s="16"/>
      <c r="H72" s="566"/>
      <c r="I72" s="334"/>
      <c r="J72" s="550"/>
      <c r="K72" s="551"/>
      <c r="L72" s="559"/>
      <c r="M72" s="555"/>
      <c r="N72" s="553"/>
      <c r="O72" s="555"/>
      <c r="P72" s="554" t="n">
        <f aca="false">SUM(I72:O72)</f>
        <v>0</v>
      </c>
      <c r="T72" s="311"/>
    </row>
    <row r="73" customFormat="false" ht="15" hidden="false" customHeight="true" outlineLevel="0" collapsed="false">
      <c r="A73" s="62"/>
      <c r="B73" s="35"/>
      <c r="C73" s="34"/>
      <c r="D73" s="36"/>
      <c r="E73" s="37"/>
      <c r="F73" s="72"/>
      <c r="G73" s="16"/>
      <c r="H73" s="566"/>
      <c r="I73" s="334"/>
      <c r="J73" s="550"/>
      <c r="K73" s="551"/>
      <c r="L73" s="559"/>
      <c r="M73" s="555"/>
      <c r="N73" s="553"/>
      <c r="O73" s="555"/>
      <c r="P73" s="554" t="n">
        <f aca="false">SUM(I73:O73)</f>
        <v>0</v>
      </c>
      <c r="T73" s="311"/>
    </row>
    <row r="74" customFormat="false" ht="15" hidden="false" customHeight="true" outlineLevel="0" collapsed="false">
      <c r="A74" s="62"/>
      <c r="B74" s="51"/>
      <c r="C74" s="51"/>
      <c r="D74" s="36"/>
      <c r="E74" s="37"/>
      <c r="F74" s="16"/>
      <c r="G74" s="24"/>
      <c r="H74" s="566"/>
      <c r="I74" s="334"/>
      <c r="J74" s="560"/>
      <c r="K74" s="555"/>
      <c r="L74" s="559"/>
      <c r="M74" s="555"/>
      <c r="N74" s="553"/>
      <c r="O74" s="555"/>
      <c r="P74" s="554" t="n">
        <f aca="false">SUM(I74:O74)</f>
        <v>0</v>
      </c>
      <c r="T74" s="311"/>
    </row>
    <row r="75" customFormat="false" ht="15" hidden="false" customHeight="true" outlineLevel="0" collapsed="false">
      <c r="A75" s="223"/>
      <c r="B75" s="44"/>
      <c r="C75" s="44"/>
      <c r="D75" s="24"/>
      <c r="E75" s="362"/>
      <c r="F75" s="72"/>
      <c r="G75" s="225"/>
      <c r="H75" s="566"/>
      <c r="I75" s="334"/>
      <c r="J75" s="550"/>
      <c r="K75" s="551"/>
      <c r="L75" s="559"/>
      <c r="M75" s="555"/>
      <c r="N75" s="553"/>
      <c r="O75" s="555"/>
      <c r="P75" s="554" t="n">
        <f aca="false">SUM(I75:O75)</f>
        <v>0</v>
      </c>
      <c r="T75" s="311"/>
    </row>
    <row r="76" customFormat="false" ht="15" hidden="false" customHeight="true" outlineLevel="0" collapsed="false">
      <c r="A76" s="223"/>
      <c r="B76" s="44"/>
      <c r="C76" s="44"/>
      <c r="D76" s="24"/>
      <c r="E76" s="362"/>
      <c r="F76" s="72"/>
      <c r="G76" s="225"/>
      <c r="H76" s="337"/>
      <c r="I76" s="334"/>
      <c r="J76" s="550"/>
      <c r="K76" s="551"/>
      <c r="L76" s="556"/>
      <c r="M76" s="551"/>
      <c r="N76" s="557"/>
      <c r="O76" s="551"/>
      <c r="P76" s="554" t="n">
        <f aca="false">SUM(I76:O76)</f>
        <v>0</v>
      </c>
      <c r="T76" s="311"/>
    </row>
    <row r="77" customFormat="false" ht="15" hidden="false" customHeight="true" outlineLevel="0" collapsed="false">
      <c r="A77" s="223"/>
      <c r="B77" s="44"/>
      <c r="C77" s="44"/>
      <c r="D77" s="24"/>
      <c r="E77" s="452"/>
      <c r="F77" s="72"/>
      <c r="G77" s="225"/>
      <c r="H77" s="566"/>
      <c r="I77" s="334"/>
      <c r="J77" s="550"/>
      <c r="K77" s="551"/>
      <c r="L77" s="559"/>
      <c r="M77" s="555"/>
      <c r="N77" s="553"/>
      <c r="O77" s="555"/>
      <c r="P77" s="554" t="n">
        <f aca="false">SUM(I77:O77)</f>
        <v>0</v>
      </c>
      <c r="T77" s="311"/>
    </row>
    <row r="78" customFormat="false" ht="15" hidden="false" customHeight="true" outlineLevel="0" collapsed="false">
      <c r="A78" s="62"/>
      <c r="B78" s="23"/>
      <c r="C78" s="23"/>
      <c r="D78" s="24"/>
      <c r="E78" s="25"/>
      <c r="F78" s="72"/>
      <c r="G78" s="222"/>
      <c r="H78" s="566"/>
      <c r="I78" s="334"/>
      <c r="J78" s="550"/>
      <c r="K78" s="551"/>
      <c r="L78" s="559"/>
      <c r="M78" s="555"/>
      <c r="N78" s="553"/>
      <c r="O78" s="555"/>
      <c r="P78" s="554" t="n">
        <f aca="false">SUM(I78:O78)</f>
        <v>0</v>
      </c>
      <c r="T78" s="311"/>
    </row>
    <row r="79" customFormat="false" ht="15" hidden="false" customHeight="true" outlineLevel="0" collapsed="false">
      <c r="A79" s="493"/>
      <c r="B79" s="23"/>
      <c r="C79" s="568"/>
      <c r="D79" s="24"/>
      <c r="E79" s="43"/>
      <c r="F79" s="16"/>
      <c r="G79" s="222"/>
      <c r="H79" s="566"/>
      <c r="I79" s="334"/>
      <c r="J79" s="550"/>
      <c r="K79" s="551"/>
      <c r="L79" s="556"/>
      <c r="M79" s="551"/>
      <c r="N79" s="557"/>
      <c r="O79" s="551"/>
      <c r="P79" s="554" t="n">
        <f aca="false">SUM(I79:O79)</f>
        <v>0</v>
      </c>
      <c r="T79" s="311"/>
    </row>
    <row r="80" customFormat="false" ht="15" hidden="false" customHeight="true" outlineLevel="0" collapsed="false">
      <c r="A80" s="62"/>
      <c r="B80" s="23"/>
      <c r="C80" s="568"/>
      <c r="D80" s="24"/>
      <c r="E80" s="43"/>
      <c r="F80" s="16"/>
      <c r="G80" s="222"/>
      <c r="H80" s="566"/>
      <c r="I80" s="334"/>
      <c r="J80" s="560"/>
      <c r="K80" s="555"/>
      <c r="L80" s="559"/>
      <c r="M80" s="555"/>
      <c r="N80" s="553"/>
      <c r="O80" s="555"/>
      <c r="P80" s="554" t="n">
        <f aca="false">SUM(I80:O80)</f>
        <v>0</v>
      </c>
      <c r="T80" s="311"/>
    </row>
    <row r="81" customFormat="false" ht="15" hidden="false" customHeight="true" outlineLevel="0" collapsed="false">
      <c r="A81" s="62"/>
      <c r="B81" s="23"/>
      <c r="C81" s="568"/>
      <c r="D81" s="24"/>
      <c r="E81" s="43"/>
      <c r="F81" s="16"/>
      <c r="G81" s="222"/>
      <c r="H81" s="566"/>
      <c r="I81" s="334"/>
      <c r="J81" s="550"/>
      <c r="K81" s="551"/>
      <c r="L81" s="559"/>
      <c r="M81" s="555"/>
      <c r="N81" s="553"/>
      <c r="O81" s="555"/>
      <c r="P81" s="554" t="n">
        <f aca="false">SUM(I81:O81)</f>
        <v>0</v>
      </c>
      <c r="T81" s="311"/>
    </row>
    <row r="82" customFormat="false" ht="15" hidden="false" customHeight="true" outlineLevel="0" collapsed="false">
      <c r="A82" s="62"/>
      <c r="B82" s="23"/>
      <c r="C82" s="568"/>
      <c r="D82" s="24"/>
      <c r="E82" s="43"/>
      <c r="F82" s="16"/>
      <c r="G82" s="222"/>
      <c r="H82" s="566"/>
      <c r="I82" s="334"/>
      <c r="J82" s="550"/>
      <c r="K82" s="551"/>
      <c r="L82" s="559"/>
      <c r="M82" s="555"/>
      <c r="N82" s="553"/>
      <c r="O82" s="555"/>
      <c r="P82" s="554" t="n">
        <f aca="false">SUM(I82:O82)</f>
        <v>0</v>
      </c>
      <c r="T82" s="311"/>
    </row>
    <row r="83" customFormat="false" ht="15" hidden="false" customHeight="true" outlineLevel="0" collapsed="false">
      <c r="A83" s="561"/>
      <c r="B83" s="12"/>
      <c r="C83" s="13"/>
      <c r="D83" s="569"/>
      <c r="E83" s="152"/>
      <c r="F83" s="24"/>
      <c r="G83" s="570"/>
      <c r="H83" s="566"/>
      <c r="I83" s="334"/>
      <c r="J83" s="550"/>
      <c r="K83" s="551"/>
      <c r="L83" s="556"/>
      <c r="M83" s="551"/>
      <c r="N83" s="557"/>
      <c r="O83" s="551"/>
      <c r="P83" s="554" t="n">
        <f aca="false">SUM(I83:O83)</f>
        <v>0</v>
      </c>
      <c r="T83" s="311"/>
    </row>
    <row r="84" customFormat="false" ht="15" hidden="false" customHeight="true" outlineLevel="0" collapsed="false">
      <c r="A84" s="561"/>
      <c r="B84" s="13"/>
      <c r="C84" s="13"/>
      <c r="D84" s="569"/>
      <c r="E84" s="152"/>
      <c r="F84" s="16"/>
      <c r="G84" s="456"/>
      <c r="H84" s="566"/>
      <c r="I84" s="334"/>
      <c r="J84" s="550"/>
      <c r="K84" s="551"/>
      <c r="L84" s="559"/>
      <c r="M84" s="555"/>
      <c r="N84" s="553"/>
      <c r="O84" s="555"/>
      <c r="P84" s="554" t="n">
        <f aca="false">SUM(I84:O84)</f>
        <v>0</v>
      </c>
      <c r="T84" s="311"/>
    </row>
    <row r="85" customFormat="false" ht="15" hidden="false" customHeight="true" outlineLevel="0" collapsed="false">
      <c r="A85" s="561"/>
      <c r="B85" s="13"/>
      <c r="C85" s="13"/>
      <c r="D85" s="569"/>
      <c r="E85" s="152"/>
      <c r="F85" s="16"/>
      <c r="G85" s="456"/>
      <c r="H85" s="566"/>
      <c r="I85" s="334"/>
      <c r="J85" s="550"/>
      <c r="K85" s="551"/>
      <c r="L85" s="556"/>
      <c r="M85" s="551"/>
      <c r="N85" s="557"/>
      <c r="O85" s="551"/>
      <c r="P85" s="554" t="n">
        <f aca="false">SUM(I85:O85)</f>
        <v>0</v>
      </c>
      <c r="T85" s="311"/>
    </row>
    <row r="86" customFormat="false" ht="15" hidden="false" customHeight="true" outlineLevel="0" collapsed="false">
      <c r="A86" s="561"/>
      <c r="B86" s="13"/>
      <c r="C86" s="13"/>
      <c r="D86" s="569"/>
      <c r="E86" s="152"/>
      <c r="F86" s="16"/>
      <c r="G86" s="456"/>
      <c r="H86" s="566"/>
      <c r="I86" s="334"/>
      <c r="J86" s="550"/>
      <c r="K86" s="551"/>
      <c r="L86" s="559"/>
      <c r="M86" s="555"/>
      <c r="N86" s="553"/>
      <c r="O86" s="555"/>
      <c r="P86" s="554" t="n">
        <f aca="false">SUM(I86:O86)</f>
        <v>0</v>
      </c>
      <c r="T86" s="311"/>
    </row>
    <row r="87" customFormat="false" ht="15" hidden="false" customHeight="true" outlineLevel="0" collapsed="false">
      <c r="A87" s="561"/>
      <c r="B87" s="13"/>
      <c r="C87" s="13"/>
      <c r="D87" s="569"/>
      <c r="E87" s="152"/>
      <c r="F87" s="16"/>
      <c r="G87" s="456"/>
      <c r="H87" s="566"/>
      <c r="I87" s="334"/>
      <c r="J87" s="550"/>
      <c r="K87" s="551"/>
      <c r="L87" s="556"/>
      <c r="M87" s="551"/>
      <c r="N87" s="557"/>
      <c r="O87" s="551"/>
      <c r="P87" s="554" t="n">
        <f aca="false">SUM(I87:O87)</f>
        <v>0</v>
      </c>
      <c r="T87" s="311"/>
    </row>
    <row r="88" customFormat="false" ht="15" hidden="false" customHeight="true" outlineLevel="0" collapsed="false">
      <c r="A88" s="561"/>
      <c r="B88" s="13"/>
      <c r="C88" s="13"/>
      <c r="D88" s="569"/>
      <c r="E88" s="152"/>
      <c r="F88" s="16"/>
      <c r="G88" s="456"/>
      <c r="H88" s="566"/>
      <c r="I88" s="334"/>
      <c r="J88" s="550"/>
      <c r="K88" s="551"/>
      <c r="L88" s="556"/>
      <c r="M88" s="551"/>
      <c r="N88" s="557"/>
      <c r="O88" s="551"/>
      <c r="P88" s="554" t="n">
        <f aca="false">SUM(I88:O88)</f>
        <v>0</v>
      </c>
      <c r="T88" s="311"/>
    </row>
    <row r="89" customFormat="false" ht="15" hidden="false" customHeight="true" outlineLevel="0" collapsed="false">
      <c r="A89" s="561"/>
      <c r="B89" s="13"/>
      <c r="C89" s="13"/>
      <c r="D89" s="569"/>
      <c r="E89" s="152"/>
      <c r="F89" s="16"/>
      <c r="G89" s="456"/>
      <c r="H89" s="566"/>
      <c r="I89" s="334"/>
      <c r="J89" s="550"/>
      <c r="K89" s="551"/>
      <c r="L89" s="556"/>
      <c r="M89" s="551"/>
      <c r="N89" s="557"/>
      <c r="O89" s="551"/>
      <c r="P89" s="554" t="n">
        <f aca="false">SUM(I89:O89)</f>
        <v>0</v>
      </c>
      <c r="T89" s="311"/>
    </row>
    <row r="90" customFormat="false" ht="15" hidden="false" customHeight="true" outlineLevel="0" collapsed="false">
      <c r="A90" s="561"/>
      <c r="B90" s="13"/>
      <c r="C90" s="13"/>
      <c r="D90" s="569"/>
      <c r="E90" s="152"/>
      <c r="F90" s="16"/>
      <c r="G90" s="456"/>
      <c r="H90" s="566"/>
      <c r="I90" s="334"/>
      <c r="J90" s="550"/>
      <c r="K90" s="551"/>
      <c r="L90" s="556"/>
      <c r="M90" s="551"/>
      <c r="N90" s="557"/>
      <c r="O90" s="551"/>
      <c r="P90" s="554" t="n">
        <f aca="false">SUM(I90:O90)</f>
        <v>0</v>
      </c>
      <c r="T90" s="311"/>
    </row>
    <row r="91" customFormat="false" ht="15" hidden="false" customHeight="true" outlineLevel="0" collapsed="false">
      <c r="A91" s="44"/>
      <c r="B91" s="571"/>
      <c r="C91" s="129"/>
      <c r="D91" s="14"/>
      <c r="E91" s="572"/>
      <c r="F91" s="16"/>
      <c r="G91" s="573"/>
      <c r="H91" s="566"/>
      <c r="I91" s="334"/>
      <c r="J91" s="550"/>
      <c r="K91" s="551"/>
      <c r="L91" s="556"/>
      <c r="M91" s="551"/>
      <c r="N91" s="557"/>
      <c r="O91" s="551"/>
      <c r="P91" s="554" t="n">
        <f aca="false">SUM(I91:O91)</f>
        <v>0</v>
      </c>
      <c r="T91" s="311"/>
    </row>
    <row r="92" customFormat="false" ht="15" hidden="false" customHeight="true" outlineLevel="0" collapsed="false">
      <c r="A92" s="44"/>
      <c r="B92" s="571"/>
      <c r="C92" s="129"/>
      <c r="D92" s="14"/>
      <c r="E92" s="572"/>
      <c r="F92" s="14"/>
      <c r="G92" s="573"/>
      <c r="H92" s="566"/>
      <c r="I92" s="334"/>
      <c r="J92" s="550"/>
      <c r="K92" s="551"/>
      <c r="L92" s="556"/>
      <c r="M92" s="551"/>
      <c r="N92" s="557"/>
      <c r="O92" s="551"/>
      <c r="P92" s="554" t="n">
        <f aca="false">SUM(I92:O92)</f>
        <v>0</v>
      </c>
      <c r="T92" s="311"/>
    </row>
    <row r="93" customFormat="false" ht="15" hidden="false" customHeight="true" outlineLevel="0" collapsed="false">
      <c r="A93" s="44"/>
      <c r="B93" s="571"/>
      <c r="C93" s="129"/>
      <c r="D93" s="14"/>
      <c r="E93" s="572"/>
      <c r="F93" s="16"/>
      <c r="G93" s="573"/>
      <c r="H93" s="566"/>
      <c r="I93" s="334"/>
      <c r="J93" s="550"/>
      <c r="K93" s="551"/>
      <c r="L93" s="556"/>
      <c r="M93" s="551"/>
      <c r="N93" s="557"/>
      <c r="O93" s="551"/>
      <c r="P93" s="554" t="n">
        <f aca="false">SUM(I93:O93)</f>
        <v>0</v>
      </c>
      <c r="T93" s="311"/>
    </row>
    <row r="94" customFormat="false" ht="15" hidden="false" customHeight="true" outlineLevel="0" collapsed="false">
      <c r="A94" s="44"/>
      <c r="B94" s="571"/>
      <c r="C94" s="129"/>
      <c r="D94" s="569"/>
      <c r="E94" s="572"/>
      <c r="F94" s="16"/>
      <c r="G94" s="573"/>
      <c r="H94" s="566"/>
      <c r="I94" s="334"/>
      <c r="J94" s="550"/>
      <c r="K94" s="551"/>
      <c r="L94" s="556"/>
      <c r="M94" s="551"/>
      <c r="N94" s="557"/>
      <c r="O94" s="551"/>
      <c r="P94" s="554" t="n">
        <f aca="false">SUM(I94:O94)</f>
        <v>0</v>
      </c>
      <c r="T94" s="311"/>
    </row>
    <row r="95" customFormat="false" ht="15" hidden="false" customHeight="true" outlineLevel="0" collapsed="false">
      <c r="A95" s="44"/>
      <c r="B95" s="574"/>
      <c r="C95" s="40"/>
      <c r="D95" s="569"/>
      <c r="E95" s="15"/>
      <c r="F95" s="16"/>
      <c r="G95" s="575"/>
      <c r="H95" s="566"/>
      <c r="I95" s="334"/>
      <c r="J95" s="550"/>
      <c r="K95" s="551"/>
      <c r="L95" s="556"/>
      <c r="M95" s="551"/>
      <c r="N95" s="557"/>
      <c r="O95" s="551"/>
      <c r="P95" s="554" t="n">
        <f aca="false">SUM(I95:O95)</f>
        <v>0</v>
      </c>
      <c r="T95" s="311"/>
    </row>
    <row r="96" customFormat="false" ht="15" hidden="false" customHeight="true" outlineLevel="0" collapsed="false">
      <c r="A96" s="44"/>
      <c r="B96" s="574"/>
      <c r="C96" s="40"/>
      <c r="D96" s="569"/>
      <c r="E96" s="15"/>
      <c r="F96" s="16"/>
      <c r="G96" s="575"/>
      <c r="H96" s="566"/>
      <c r="I96" s="334"/>
      <c r="J96" s="550"/>
      <c r="K96" s="551"/>
      <c r="L96" s="556"/>
      <c r="M96" s="551"/>
      <c r="N96" s="557"/>
      <c r="O96" s="551"/>
      <c r="P96" s="554" t="n">
        <f aca="false">SUM(I96:O96)</f>
        <v>0</v>
      </c>
      <c r="T96" s="311"/>
    </row>
    <row r="97" customFormat="false" ht="15" hidden="false" customHeight="true" outlineLevel="0" collapsed="false">
      <c r="A97" s="44"/>
      <c r="B97" s="571"/>
      <c r="C97" s="129"/>
      <c r="D97" s="14"/>
      <c r="E97" s="239"/>
      <c r="F97" s="16"/>
      <c r="G97" s="576"/>
      <c r="H97" s="566"/>
      <c r="I97" s="334"/>
      <c r="J97" s="550"/>
      <c r="K97" s="551"/>
      <c r="L97" s="556"/>
      <c r="M97" s="551"/>
      <c r="N97" s="557"/>
      <c r="O97" s="551"/>
      <c r="P97" s="554" t="n">
        <f aca="false">SUM(I97:O97)</f>
        <v>0</v>
      </c>
      <c r="T97" s="311"/>
    </row>
    <row r="98" customFormat="false" ht="15" hidden="false" customHeight="true" outlineLevel="0" collapsed="false">
      <c r="A98" s="44"/>
      <c r="B98" s="577"/>
      <c r="C98" s="578"/>
      <c r="D98" s="85"/>
      <c r="E98" s="20"/>
      <c r="F98" s="72"/>
      <c r="G98" s="579"/>
      <c r="H98" s="580"/>
      <c r="I98" s="334"/>
      <c r="J98" s="550"/>
      <c r="K98" s="551"/>
      <c r="L98" s="556"/>
      <c r="M98" s="551"/>
      <c r="N98" s="557"/>
      <c r="O98" s="551"/>
      <c r="P98" s="554" t="n">
        <f aca="false">SUM(I98:O98)</f>
        <v>0</v>
      </c>
      <c r="T98" s="311"/>
    </row>
    <row r="99" customFormat="false" ht="15" hidden="false" customHeight="true" outlineLevel="0" collapsed="false">
      <c r="B99" s="581"/>
      <c r="C99" s="581"/>
      <c r="D99" s="581"/>
      <c r="E99" s="581"/>
      <c r="F99" s="582"/>
      <c r="G99" s="583" t="s">
        <v>1348</v>
      </c>
      <c r="H99" s="582" t="n">
        <f aca="false">COUNTA(H8:H98)</f>
        <v>9</v>
      </c>
      <c r="I99" s="534"/>
      <c r="J99" s="1" t="n">
        <f aca="false">COUNTA(J8:J98)</f>
        <v>0</v>
      </c>
      <c r="K99" s="534"/>
      <c r="L99" s="1" t="n">
        <f aca="false">COUNTA(L8:L98)</f>
        <v>0</v>
      </c>
      <c r="M99" s="534"/>
      <c r="N99" s="1" t="n">
        <f aca="false">COUNTA(N8:N98)</f>
        <v>0</v>
      </c>
      <c r="O99" s="534"/>
      <c r="P99" s="534" t="n">
        <f aca="false">COUNTIF(P8:P98,"&gt;0")</f>
        <v>9</v>
      </c>
      <c r="T99" s="311"/>
    </row>
    <row r="100" customFormat="false" ht="15" hidden="false" customHeight="true" outlineLevel="0" collapsed="false">
      <c r="A100" s="1"/>
      <c r="B100" s="295"/>
      <c r="C100" s="295"/>
      <c r="D100" s="295"/>
      <c r="E100" s="584"/>
      <c r="F100" s="38"/>
      <c r="G100" s="585"/>
      <c r="H100" s="586"/>
      <c r="I100" s="38"/>
      <c r="J100" s="587"/>
      <c r="K100" s="588"/>
      <c r="L100" s="589"/>
      <c r="M100" s="588"/>
      <c r="N100" s="589"/>
      <c r="O100" s="588"/>
    </row>
    <row r="101" customFormat="false" ht="15" hidden="false" customHeight="true" outlineLevel="0" collapsed="false">
      <c r="O101" s="588"/>
    </row>
    <row r="102" customFormat="false" ht="15" hidden="false" customHeight="true" outlineLevel="0" collapsed="false">
      <c r="B102" s="295"/>
      <c r="O102" s="588"/>
    </row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</sheetData>
  <autoFilter ref="A7:P102"/>
  <mergeCells count="9">
    <mergeCell ref="B3:E3"/>
    <mergeCell ref="H4:I4"/>
    <mergeCell ref="J4:K4"/>
    <mergeCell ref="L4:M4"/>
    <mergeCell ref="N4:O4"/>
    <mergeCell ref="H5:I5"/>
    <mergeCell ref="J5:K5"/>
    <mergeCell ref="L5:M5"/>
    <mergeCell ref="N5:O5"/>
  </mergeCells>
  <conditionalFormatting sqref="D44:D68">
    <cfRule type="cellIs" priority="2" operator="equal" aboveAverage="0" equalAverage="0" bottom="0" percent="0" rank="0" text="" dxfId="19">
      <formula>"F"</formula>
    </cfRule>
  </conditionalFormatting>
  <conditionalFormatting sqref="D68">
    <cfRule type="expression" priority="3" aboveAverage="0" equalAverage="0" bottom="0" percent="0" rank="0" text="" dxfId="18">
      <formula>#ref!=$E$5</formula>
    </cfRule>
  </conditionalFormatting>
  <conditionalFormatting sqref="D52:D68">
    <cfRule type="expression" priority="4" aboveAverage="0" equalAverage="0" bottom="0" percent="0" rank="0" text="" dxfId="18">
      <formula>$F52=$E$5</formula>
    </cfRule>
  </conditionalFormatting>
  <conditionalFormatting sqref="D52:D67">
    <cfRule type="expression" priority="5" aboveAverage="0" equalAverage="0" bottom="0" percent="0" rank="0" text="" dxfId="18">
      <formula>#ref!=$E$5</formula>
    </cfRule>
  </conditionalFormatting>
  <conditionalFormatting sqref="A52:A68">
    <cfRule type="duplicateValues" priority="6" aboveAverage="0" equalAverage="0" bottom="0" percent="0" rank="0" text="" dxfId="21"/>
  </conditionalFormatting>
  <conditionalFormatting sqref="D46:D51">
    <cfRule type="expression" priority="7" aboveAverage="0" equalAverage="0" bottom="0" percent="0" rank="0" text="" dxfId="18">
      <formula>#ref!=$E$5</formula>
    </cfRule>
  </conditionalFormatting>
  <conditionalFormatting sqref="D45">
    <cfRule type="expression" priority="8" aboveAverage="0" equalAverage="0" bottom="0" percent="0" rank="0" text="" dxfId="18">
      <formula>#ref!=$E$5</formula>
    </cfRule>
  </conditionalFormatting>
  <conditionalFormatting sqref="D33:D42">
    <cfRule type="expression" priority="9" aboveAverage="0" equalAverage="0" bottom="0" percent="0" rank="0" text="" dxfId="18">
      <formula>#ref!=$E$5</formula>
    </cfRule>
  </conditionalFormatting>
  <conditionalFormatting sqref="D29:D32">
    <cfRule type="expression" priority="10" aboveAverage="0" equalAverage="0" bottom="0" percent="0" rank="0" text="" dxfId="18">
      <formula>#ref!=$E$5</formula>
    </cfRule>
  </conditionalFormatting>
  <conditionalFormatting sqref="D43:D44">
    <cfRule type="expression" priority="11" aboveAverage="0" equalAverage="0" bottom="0" percent="0" rank="0" text="" dxfId="18">
      <formula>#ref!=$E$5</formula>
    </cfRule>
  </conditionalFormatting>
  <conditionalFormatting sqref="G17">
    <cfRule type="cellIs" priority="12" operator="equal" aboveAverage="0" equalAverage="0" bottom="0" percent="0" rank="0" text="" dxfId="24">
      <formula>"LV"</formula>
    </cfRule>
  </conditionalFormatting>
  <conditionalFormatting sqref="D8">
    <cfRule type="cellIs" priority="13" operator="equal" aboveAverage="0" equalAverage="0" bottom="0" percent="0" rank="0" text="" dxfId="19">
      <formula>"F"</formula>
    </cfRule>
    <cfRule type="expression" priority="14" aboveAverage="0" equalAverage="0" bottom="0" percent="0" rank="0" text="" dxfId="18">
      <formula>#ref!=$E$5</formula>
    </cfRule>
    <cfRule type="expression" priority="15" aboveAverage="0" equalAverage="0" bottom="0" percent="0" rank="0" text="" dxfId="18">
      <formula>$F8=$E$5</formula>
    </cfRule>
  </conditionalFormatting>
  <conditionalFormatting sqref="D74:D98">
    <cfRule type="cellIs" priority="16" operator="equal" aboveAverage="0" equalAverage="0" bottom="0" percent="0" rank="0" text="" dxfId="19">
      <formula>"F"</formula>
    </cfRule>
  </conditionalFormatting>
  <conditionalFormatting sqref="D76:D82">
    <cfRule type="expression" priority="17" aboveAverage="0" equalAverage="0" bottom="0" percent="0" rank="0" text="" dxfId="18">
      <formula>#ref!=$E$5</formula>
    </cfRule>
  </conditionalFormatting>
  <conditionalFormatting sqref="D75">
    <cfRule type="expression" priority="18" aboveAverage="0" equalAverage="0" bottom="0" percent="0" rank="0" text="" dxfId="18">
      <formula>#ref!=$E$5</formula>
    </cfRule>
  </conditionalFormatting>
  <conditionalFormatting sqref="D69:D73">
    <cfRule type="expression" priority="19" aboveAverage="0" equalAverage="0" bottom="0" percent="0" rank="0" text="" dxfId="18">
      <formula>#ref!=$E$5</formula>
    </cfRule>
  </conditionalFormatting>
  <conditionalFormatting sqref="D74">
    <cfRule type="expression" priority="20" aboveAverage="0" equalAverage="0" bottom="0" percent="0" rank="0" text="" dxfId="18">
      <formula>#ref!=$E$5</formula>
    </cfRule>
  </conditionalFormatting>
  <conditionalFormatting sqref="G18:G28 G44:G51">
    <cfRule type="cellIs" priority="21" operator="equal" aboveAverage="0" equalAverage="0" bottom="0" percent="0" rank="0" text="" dxfId="24">
      <formula>"LL"</formula>
    </cfRule>
  </conditionalFormatting>
  <conditionalFormatting sqref="D17:D51 D69:D73">
    <cfRule type="cellIs" priority="22" operator="equal" aboveAverage="0" equalAverage="0" bottom="0" percent="0" rank="0" text="" dxfId="19">
      <formula>"F"</formula>
    </cfRule>
  </conditionalFormatting>
  <conditionalFormatting sqref="D17:D28 D34:D51">
    <cfRule type="expression" priority="23" aboveAverage="0" equalAverage="0" bottom="0" percent="0" rank="0" text="" dxfId="18">
      <formula>#ref!=$E$5</formula>
    </cfRule>
  </conditionalFormatting>
  <conditionalFormatting sqref="D17:D28 D34:D51 D69:D82">
    <cfRule type="expression" priority="24" aboveAverage="0" equalAverage="0" bottom="0" percent="0" rank="0" text="" dxfId="18">
      <formula>$F17=$E$5</formula>
    </cfRule>
  </conditionalFormatting>
  <conditionalFormatting sqref="G43">
    <cfRule type="cellIs" priority="25" operator="equal" aboveAverage="0" equalAverage="0" bottom="0" percent="0" rank="0" text="" dxfId="24">
      <formula>"LV"</formula>
    </cfRule>
  </conditionalFormatting>
  <conditionalFormatting sqref="G17:G28 G43:G51">
    <cfRule type="cellIs" priority="26" operator="equal" aboveAverage="0" equalAverage="0" bottom="0" percent="0" rank="0" text="" dxfId="25">
      <formula>"NL"</formula>
    </cfRule>
  </conditionalFormatting>
  <conditionalFormatting sqref="A83:A90">
    <cfRule type="duplicateValues" priority="27" aboveAverage="0" equalAverage="0" bottom="0" percent="0" rank="0" text="" dxfId="16"/>
  </conditionalFormatting>
  <conditionalFormatting sqref="B8:B42 B83:B90">
    <cfRule type="duplicateValues" priority="28" aboveAverage="0" equalAverage="0" bottom="0" percent="0" rank="0" text="" dxfId="16"/>
  </conditionalFormatting>
  <conditionalFormatting sqref="D33 D83">
    <cfRule type="expression" priority="29" aboveAverage="0" equalAverage="0" bottom="0" percent="0" rank="0" text="" dxfId="18">
      <formula>#ref!=$E$5</formula>
    </cfRule>
    <cfRule type="expression" priority="30" aboveAverage="0" equalAverage="0" bottom="0" percent="0" rank="0" text="" dxfId="18">
      <formula>$F33=$E$5</formula>
    </cfRule>
  </conditionalFormatting>
  <conditionalFormatting sqref="F29 F83">
    <cfRule type="expression" priority="31" aboveAverage="0" equalAverage="0" bottom="0" percent="0" rank="0" text="" dxfId="18">
      <formula>$F29=$E$5</formula>
    </cfRule>
  </conditionalFormatting>
  <conditionalFormatting sqref="D29">
    <cfRule type="expression" priority="32" aboveAverage="0" equalAverage="0" bottom="0" percent="0" rank="0" text="" dxfId="18">
      <formula>#ref!=$E$5</formula>
    </cfRule>
    <cfRule type="expression" priority="33" aboveAverage="0" equalAverage="0" bottom="0" percent="0" rank="0" text="" dxfId="18">
      <formula>$F29=$E$5</formula>
    </cfRule>
  </conditionalFormatting>
  <conditionalFormatting sqref="D26:D27">
    <cfRule type="cellIs" priority="34" operator="equal" aboveAverage="0" equalAverage="0" bottom="0" percent="0" rank="0" text="" dxfId="19">
      <formula>"F"</formula>
    </cfRule>
    <cfRule type="expression" priority="35" aboveAverage="0" equalAverage="0" bottom="0" percent="0" rank="0" text="" dxfId="18">
      <formula>#ref!=$E$5</formula>
    </cfRule>
    <cfRule type="expression" priority="36" aboveAverage="0" equalAverage="0" bottom="0" percent="0" rank="0" text="" dxfId="18">
      <formula>$F26=$E$5</formula>
    </cfRule>
    <cfRule type="expression" priority="37" aboveAverage="0" equalAverage="0" bottom="0" percent="0" rank="0" text="" dxfId="18">
      <formula>#ref!=$E$4</formula>
    </cfRule>
  </conditionalFormatting>
  <conditionalFormatting sqref="D8:D28">
    <cfRule type="cellIs" priority="38" operator="equal" aboveAverage="0" equalAverage="0" bottom="0" percent="0" rank="0" text="" dxfId="19">
      <formula>"F"</formula>
    </cfRule>
  </conditionalFormatting>
  <conditionalFormatting sqref="F84:F92 H8:P98">
    <cfRule type="expression" priority="39" aboveAverage="0" equalAverage="0" bottom="0" percent="0" rank="0" text="" dxfId="18">
      <formula>#ref!=$E$5</formula>
    </cfRule>
  </conditionalFormatting>
  <conditionalFormatting sqref="D28 D84:D99">
    <cfRule type="expression" priority="40" aboveAverage="0" equalAverage="0" bottom="0" percent="0" rank="0" text="" dxfId="18">
      <formula>#ref!=$E$5</formula>
    </cfRule>
  </conditionalFormatting>
  <conditionalFormatting sqref="D8:D25 D28:D51 D84:D98">
    <cfRule type="expression" priority="41" aboveAverage="0" equalAverage="0" bottom="0" percent="0" rank="0" text="" dxfId="18">
      <formula>$F8=$E$5</formula>
    </cfRule>
  </conditionalFormatting>
  <conditionalFormatting sqref="B99:D99">
    <cfRule type="expression" priority="42" aboveAverage="0" equalAverage="0" bottom="0" percent="0" rank="0" text="" dxfId="18">
      <formula>#ref!=$E$5</formula>
    </cfRule>
  </conditionalFormatting>
  <conditionalFormatting sqref="B10:C11 D8:D25 D30:D32">
    <cfRule type="expression" priority="43" aboveAverage="0" equalAverage="0" bottom="0" percent="0" rank="0" text="" dxfId="18">
      <formula>#ref!=$E$5</formula>
    </cfRule>
  </conditionalFormatting>
  <conditionalFormatting sqref="B9:C9 B97:C98">
    <cfRule type="expression" priority="44" aboveAverage="0" equalAverage="0" bottom="0" percent="0" rank="0" text="" dxfId="18">
      <formula>#ref!=$E$5</formula>
    </cfRule>
  </conditionalFormatting>
  <conditionalFormatting sqref="B9:C11 B97:C98 B99:G99 E97:E98 F8:F51 F69:F82 F95:F98 G8:G11 G97:G98">
    <cfRule type="expression" priority="45" aboveAverage="0" equalAverage="0" bottom="0" percent="0" rank="0" text="" dxfId="18">
      <formula>$F5=$E$5</formula>
    </cfRule>
  </conditionalFormatting>
  <conditionalFormatting sqref="D26 F26">
    <cfRule type="expression" priority="46" aboveAverage="0" equalAverage="0" bottom="0" percent="0" rank="0" text="" dxfId="18">
      <formula>$F32=$E$4</formula>
    </cfRule>
  </conditionalFormatting>
  <conditionalFormatting sqref="D27 F27">
    <cfRule type="expression" priority="47" aboveAverage="0" equalAverage="0" bottom="0" percent="0" rank="0" text="" dxfId="18">
      <formula>$F32=$E$4</formula>
    </cfRule>
  </conditionalFormatting>
  <conditionalFormatting sqref="A33:A42">
    <cfRule type="duplicateValues" priority="48" aboveAverage="0" equalAverage="0" bottom="0" percent="0" rank="0" text="" dxfId="16"/>
  </conditionalFormatting>
  <conditionalFormatting sqref="A17:A51 A69:A82">
    <cfRule type="duplicateValues" priority="49" aboveAverage="0" equalAverage="0" bottom="0" percent="0" rank="0" text="" dxfId="21"/>
  </conditionalFormatting>
  <conditionalFormatting sqref="A8:A16">
    <cfRule type="duplicateValues" priority="50" aboveAverage="0" equalAverage="0" bottom="0" percent="0" rank="0" text="" dxfId="16"/>
  </conditionalFormatting>
  <conditionalFormatting sqref="A8:A32">
    <cfRule type="duplicateValues" priority="51" aboveAverage="0" equalAverage="0" bottom="0" percent="0" rank="0" text="" dxfId="16"/>
  </conditionalFormatting>
  <dataValidations count="8">
    <dataValidation allowBlank="false" errorStyle="stop" operator="between" showDropDown="false" showErrorMessage="true" showInputMessage="true" sqref="E5 F8:F12 F14:F21 F23:F26 F28:F40 F42:F51 F70:F82" type="list">
      <formula1>#ref!</formula1>
      <formula2>0</formula2>
    </dataValidation>
    <dataValidation allowBlank="true" errorStyle="stop" operator="between" showDropDown="false" showErrorMessage="true" showInputMessage="false" sqref="F99" type="list">
      <formula1>"API,ASM,ASV,BUC,CAO,CC2,COS,COU,JOUY,USBY,USP,VAU"</formula1>
      <formula2>0</formula2>
    </dataValidation>
    <dataValidation allowBlank="true" errorStyle="stop" operator="between" showDropDown="false" showErrorMessage="true" showInputMessage="false" sqref="D8 D83" type="list">
      <formula1>"F,M"</formula1>
      <formula2>0</formula2>
    </dataValidation>
    <dataValidation allowBlank="true" errorStyle="stop" operator="between" showDropDown="false" showErrorMessage="true" showInputMessage="true" sqref="D17:D82" type="list">
      <formula1>"F,M"</formula1>
      <formula2>0</formula2>
    </dataValidation>
    <dataValidation allowBlank="false" errorStyle="stop" operator="between" showDropDown="false" showErrorMessage="true" showInputMessage="true" sqref="F84:F90 F95:F98" type="list">
      <formula1>#ref!</formula1>
      <formula2>0</formula2>
    </dataValidation>
    <dataValidation allowBlank="true" errorStyle="stop" operator="between" showDropDown="false" showErrorMessage="true" showInputMessage="false" sqref="F91 F93" type="list">
      <formula1>#ref!</formula1>
      <formula2>0</formula2>
    </dataValidation>
    <dataValidation allowBlank="true" errorStyle="stop" operator="between" showDropDown="false" showErrorMessage="true" showInputMessage="true" sqref="F92 F94" type="list">
      <formula1>#ref!</formula1>
      <formula2>0</formula2>
    </dataValidation>
    <dataValidation allowBlank="true" errorStyle="stop" operator="between" showDropDown="false" showErrorMessage="true" showInputMessage="false" sqref="F13 F22 F27 F41 F69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39375" top="0.659722222222222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&amp;CPage &amp;P</oddHeader>
    <oddFooter>&amp;Cle &amp;D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3"/>
  <sheetViews>
    <sheetView showFormulas="false" showGridLines="true" showRowColHeaders="true" showZeros="true" rightToLeft="false" tabSelected="false" showOutlineSymbols="true" defaultGridColor="true" view="normal" topLeftCell="A610" colorId="64" zoomScale="100" zoomScaleNormal="100" zoomScalePageLayoutView="100" workbookViewId="0">
      <selection pane="topLeft" activeCell="H632" activeCellId="0" sqref="H632"/>
    </sheetView>
  </sheetViews>
  <sheetFormatPr defaultColWidth="10.83203125" defaultRowHeight="12.75" customHeight="true" zeroHeight="false" outlineLevelRow="0" outlineLevelCol="0"/>
  <cols>
    <col collapsed="false" customWidth="false" hidden="false" outlineLevel="0" max="1" min="1" style="590" width="10.83"/>
    <col collapsed="false" customWidth="true" hidden="false" outlineLevel="0" max="2" min="2" style="590" width="45.83"/>
    <col collapsed="false" customWidth="true" hidden="false" outlineLevel="0" max="3" min="3" style="590" width="23.33"/>
    <col collapsed="false" customWidth="false" hidden="false" outlineLevel="0" max="16384" min="4" style="590" width="10.83"/>
  </cols>
  <sheetData>
    <row r="1" customFormat="false" ht="12.75" hidden="false" customHeight="true" outlineLevel="0" collapsed="false">
      <c r="A1" s="591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customFormat="false" ht="12.75" hidden="false" customHeight="true" outlineLevel="0" collapsed="false">
      <c r="A2" s="592" t="n">
        <v>1000</v>
      </c>
      <c r="B2" s="593" t="s">
        <v>1427</v>
      </c>
      <c r="C2" s="594" t="s">
        <v>7</v>
      </c>
      <c r="D2" s="135" t="s">
        <v>8</v>
      </c>
      <c r="E2" s="595" t="n">
        <v>42911</v>
      </c>
      <c r="F2" s="137" t="s">
        <v>9</v>
      </c>
    </row>
    <row r="3" customFormat="false" ht="23.25" hidden="false" customHeight="true" outlineLevel="0" collapsed="false">
      <c r="A3" s="592" t="n">
        <v>2000</v>
      </c>
      <c r="B3" s="596" t="s">
        <v>10</v>
      </c>
      <c r="C3" s="597" t="s">
        <v>11</v>
      </c>
      <c r="D3" s="598" t="s">
        <v>8</v>
      </c>
      <c r="E3" s="599" t="n">
        <v>42181</v>
      </c>
      <c r="F3" s="600" t="s">
        <v>12</v>
      </c>
    </row>
    <row r="4" customFormat="false" ht="12.75" hidden="false" customHeight="true" outlineLevel="0" collapsed="false">
      <c r="A4" s="592" t="n">
        <v>3000</v>
      </c>
      <c r="B4" s="594" t="s">
        <v>1428</v>
      </c>
      <c r="C4" s="594" t="s">
        <v>14</v>
      </c>
      <c r="D4" s="135" t="s">
        <v>8</v>
      </c>
      <c r="E4" s="601" t="n">
        <v>2013</v>
      </c>
      <c r="F4" s="137" t="s">
        <v>9</v>
      </c>
    </row>
    <row r="5" customFormat="false" ht="23.25" hidden="false" customHeight="true" outlineLevel="0" collapsed="false">
      <c r="A5" s="592" t="n">
        <v>2001</v>
      </c>
      <c r="B5" s="602" t="s">
        <v>15</v>
      </c>
      <c r="C5" s="603" t="s">
        <v>16</v>
      </c>
      <c r="D5" s="604" t="s">
        <v>8</v>
      </c>
      <c r="E5" s="605" t="n">
        <v>41973</v>
      </c>
      <c r="F5" s="606" t="s">
        <v>17</v>
      </c>
    </row>
    <row r="6" customFormat="false" ht="23.25" hidden="false" customHeight="true" outlineLevel="0" collapsed="false">
      <c r="A6" s="592" t="n">
        <v>2002</v>
      </c>
      <c r="B6" s="607" t="s">
        <v>18</v>
      </c>
      <c r="C6" s="608" t="s">
        <v>19</v>
      </c>
      <c r="D6" s="604" t="s">
        <v>8</v>
      </c>
      <c r="E6" s="609" t="n">
        <v>42334</v>
      </c>
      <c r="F6" s="606" t="s">
        <v>20</v>
      </c>
    </row>
    <row r="7" customFormat="false" ht="12.75" hidden="false" customHeight="true" outlineLevel="0" collapsed="false">
      <c r="A7" s="592" t="n">
        <v>1001</v>
      </c>
      <c r="B7" s="593" t="s">
        <v>21</v>
      </c>
      <c r="C7" s="594" t="s">
        <v>22</v>
      </c>
      <c r="D7" s="135" t="s">
        <v>8</v>
      </c>
      <c r="E7" s="601" t="n">
        <v>2016</v>
      </c>
      <c r="F7" s="137" t="s">
        <v>9</v>
      </c>
    </row>
    <row r="8" customFormat="false" ht="12.75" hidden="false" customHeight="true" outlineLevel="0" collapsed="false">
      <c r="A8" s="592" t="n">
        <v>2003</v>
      </c>
      <c r="B8" s="593" t="s">
        <v>21</v>
      </c>
      <c r="C8" s="594" t="s">
        <v>23</v>
      </c>
      <c r="D8" s="135" t="s">
        <v>8</v>
      </c>
      <c r="E8" s="601" t="n">
        <v>2015</v>
      </c>
      <c r="F8" s="137" t="s">
        <v>9</v>
      </c>
    </row>
    <row r="9" customFormat="false" ht="23.25" hidden="false" customHeight="true" outlineLevel="0" collapsed="false">
      <c r="A9" s="592" t="n">
        <v>2004</v>
      </c>
      <c r="B9" s="610" t="s">
        <v>24</v>
      </c>
      <c r="C9" s="611" t="s">
        <v>25</v>
      </c>
      <c r="D9" s="612" t="s">
        <v>26</v>
      </c>
      <c r="E9" s="613" t="n">
        <v>41694</v>
      </c>
      <c r="F9" s="614" t="s">
        <v>12</v>
      </c>
    </row>
    <row r="10" customFormat="false" ht="12.75" hidden="false" customHeight="true" outlineLevel="0" collapsed="false">
      <c r="A10" s="592" t="n">
        <v>3001</v>
      </c>
      <c r="B10" s="245" t="s">
        <v>27</v>
      </c>
      <c r="C10" s="615" t="s">
        <v>28</v>
      </c>
      <c r="D10" s="135" t="s">
        <v>8</v>
      </c>
      <c r="E10" s="616" t="n">
        <v>41586</v>
      </c>
      <c r="F10" s="137" t="s">
        <v>29</v>
      </c>
    </row>
    <row r="11" customFormat="false" ht="23.25" hidden="false" customHeight="true" outlineLevel="0" collapsed="false">
      <c r="A11" s="592" t="n">
        <v>1002</v>
      </c>
      <c r="B11" s="617" t="s">
        <v>32</v>
      </c>
      <c r="C11" s="615" t="s">
        <v>33</v>
      </c>
      <c r="D11" s="135" t="s">
        <v>26</v>
      </c>
      <c r="E11" s="618" t="n">
        <v>43191</v>
      </c>
      <c r="F11" s="137" t="s">
        <v>34</v>
      </c>
    </row>
    <row r="12" customFormat="false" ht="23.25" hidden="false" customHeight="true" outlineLevel="0" collapsed="false">
      <c r="A12" s="592" t="n">
        <v>1003</v>
      </c>
      <c r="B12" s="619" t="s">
        <v>32</v>
      </c>
      <c r="C12" s="620" t="s">
        <v>35</v>
      </c>
      <c r="D12" s="612" t="s">
        <v>8</v>
      </c>
      <c r="E12" s="613" t="n">
        <v>44075</v>
      </c>
      <c r="F12" s="614" t="s">
        <v>34</v>
      </c>
    </row>
    <row r="13" customFormat="false" ht="23.25" hidden="false" customHeight="true" outlineLevel="0" collapsed="false">
      <c r="A13" s="592" t="n">
        <v>3002</v>
      </c>
      <c r="B13" s="621" t="s">
        <v>36</v>
      </c>
      <c r="C13" s="621" t="s">
        <v>37</v>
      </c>
      <c r="D13" s="135" t="s">
        <v>8</v>
      </c>
      <c r="E13" s="622" t="n">
        <v>41339</v>
      </c>
      <c r="F13" s="137" t="s">
        <v>20</v>
      </c>
    </row>
    <row r="14" customFormat="false" ht="12.75" hidden="false" customHeight="true" outlineLevel="0" collapsed="false">
      <c r="A14" s="592" t="n">
        <v>3003</v>
      </c>
      <c r="B14" s="594" t="s">
        <v>38</v>
      </c>
      <c r="C14" s="594" t="s">
        <v>39</v>
      </c>
      <c r="D14" s="135" t="s">
        <v>8</v>
      </c>
      <c r="E14" s="601" t="n">
        <v>2012</v>
      </c>
      <c r="F14" s="137" t="s">
        <v>9</v>
      </c>
    </row>
    <row r="15" customFormat="false" ht="23.25" hidden="false" customHeight="true" outlineLevel="0" collapsed="false">
      <c r="A15" s="592" t="n">
        <v>1004</v>
      </c>
      <c r="B15" s="617" t="s">
        <v>42</v>
      </c>
      <c r="C15" s="615" t="s">
        <v>43</v>
      </c>
      <c r="D15" s="135" t="s">
        <v>8</v>
      </c>
      <c r="E15" s="618" t="n">
        <v>42775</v>
      </c>
      <c r="F15" s="137" t="s">
        <v>34</v>
      </c>
    </row>
    <row r="16" customFormat="false" ht="12.75" hidden="false" customHeight="true" outlineLevel="0" collapsed="false">
      <c r="A16" s="592" t="n">
        <v>3004</v>
      </c>
      <c r="B16" s="611" t="s">
        <v>1429</v>
      </c>
      <c r="C16" s="611" t="s">
        <v>45</v>
      </c>
      <c r="D16" s="612" t="s">
        <v>26</v>
      </c>
      <c r="E16" s="623" t="n">
        <v>41620</v>
      </c>
      <c r="F16" s="614" t="s">
        <v>9</v>
      </c>
    </row>
    <row r="17" customFormat="false" ht="12.75" hidden="false" customHeight="true" outlineLevel="0" collapsed="false">
      <c r="A17" s="592" t="n">
        <v>3005</v>
      </c>
      <c r="B17" s="594" t="s">
        <v>1429</v>
      </c>
      <c r="C17" s="594" t="s">
        <v>46</v>
      </c>
      <c r="D17" s="135" t="s">
        <v>26</v>
      </c>
      <c r="E17" s="595" t="n">
        <v>40917</v>
      </c>
      <c r="F17" s="137" t="s">
        <v>9</v>
      </c>
    </row>
    <row r="18" customFormat="false" ht="12.75" hidden="false" customHeight="true" outlineLevel="0" collapsed="false">
      <c r="A18" s="592" t="n">
        <v>1005</v>
      </c>
      <c r="B18" s="624" t="s">
        <v>1429</v>
      </c>
      <c r="C18" s="625" t="s">
        <v>47</v>
      </c>
      <c r="D18" s="135" t="s">
        <v>8</v>
      </c>
      <c r="E18" s="595" t="n">
        <v>43264</v>
      </c>
      <c r="F18" s="137" t="s">
        <v>9</v>
      </c>
    </row>
    <row r="19" customFormat="false" ht="12.75" hidden="false" customHeight="true" outlineLevel="0" collapsed="false">
      <c r="A19" s="592" t="n">
        <v>3006</v>
      </c>
      <c r="B19" s="594" t="s">
        <v>48</v>
      </c>
      <c r="C19" s="594" t="s">
        <v>49</v>
      </c>
      <c r="D19" s="135" t="s">
        <v>8</v>
      </c>
      <c r="E19" s="601" t="n">
        <v>2012</v>
      </c>
      <c r="F19" s="137" t="s">
        <v>9</v>
      </c>
    </row>
    <row r="20" customFormat="false" ht="23.25" hidden="false" customHeight="true" outlineLevel="0" collapsed="false">
      <c r="A20" s="592" t="n">
        <v>4000</v>
      </c>
      <c r="B20" s="626" t="s">
        <v>50</v>
      </c>
      <c r="C20" s="627" t="s">
        <v>51</v>
      </c>
      <c r="D20" s="598" t="s">
        <v>26</v>
      </c>
      <c r="E20" s="628" t="n">
        <v>38929</v>
      </c>
      <c r="F20" s="600" t="s">
        <v>52</v>
      </c>
      <c r="H20" s="592" t="n">
        <v>3166</v>
      </c>
      <c r="I20" s="590" t="s">
        <v>449</v>
      </c>
      <c r="J20" s="590" t="s">
        <v>353</v>
      </c>
      <c r="K20" s="590" t="s">
        <v>1430</v>
      </c>
      <c r="L20" s="629" t="n">
        <v>41415</v>
      </c>
      <c r="M20" s="590" t="s">
        <v>1431</v>
      </c>
      <c r="N20" s="590" t="s">
        <v>1432</v>
      </c>
    </row>
    <row r="21" customFormat="false" ht="12.75" hidden="false" customHeight="true" outlineLevel="0" collapsed="false">
      <c r="A21" s="592" t="n">
        <v>4001</v>
      </c>
      <c r="B21" s="630" t="s">
        <v>53</v>
      </c>
      <c r="C21" s="631" t="s">
        <v>54</v>
      </c>
      <c r="D21" s="612" t="s">
        <v>8</v>
      </c>
      <c r="E21" s="632" t="n">
        <v>2008</v>
      </c>
      <c r="F21" s="614" t="s">
        <v>9</v>
      </c>
      <c r="H21" s="592" t="n">
        <v>3167</v>
      </c>
      <c r="I21" s="590" t="s">
        <v>117</v>
      </c>
      <c r="J21" s="590" t="s">
        <v>118</v>
      </c>
      <c r="K21" s="590" t="s">
        <v>1430</v>
      </c>
      <c r="L21" s="629" t="n">
        <v>41143</v>
      </c>
      <c r="M21" s="590" t="s">
        <v>1431</v>
      </c>
      <c r="N21" s="590" t="s">
        <v>1432</v>
      </c>
    </row>
    <row r="22" customFormat="false" ht="12.75" hidden="false" customHeight="true" outlineLevel="0" collapsed="false">
      <c r="A22" s="592" t="n">
        <v>2211</v>
      </c>
      <c r="B22" s="633" t="s">
        <v>55</v>
      </c>
      <c r="C22" s="633" t="s">
        <v>56</v>
      </c>
      <c r="D22" s="135" t="s">
        <v>8</v>
      </c>
      <c r="E22" s="634" t="n">
        <v>42103</v>
      </c>
      <c r="F22" s="137" t="s">
        <v>52</v>
      </c>
    </row>
    <row r="23" customFormat="false" ht="23.25" hidden="false" customHeight="true" outlineLevel="0" collapsed="false">
      <c r="A23" s="592" t="n">
        <v>2005</v>
      </c>
      <c r="B23" s="593" t="s">
        <v>57</v>
      </c>
      <c r="C23" s="594" t="s">
        <v>58</v>
      </c>
      <c r="D23" s="135" t="s">
        <v>8</v>
      </c>
      <c r="E23" s="618" t="n">
        <v>42258</v>
      </c>
      <c r="F23" s="137" t="s">
        <v>20</v>
      </c>
    </row>
    <row r="24" customFormat="false" ht="23.25" hidden="false" customHeight="true" outlineLevel="0" collapsed="false">
      <c r="A24" s="592" t="n">
        <v>3007</v>
      </c>
      <c r="B24" s="635" t="s">
        <v>57</v>
      </c>
      <c r="C24" s="635" t="s">
        <v>59</v>
      </c>
      <c r="D24" s="604" t="s">
        <v>8</v>
      </c>
      <c r="E24" s="609" t="n">
        <v>41220</v>
      </c>
      <c r="F24" s="606" t="s">
        <v>20</v>
      </c>
    </row>
    <row r="25" customFormat="false" ht="12.75" hidden="false" customHeight="true" outlineLevel="0" collapsed="false">
      <c r="A25" s="592" t="n">
        <v>4002</v>
      </c>
      <c r="B25" s="624" t="s">
        <v>62</v>
      </c>
      <c r="C25" s="625" t="s">
        <v>63</v>
      </c>
      <c r="D25" s="135" t="s">
        <v>8</v>
      </c>
      <c r="E25" s="595" t="n">
        <v>40237</v>
      </c>
      <c r="F25" s="137" t="s">
        <v>9</v>
      </c>
      <c r="H25" s="590" t="n">
        <v>4140</v>
      </c>
      <c r="I25" s="590" t="s">
        <v>520</v>
      </c>
      <c r="J25" s="590" t="s">
        <v>844</v>
      </c>
      <c r="K25" s="590" t="s">
        <v>1430</v>
      </c>
      <c r="L25" s="629" t="n">
        <v>40634</v>
      </c>
      <c r="M25" s="590" t="s">
        <v>1431</v>
      </c>
      <c r="N25" s="590" t="s">
        <v>1432</v>
      </c>
    </row>
    <row r="26" customFormat="false" ht="13.5" hidden="false" customHeight="true" outlineLevel="0" collapsed="false">
      <c r="A26" s="592" t="n">
        <v>4003</v>
      </c>
      <c r="B26" s="202" t="s">
        <v>66</v>
      </c>
      <c r="C26" s="202" t="s">
        <v>67</v>
      </c>
      <c r="D26" s="135" t="s">
        <v>8</v>
      </c>
      <c r="E26" s="636" t="n">
        <v>39313</v>
      </c>
      <c r="F26" s="137" t="s">
        <v>29</v>
      </c>
    </row>
    <row r="27" customFormat="false" ht="23.25" hidden="false" customHeight="true" outlineLevel="0" collapsed="false">
      <c r="A27" s="592" t="n">
        <v>1006</v>
      </c>
      <c r="B27" s="245" t="s">
        <v>71</v>
      </c>
      <c r="C27" s="202" t="s">
        <v>69</v>
      </c>
      <c r="D27" s="135" t="s">
        <v>26</v>
      </c>
      <c r="E27" s="618" t="n">
        <v>42666</v>
      </c>
      <c r="F27" s="137" t="s">
        <v>29</v>
      </c>
    </row>
    <row r="28" customFormat="false" ht="23.25" hidden="false" customHeight="true" outlineLevel="0" collapsed="false">
      <c r="A28" s="592" t="n">
        <v>2006</v>
      </c>
      <c r="B28" s="624" t="s">
        <v>72</v>
      </c>
      <c r="C28" s="625" t="s">
        <v>73</v>
      </c>
      <c r="D28" s="135" t="s">
        <v>8</v>
      </c>
      <c r="E28" s="622" t="n">
        <v>41940</v>
      </c>
      <c r="F28" s="137" t="s">
        <v>12</v>
      </c>
    </row>
    <row r="29" customFormat="false" ht="23.25" hidden="false" customHeight="true" outlineLevel="0" collapsed="false">
      <c r="A29" s="592" t="n">
        <v>1007</v>
      </c>
      <c r="B29" s="245" t="s">
        <v>74</v>
      </c>
      <c r="C29" s="202" t="s">
        <v>75</v>
      </c>
      <c r="D29" s="135" t="s">
        <v>8</v>
      </c>
      <c r="E29" s="618" t="n">
        <v>42629</v>
      </c>
      <c r="F29" s="137" t="s">
        <v>29</v>
      </c>
    </row>
    <row r="30" customFormat="false" ht="13.5" hidden="false" customHeight="true" outlineLevel="0" collapsed="false">
      <c r="A30" s="592" t="n">
        <v>2007</v>
      </c>
      <c r="B30" s="637" t="s">
        <v>74</v>
      </c>
      <c r="C30" s="637" t="s">
        <v>76</v>
      </c>
      <c r="D30" s="604" t="s">
        <v>8</v>
      </c>
      <c r="E30" s="638" t="n">
        <v>41744</v>
      </c>
      <c r="F30" s="606" t="s">
        <v>29</v>
      </c>
    </row>
    <row r="31" customFormat="false" ht="12.75" hidden="false" customHeight="true" outlineLevel="0" collapsed="false">
      <c r="A31" s="592" t="n">
        <v>3008</v>
      </c>
      <c r="B31" s="594" t="s">
        <v>80</v>
      </c>
      <c r="C31" s="594" t="s">
        <v>81</v>
      </c>
      <c r="D31" s="135" t="s">
        <v>8</v>
      </c>
      <c r="E31" s="601" t="n">
        <v>2013</v>
      </c>
      <c r="F31" s="137" t="s">
        <v>9</v>
      </c>
    </row>
    <row r="32" customFormat="false" ht="12.75" hidden="false" customHeight="true" outlineLevel="0" collapsed="false">
      <c r="A32" s="592" t="n">
        <v>3009</v>
      </c>
      <c r="B32" s="245" t="s">
        <v>82</v>
      </c>
      <c r="C32" s="202" t="s">
        <v>83</v>
      </c>
      <c r="D32" s="135" t="s">
        <v>8</v>
      </c>
      <c r="E32" s="616" t="n">
        <v>40989</v>
      </c>
      <c r="F32" s="137" t="s">
        <v>29</v>
      </c>
    </row>
    <row r="33" customFormat="false" ht="12.75" hidden="false" customHeight="true" outlineLevel="0" collapsed="false">
      <c r="A33" s="592" t="n">
        <v>2009</v>
      </c>
      <c r="B33" s="593" t="s">
        <v>84</v>
      </c>
      <c r="C33" s="594" t="s">
        <v>85</v>
      </c>
      <c r="D33" s="135" t="s">
        <v>8</v>
      </c>
      <c r="E33" s="601" t="n">
        <v>2015</v>
      </c>
      <c r="F33" s="137" t="s">
        <v>9</v>
      </c>
    </row>
    <row r="34" customFormat="false" ht="23.25" hidden="false" customHeight="true" outlineLevel="0" collapsed="false">
      <c r="A34" s="592" t="n">
        <v>3010</v>
      </c>
      <c r="B34" s="615" t="s">
        <v>86</v>
      </c>
      <c r="C34" s="615" t="s">
        <v>87</v>
      </c>
      <c r="D34" s="135" t="s">
        <v>8</v>
      </c>
      <c r="E34" s="622" t="n">
        <v>41607</v>
      </c>
      <c r="F34" s="137" t="s">
        <v>52</v>
      </c>
    </row>
    <row r="35" customFormat="false" ht="23.25" hidden="false" customHeight="true" outlineLevel="0" collapsed="false">
      <c r="A35" s="592" t="n">
        <v>1008</v>
      </c>
      <c r="B35" s="617" t="s">
        <v>86</v>
      </c>
      <c r="C35" s="615" t="s">
        <v>88</v>
      </c>
      <c r="D35" s="135" t="s">
        <v>8</v>
      </c>
      <c r="E35" s="618" t="n">
        <v>43182</v>
      </c>
      <c r="F35" s="137" t="s">
        <v>52</v>
      </c>
    </row>
    <row r="36" customFormat="false" ht="23.25" hidden="false" customHeight="true" outlineLevel="0" collapsed="false">
      <c r="A36" s="592" t="n">
        <v>2010</v>
      </c>
      <c r="B36" s="617" t="s">
        <v>89</v>
      </c>
      <c r="C36" s="615" t="s">
        <v>90</v>
      </c>
      <c r="D36" s="135" t="s">
        <v>8</v>
      </c>
      <c r="E36" s="622" t="n">
        <v>41736</v>
      </c>
      <c r="F36" s="137" t="s">
        <v>52</v>
      </c>
    </row>
    <row r="37" customFormat="false" ht="23.25" hidden="false" customHeight="true" outlineLevel="0" collapsed="false">
      <c r="A37" s="592" t="n">
        <v>2011</v>
      </c>
      <c r="B37" s="617" t="s">
        <v>91</v>
      </c>
      <c r="C37" s="615" t="s">
        <v>92</v>
      </c>
      <c r="D37" s="135" t="s">
        <v>8</v>
      </c>
      <c r="E37" s="622" t="n">
        <v>41865</v>
      </c>
      <c r="F37" s="137" t="s">
        <v>20</v>
      </c>
    </row>
    <row r="38" customFormat="false" ht="12.75" hidden="false" customHeight="true" outlineLevel="0" collapsed="false">
      <c r="A38" s="592" t="n">
        <v>2012</v>
      </c>
      <c r="B38" s="639" t="s">
        <v>96</v>
      </c>
      <c r="C38" s="640" t="s">
        <v>97</v>
      </c>
      <c r="D38" s="604" t="s">
        <v>8</v>
      </c>
      <c r="E38" s="641" t="n">
        <v>2014</v>
      </c>
      <c r="F38" s="606" t="s">
        <v>9</v>
      </c>
    </row>
    <row r="39" customFormat="false" ht="23.25" hidden="false" customHeight="true" outlineLevel="0" collapsed="false">
      <c r="A39" s="592" t="n">
        <v>4004</v>
      </c>
      <c r="B39" s="624" t="s">
        <v>98</v>
      </c>
      <c r="C39" s="625" t="s">
        <v>99</v>
      </c>
      <c r="D39" s="135" t="s">
        <v>8</v>
      </c>
      <c r="E39" s="622" t="n">
        <v>40861</v>
      </c>
      <c r="F39" s="137" t="s">
        <v>12</v>
      </c>
    </row>
    <row r="40" customFormat="false" ht="23.25" hidden="false" customHeight="true" outlineLevel="0" collapsed="false">
      <c r="A40" s="592" t="n">
        <v>3011</v>
      </c>
      <c r="B40" s="615" t="s">
        <v>100</v>
      </c>
      <c r="C40" s="615" t="s">
        <v>78</v>
      </c>
      <c r="D40" s="135" t="s">
        <v>8</v>
      </c>
      <c r="E40" s="622" t="n">
        <v>41255</v>
      </c>
      <c r="F40" s="137" t="s">
        <v>34</v>
      </c>
    </row>
    <row r="41" customFormat="false" ht="12.75" hidden="false" customHeight="true" outlineLevel="0" collapsed="false">
      <c r="A41" s="592" t="n">
        <v>4005</v>
      </c>
      <c r="B41" s="610" t="s">
        <v>104</v>
      </c>
      <c r="C41" s="611" t="s">
        <v>105</v>
      </c>
      <c r="D41" s="612" t="s">
        <v>8</v>
      </c>
      <c r="E41" s="632" t="n">
        <v>2011</v>
      </c>
      <c r="F41" s="614" t="s">
        <v>9</v>
      </c>
    </row>
    <row r="42" customFormat="false" ht="23.25" hidden="false" customHeight="true" outlineLevel="0" collapsed="false">
      <c r="A42" s="592" t="n">
        <v>3012</v>
      </c>
      <c r="B42" s="603" t="s">
        <v>108</v>
      </c>
      <c r="C42" s="603" t="s">
        <v>109</v>
      </c>
      <c r="D42" s="604" t="s">
        <v>26</v>
      </c>
      <c r="E42" s="609" t="n">
        <v>41484</v>
      </c>
      <c r="F42" s="606" t="s">
        <v>52</v>
      </c>
    </row>
    <row r="43" customFormat="false" ht="23.25" hidden="false" customHeight="true" outlineLevel="0" collapsed="false">
      <c r="A43" s="592" t="n">
        <v>3013</v>
      </c>
      <c r="B43" s="615" t="s">
        <v>110</v>
      </c>
      <c r="C43" s="615" t="s">
        <v>14</v>
      </c>
      <c r="D43" s="135" t="s">
        <v>8</v>
      </c>
      <c r="E43" s="622" t="n">
        <v>41304</v>
      </c>
      <c r="F43" s="137" t="s">
        <v>52</v>
      </c>
    </row>
    <row r="44" customFormat="false" ht="12.75" hidden="false" customHeight="true" outlineLevel="0" collapsed="false">
      <c r="A44" s="592" t="n">
        <v>3014</v>
      </c>
      <c r="B44" s="594" t="s">
        <v>111</v>
      </c>
      <c r="C44" s="594" t="s">
        <v>112</v>
      </c>
      <c r="D44" s="135" t="s">
        <v>8</v>
      </c>
      <c r="E44" s="601" t="n">
        <v>2012</v>
      </c>
      <c r="F44" s="137" t="s">
        <v>9</v>
      </c>
    </row>
    <row r="45" customFormat="false" ht="12.75" hidden="false" customHeight="true" outlineLevel="0" collapsed="false">
      <c r="A45" s="592" t="n">
        <v>2013</v>
      </c>
      <c r="B45" s="593" t="s">
        <v>115</v>
      </c>
      <c r="C45" s="594" t="s">
        <v>116</v>
      </c>
      <c r="D45" s="135" t="s">
        <v>8</v>
      </c>
      <c r="E45" s="601" t="n">
        <v>2015</v>
      </c>
      <c r="F45" s="137" t="s">
        <v>9</v>
      </c>
    </row>
    <row r="46" customFormat="false" ht="23.25" hidden="false" customHeight="true" outlineLevel="0" collapsed="false">
      <c r="A46" s="592" t="n">
        <v>3015</v>
      </c>
      <c r="B46" s="615" t="s">
        <v>117</v>
      </c>
      <c r="C46" s="615" t="s">
        <v>118</v>
      </c>
      <c r="D46" s="135" t="s">
        <v>8</v>
      </c>
      <c r="E46" s="622" t="n">
        <v>41143</v>
      </c>
      <c r="F46" s="137" t="s">
        <v>119</v>
      </c>
    </row>
    <row r="47" customFormat="false" ht="12.75" hidden="false" customHeight="true" outlineLevel="0" collapsed="false">
      <c r="A47" s="592" t="n">
        <v>3167</v>
      </c>
      <c r="B47" s="44" t="s">
        <v>117</v>
      </c>
      <c r="C47" s="44" t="s">
        <v>118</v>
      </c>
      <c r="D47" s="135" t="s">
        <v>8</v>
      </c>
      <c r="E47" s="136" t="n">
        <v>41143</v>
      </c>
      <c r="F47" s="137" t="s">
        <v>119</v>
      </c>
      <c r="L47" s="629"/>
    </row>
    <row r="48" customFormat="false" ht="23.25" hidden="false" customHeight="true" outlineLevel="0" collapsed="false">
      <c r="A48" s="592" t="n">
        <v>3016</v>
      </c>
      <c r="B48" s="620" t="s">
        <v>122</v>
      </c>
      <c r="C48" s="620" t="s">
        <v>123</v>
      </c>
      <c r="D48" s="612" t="s">
        <v>8</v>
      </c>
      <c r="E48" s="642" t="n">
        <v>41045</v>
      </c>
      <c r="F48" s="614" t="s">
        <v>52</v>
      </c>
    </row>
    <row r="49" customFormat="false" ht="12.75" hidden="false" customHeight="true" outlineLevel="0" collapsed="false">
      <c r="A49" s="592" t="n">
        <v>1009</v>
      </c>
      <c r="B49" s="593" t="s">
        <v>126</v>
      </c>
      <c r="C49" s="594" t="s">
        <v>127</v>
      </c>
      <c r="D49" s="135" t="s">
        <v>8</v>
      </c>
      <c r="E49" s="601" t="n">
        <v>2018</v>
      </c>
      <c r="F49" s="137" t="s">
        <v>9</v>
      </c>
    </row>
    <row r="50" customFormat="false" ht="23.25" hidden="false" customHeight="true" outlineLevel="0" collapsed="false">
      <c r="A50" s="592" t="n">
        <v>4006</v>
      </c>
      <c r="B50" s="643" t="s">
        <v>128</v>
      </c>
      <c r="C50" s="644" t="s">
        <v>31</v>
      </c>
      <c r="D50" s="612" t="s">
        <v>8</v>
      </c>
      <c r="E50" s="642" t="n">
        <v>40026</v>
      </c>
      <c r="F50" s="614" t="s">
        <v>129</v>
      </c>
    </row>
    <row r="51" customFormat="false" ht="23.25" hidden="false" customHeight="true" outlineLevel="0" collapsed="false">
      <c r="A51" s="592" t="n">
        <v>4007</v>
      </c>
      <c r="B51" s="593" t="s">
        <v>130</v>
      </c>
      <c r="C51" s="594" t="s">
        <v>61</v>
      </c>
      <c r="D51" s="135" t="s">
        <v>8</v>
      </c>
      <c r="E51" s="622" t="n">
        <v>39666</v>
      </c>
      <c r="F51" s="137" t="s">
        <v>129</v>
      </c>
    </row>
    <row r="52" customFormat="false" ht="23.25" hidden="false" customHeight="true" outlineLevel="0" collapsed="false">
      <c r="A52" s="592" t="n">
        <v>4008</v>
      </c>
      <c r="B52" s="645" t="s">
        <v>131</v>
      </c>
      <c r="C52" s="621" t="s">
        <v>132</v>
      </c>
      <c r="D52" s="135" t="s">
        <v>8</v>
      </c>
      <c r="E52" s="622" t="n">
        <v>39580</v>
      </c>
      <c r="F52" s="137" t="s">
        <v>17</v>
      </c>
    </row>
    <row r="53" customFormat="false" ht="23.25" hidden="false" customHeight="true" outlineLevel="0" collapsed="false">
      <c r="A53" s="592" t="n">
        <v>2014</v>
      </c>
      <c r="B53" s="617" t="s">
        <v>133</v>
      </c>
      <c r="C53" s="615" t="s">
        <v>134</v>
      </c>
      <c r="D53" s="135" t="s">
        <v>8</v>
      </c>
      <c r="E53" s="622" t="n">
        <v>41684</v>
      </c>
      <c r="F53" s="137" t="s">
        <v>52</v>
      </c>
    </row>
    <row r="54" customFormat="false" ht="13.5" hidden="false" customHeight="true" outlineLevel="0" collapsed="false">
      <c r="A54" s="592" t="n">
        <v>4009</v>
      </c>
      <c r="B54" s="202" t="s">
        <v>135</v>
      </c>
      <c r="C54" s="202" t="s">
        <v>136</v>
      </c>
      <c r="D54" s="135" t="s">
        <v>8</v>
      </c>
      <c r="E54" s="646" t="n">
        <v>40330</v>
      </c>
      <c r="F54" s="137" t="s">
        <v>29</v>
      </c>
    </row>
    <row r="55" customFormat="false" ht="23.25" hidden="false" customHeight="true" outlineLevel="0" collapsed="false">
      <c r="A55" s="592" t="n">
        <v>1010</v>
      </c>
      <c r="B55" s="602" t="s">
        <v>137</v>
      </c>
      <c r="C55" s="603" t="s">
        <v>138</v>
      </c>
      <c r="D55" s="604" t="s">
        <v>8</v>
      </c>
      <c r="E55" s="605" t="n">
        <v>42407</v>
      </c>
      <c r="F55" s="606" t="s">
        <v>34</v>
      </c>
    </row>
    <row r="56" customFormat="false" ht="23.25" hidden="false" customHeight="true" outlineLevel="0" collapsed="false">
      <c r="A56" s="592" t="n">
        <v>1011</v>
      </c>
      <c r="B56" s="593" t="s">
        <v>139</v>
      </c>
      <c r="C56" s="594" t="s">
        <v>140</v>
      </c>
      <c r="D56" s="135" t="s">
        <v>8</v>
      </c>
      <c r="E56" s="618" t="n">
        <v>42580</v>
      </c>
      <c r="F56" s="137" t="s">
        <v>29</v>
      </c>
    </row>
    <row r="57" customFormat="false" ht="23.25" hidden="false" customHeight="true" outlineLevel="0" collapsed="false">
      <c r="A57" s="592" t="n">
        <v>2015</v>
      </c>
      <c r="B57" s="617" t="s">
        <v>141</v>
      </c>
      <c r="C57" s="615" t="s">
        <v>142</v>
      </c>
      <c r="D57" s="135" t="s">
        <v>26</v>
      </c>
      <c r="E57" s="622" t="s">
        <v>1433</v>
      </c>
      <c r="F57" s="137" t="s">
        <v>143</v>
      </c>
    </row>
    <row r="58" customFormat="false" ht="23.25" hidden="false" customHeight="true" outlineLevel="0" collapsed="false">
      <c r="A58" s="592" t="n">
        <v>1012</v>
      </c>
      <c r="B58" s="617" t="s">
        <v>145</v>
      </c>
      <c r="C58" s="615" t="s">
        <v>43</v>
      </c>
      <c r="D58" s="135" t="s">
        <v>8</v>
      </c>
      <c r="E58" s="618" t="s">
        <v>1434</v>
      </c>
      <c r="F58" s="137" t="s">
        <v>143</v>
      </c>
    </row>
    <row r="59" customFormat="false" ht="23.25" hidden="false" customHeight="true" outlineLevel="0" collapsed="false">
      <c r="A59" s="592" t="n">
        <v>3017</v>
      </c>
      <c r="B59" s="615" t="s">
        <v>146</v>
      </c>
      <c r="C59" s="615" t="s">
        <v>147</v>
      </c>
      <c r="D59" s="135" t="s">
        <v>26</v>
      </c>
      <c r="E59" s="622" t="n">
        <v>41002</v>
      </c>
      <c r="F59" s="137" t="s">
        <v>34</v>
      </c>
    </row>
    <row r="60" customFormat="false" ht="23.25" hidden="false" customHeight="true" outlineLevel="0" collapsed="false">
      <c r="A60" s="592" t="n">
        <v>1013</v>
      </c>
      <c r="B60" s="245" t="s">
        <v>148</v>
      </c>
      <c r="C60" s="202" t="s">
        <v>149</v>
      </c>
      <c r="D60" s="135"/>
      <c r="E60" s="618" t="n">
        <v>43743</v>
      </c>
      <c r="F60" s="137" t="s">
        <v>29</v>
      </c>
    </row>
    <row r="61" customFormat="false" ht="23.25" hidden="false" customHeight="true" outlineLevel="0" collapsed="false">
      <c r="A61" s="592" t="n">
        <v>2008</v>
      </c>
      <c r="B61" s="617" t="s">
        <v>150</v>
      </c>
      <c r="C61" s="615" t="s">
        <v>151</v>
      </c>
      <c r="D61" s="135" t="s">
        <v>8</v>
      </c>
      <c r="E61" s="622" t="n">
        <v>41693</v>
      </c>
      <c r="F61" s="137" t="s">
        <v>34</v>
      </c>
    </row>
    <row r="62" customFormat="false" ht="23.25" hidden="false" customHeight="true" outlineLevel="0" collapsed="false">
      <c r="A62" s="592" t="n">
        <v>3018</v>
      </c>
      <c r="B62" s="603" t="s">
        <v>152</v>
      </c>
      <c r="C62" s="603" t="s">
        <v>153</v>
      </c>
      <c r="D62" s="604" t="s">
        <v>8</v>
      </c>
      <c r="E62" s="609" t="n">
        <v>41607</v>
      </c>
      <c r="F62" s="606" t="s">
        <v>52</v>
      </c>
    </row>
    <row r="63" customFormat="false" ht="23.25" hidden="false" customHeight="true" outlineLevel="0" collapsed="false">
      <c r="A63" s="592" t="n">
        <v>2016</v>
      </c>
      <c r="B63" s="617" t="s">
        <v>156</v>
      </c>
      <c r="C63" s="615" t="s">
        <v>157</v>
      </c>
      <c r="D63" s="135" t="s">
        <v>8</v>
      </c>
      <c r="E63" s="622" t="n">
        <v>41739</v>
      </c>
      <c r="F63" s="137" t="s">
        <v>34</v>
      </c>
    </row>
    <row r="64" customFormat="false" ht="23.25" hidden="false" customHeight="true" outlineLevel="0" collapsed="false">
      <c r="A64" s="592" t="n">
        <v>2017</v>
      </c>
      <c r="B64" s="624" t="s">
        <v>162</v>
      </c>
      <c r="C64" s="625" t="s">
        <v>163</v>
      </c>
      <c r="D64" s="135" t="s">
        <v>8</v>
      </c>
      <c r="E64" s="622" t="n">
        <v>41747</v>
      </c>
      <c r="F64" s="137" t="s">
        <v>12</v>
      </c>
    </row>
    <row r="65" customFormat="false" ht="23.25" hidden="false" customHeight="true" outlineLevel="0" collapsed="false">
      <c r="A65" s="592" t="n">
        <v>2018</v>
      </c>
      <c r="B65" s="647" t="s">
        <v>164</v>
      </c>
      <c r="C65" s="648" t="s">
        <v>165</v>
      </c>
      <c r="D65" s="598" t="s">
        <v>8</v>
      </c>
      <c r="E65" s="628" t="n">
        <v>42326</v>
      </c>
      <c r="F65" s="600" t="s">
        <v>34</v>
      </c>
    </row>
    <row r="66" customFormat="false" ht="12.75" hidden="false" customHeight="true" outlineLevel="0" collapsed="false">
      <c r="A66" s="592" t="n">
        <v>3160</v>
      </c>
      <c r="B66" s="640" t="s">
        <v>168</v>
      </c>
      <c r="C66" s="640" t="s">
        <v>169</v>
      </c>
      <c r="D66" s="604" t="s">
        <v>8</v>
      </c>
      <c r="E66" s="649" t="n">
        <v>40949</v>
      </c>
      <c r="F66" s="650" t="s">
        <v>129</v>
      </c>
    </row>
    <row r="67" customFormat="false" ht="23.25" hidden="false" customHeight="true" outlineLevel="0" collapsed="false">
      <c r="A67" s="592" t="n">
        <v>3019</v>
      </c>
      <c r="B67" s="615" t="s">
        <v>172</v>
      </c>
      <c r="C67" s="615" t="s">
        <v>132</v>
      </c>
      <c r="D67" s="135" t="s">
        <v>8</v>
      </c>
      <c r="E67" s="622" t="n">
        <v>41562</v>
      </c>
      <c r="F67" s="137" t="s">
        <v>119</v>
      </c>
    </row>
    <row r="68" customFormat="false" ht="23.25" hidden="false" customHeight="true" outlineLevel="0" collapsed="false">
      <c r="A68" s="592" t="n">
        <v>2019</v>
      </c>
      <c r="B68" s="647" t="s">
        <v>173</v>
      </c>
      <c r="C68" s="648" t="s">
        <v>123</v>
      </c>
      <c r="D68" s="598" t="s">
        <v>8</v>
      </c>
      <c r="E68" s="628" t="n">
        <v>41863</v>
      </c>
      <c r="F68" s="600" t="s">
        <v>20</v>
      </c>
    </row>
    <row r="69" customFormat="false" ht="23.25" hidden="false" customHeight="true" outlineLevel="0" collapsed="false">
      <c r="A69" s="592" t="n">
        <v>1014</v>
      </c>
      <c r="B69" s="617" t="s">
        <v>174</v>
      </c>
      <c r="C69" s="615" t="s">
        <v>14</v>
      </c>
      <c r="D69" s="135" t="s">
        <v>8</v>
      </c>
      <c r="E69" s="618" t="s">
        <v>1435</v>
      </c>
      <c r="F69" s="137" t="s">
        <v>143</v>
      </c>
    </row>
    <row r="70" customFormat="false" ht="23.25" hidden="false" customHeight="true" outlineLevel="0" collapsed="false">
      <c r="A70" s="592" t="n">
        <v>3020</v>
      </c>
      <c r="B70" s="615" t="s">
        <v>178</v>
      </c>
      <c r="C70" s="615" t="s">
        <v>179</v>
      </c>
      <c r="D70" s="135" t="s">
        <v>8</v>
      </c>
      <c r="E70" s="622" t="s">
        <v>1436</v>
      </c>
      <c r="F70" s="137" t="s">
        <v>143</v>
      </c>
    </row>
    <row r="71" customFormat="false" ht="23.25" hidden="false" customHeight="true" outlineLevel="0" collapsed="false">
      <c r="A71" s="592" t="n">
        <v>2020</v>
      </c>
      <c r="B71" s="617" t="s">
        <v>182</v>
      </c>
      <c r="C71" s="615" t="s">
        <v>183</v>
      </c>
      <c r="D71" s="135" t="s">
        <v>26</v>
      </c>
      <c r="E71" s="622" t="n">
        <v>42119</v>
      </c>
      <c r="F71" s="137" t="s">
        <v>52</v>
      </c>
    </row>
    <row r="72" customFormat="false" ht="12.75" hidden="false" customHeight="true" outlineLevel="0" collapsed="false">
      <c r="A72" s="592" t="n">
        <v>2021</v>
      </c>
      <c r="B72" s="639" t="s">
        <v>184</v>
      </c>
      <c r="C72" s="640" t="s">
        <v>185</v>
      </c>
      <c r="D72" s="604" t="s">
        <v>8</v>
      </c>
      <c r="E72" s="649" t="n">
        <v>41783</v>
      </c>
      <c r="F72" s="606" t="s">
        <v>9</v>
      </c>
    </row>
    <row r="73" customFormat="false" ht="12.75" hidden="false" customHeight="true" outlineLevel="0" collapsed="false">
      <c r="A73" s="592" t="n">
        <v>3021</v>
      </c>
      <c r="B73" s="594" t="s">
        <v>184</v>
      </c>
      <c r="C73" s="594" t="s">
        <v>187</v>
      </c>
      <c r="D73" s="135" t="s">
        <v>8</v>
      </c>
      <c r="E73" s="595" t="n">
        <v>41118</v>
      </c>
      <c r="F73" s="137" t="s">
        <v>9</v>
      </c>
    </row>
    <row r="74" customFormat="false" ht="12.75" hidden="false" customHeight="true" outlineLevel="0" collapsed="false">
      <c r="A74" s="592" t="n">
        <v>1071</v>
      </c>
      <c r="B74" s="617" t="s">
        <v>1437</v>
      </c>
      <c r="C74" s="633" t="s">
        <v>189</v>
      </c>
      <c r="D74" s="135" t="s">
        <v>8</v>
      </c>
      <c r="E74" s="651" t="s">
        <v>1438</v>
      </c>
      <c r="F74" s="137" t="s">
        <v>29</v>
      </c>
    </row>
    <row r="75" customFormat="false" ht="12.75" hidden="false" customHeight="true" outlineLevel="0" collapsed="false">
      <c r="A75" s="592" t="n">
        <v>4010</v>
      </c>
      <c r="B75" s="624" t="s">
        <v>192</v>
      </c>
      <c r="C75" s="625" t="s">
        <v>193</v>
      </c>
      <c r="D75" s="135" t="s">
        <v>8</v>
      </c>
      <c r="E75" s="601" t="n">
        <v>2009</v>
      </c>
      <c r="F75" s="137" t="s">
        <v>9</v>
      </c>
    </row>
    <row r="76" customFormat="false" ht="23.25" hidden="false" customHeight="true" outlineLevel="0" collapsed="false">
      <c r="A76" s="592" t="n">
        <v>3022</v>
      </c>
      <c r="B76" s="620" t="s">
        <v>194</v>
      </c>
      <c r="C76" s="620" t="s">
        <v>195</v>
      </c>
      <c r="D76" s="612" t="s">
        <v>8</v>
      </c>
      <c r="E76" s="642" t="n">
        <v>41482</v>
      </c>
      <c r="F76" s="614" t="s">
        <v>52</v>
      </c>
    </row>
    <row r="77" customFormat="false" ht="23.25" hidden="false" customHeight="true" outlineLevel="0" collapsed="false">
      <c r="A77" s="592" t="n">
        <v>4011</v>
      </c>
      <c r="B77" s="607" t="s">
        <v>196</v>
      </c>
      <c r="C77" s="608" t="s">
        <v>51</v>
      </c>
      <c r="D77" s="604" t="s">
        <v>26</v>
      </c>
      <c r="E77" s="609" t="n">
        <v>40602</v>
      </c>
      <c r="F77" s="606" t="s">
        <v>34</v>
      </c>
    </row>
    <row r="78" customFormat="false" ht="12.75" hidden="false" customHeight="true" outlineLevel="0" collapsed="false">
      <c r="A78" s="592" t="n">
        <v>1015</v>
      </c>
      <c r="B78" s="593" t="s">
        <v>198</v>
      </c>
      <c r="C78" s="594" t="s">
        <v>199</v>
      </c>
      <c r="D78" s="135" t="s">
        <v>8</v>
      </c>
      <c r="E78" s="601" t="n">
        <v>2018</v>
      </c>
      <c r="F78" s="137" t="s">
        <v>9</v>
      </c>
    </row>
    <row r="79" customFormat="false" ht="23.25" hidden="false" customHeight="true" outlineLevel="0" collapsed="false">
      <c r="A79" s="592" t="n">
        <v>3023</v>
      </c>
      <c r="B79" s="620" t="s">
        <v>202</v>
      </c>
      <c r="C79" s="620" t="s">
        <v>203</v>
      </c>
      <c r="D79" s="612" t="s">
        <v>26</v>
      </c>
      <c r="E79" s="642" t="n">
        <v>41283</v>
      </c>
      <c r="F79" s="614" t="s">
        <v>52</v>
      </c>
    </row>
    <row r="80" customFormat="false" ht="12.75" hidden="false" customHeight="true" outlineLevel="0" collapsed="false">
      <c r="A80" s="592" t="n">
        <v>2205</v>
      </c>
      <c r="B80" s="593" t="s">
        <v>208</v>
      </c>
      <c r="C80" s="594" t="s">
        <v>79</v>
      </c>
      <c r="D80" s="135"/>
      <c r="E80" s="652" t="n">
        <v>41834</v>
      </c>
      <c r="F80" s="228" t="s">
        <v>12</v>
      </c>
    </row>
    <row r="81" customFormat="false" ht="12.75" hidden="false" customHeight="true" outlineLevel="0" collapsed="false">
      <c r="A81" s="592" t="n">
        <v>2022</v>
      </c>
      <c r="B81" s="593" t="s">
        <v>209</v>
      </c>
      <c r="C81" s="594" t="s">
        <v>210</v>
      </c>
      <c r="D81" s="135" t="s">
        <v>8</v>
      </c>
      <c r="E81" s="595" t="n">
        <v>42048</v>
      </c>
      <c r="F81" s="137" t="s">
        <v>9</v>
      </c>
    </row>
    <row r="82" customFormat="false" ht="23.25" hidden="false" customHeight="true" outlineLevel="0" collapsed="false">
      <c r="A82" s="592" t="n">
        <v>3024</v>
      </c>
      <c r="B82" s="597" t="s">
        <v>211</v>
      </c>
      <c r="C82" s="597" t="s">
        <v>94</v>
      </c>
      <c r="D82" s="598" t="s">
        <v>8</v>
      </c>
      <c r="E82" s="628" t="n">
        <v>41351</v>
      </c>
      <c r="F82" s="600" t="s">
        <v>29</v>
      </c>
    </row>
    <row r="83" customFormat="false" ht="13.5" hidden="false" customHeight="true" outlineLevel="0" collapsed="false">
      <c r="A83" s="592" t="n">
        <v>4012</v>
      </c>
      <c r="B83" s="653" t="s">
        <v>212</v>
      </c>
      <c r="C83" s="653" t="s">
        <v>112</v>
      </c>
      <c r="D83" s="598" t="s">
        <v>8</v>
      </c>
      <c r="E83" s="654" t="n">
        <v>39085</v>
      </c>
      <c r="F83" s="600" t="s">
        <v>29</v>
      </c>
    </row>
    <row r="84" customFormat="false" ht="12.75" hidden="false" customHeight="true" outlineLevel="0" collapsed="false">
      <c r="A84" s="592" t="n">
        <v>1016</v>
      </c>
      <c r="B84" s="596" t="s">
        <v>220</v>
      </c>
      <c r="C84" s="597" t="s">
        <v>221</v>
      </c>
      <c r="D84" s="598" t="s">
        <v>8</v>
      </c>
      <c r="E84" s="655" t="n">
        <v>2018</v>
      </c>
      <c r="F84" s="600" t="s">
        <v>9</v>
      </c>
    </row>
    <row r="85" customFormat="false" ht="12.75" hidden="false" customHeight="true" outlineLevel="0" collapsed="false">
      <c r="A85" s="592" t="n">
        <v>1017</v>
      </c>
      <c r="B85" s="610" t="s">
        <v>220</v>
      </c>
      <c r="C85" s="611" t="s">
        <v>222</v>
      </c>
      <c r="D85" s="612" t="s">
        <v>8</v>
      </c>
      <c r="E85" s="632" t="n">
        <v>2018</v>
      </c>
      <c r="F85" s="600" t="s">
        <v>9</v>
      </c>
      <c r="I85" s="656"/>
      <c r="J85" s="656"/>
      <c r="K85" s="656"/>
      <c r="L85" s="656"/>
      <c r="M85" s="656"/>
      <c r="N85" s="656"/>
    </row>
    <row r="86" customFormat="false" ht="23.25" hidden="false" customHeight="true" outlineLevel="0" collapsed="false">
      <c r="A86" s="592" t="n">
        <v>1018</v>
      </c>
      <c r="B86" s="593" t="s">
        <v>223</v>
      </c>
      <c r="C86" s="594" t="s">
        <v>224</v>
      </c>
      <c r="D86" s="135" t="s">
        <v>26</v>
      </c>
      <c r="E86" s="618" t="n">
        <v>42620</v>
      </c>
      <c r="F86" s="137" t="s">
        <v>29</v>
      </c>
      <c r="I86" s="656"/>
      <c r="J86" s="656"/>
      <c r="K86" s="656"/>
      <c r="L86" s="656"/>
      <c r="M86" s="656"/>
      <c r="N86" s="656"/>
    </row>
    <row r="87" customFormat="false" ht="13.5" hidden="false" customHeight="true" outlineLevel="0" collapsed="false">
      <c r="A87" s="592" t="n">
        <v>4013</v>
      </c>
      <c r="B87" s="637" t="s">
        <v>227</v>
      </c>
      <c r="C87" s="637" t="s">
        <v>228</v>
      </c>
      <c r="D87" s="604" t="s">
        <v>8</v>
      </c>
      <c r="E87" s="638" t="n">
        <v>40560</v>
      </c>
      <c r="F87" s="606" t="s">
        <v>29</v>
      </c>
    </row>
    <row r="88" customFormat="false" ht="23.25" hidden="false" customHeight="true" outlineLevel="0" collapsed="false">
      <c r="A88" s="592" t="n">
        <v>3025</v>
      </c>
      <c r="B88" s="603" t="s">
        <v>230</v>
      </c>
      <c r="C88" s="603" t="s">
        <v>75</v>
      </c>
      <c r="D88" s="604" t="s">
        <v>8</v>
      </c>
      <c r="E88" s="609" t="n">
        <v>41424</v>
      </c>
      <c r="F88" s="606" t="s">
        <v>52</v>
      </c>
    </row>
    <row r="89" customFormat="false" ht="12.75" hidden="false" customHeight="true" outlineLevel="0" collapsed="false">
      <c r="A89" s="592" t="n">
        <v>4014</v>
      </c>
      <c r="B89" s="624" t="s">
        <v>231</v>
      </c>
      <c r="C89" s="625" t="s">
        <v>222</v>
      </c>
      <c r="D89" s="135" t="s">
        <v>8</v>
      </c>
      <c r="E89" s="601" t="n">
        <v>2008</v>
      </c>
      <c r="F89" s="137" t="s">
        <v>9</v>
      </c>
    </row>
    <row r="90" customFormat="false" ht="12.75" hidden="false" customHeight="true" outlineLevel="0" collapsed="false">
      <c r="A90" s="592" t="n">
        <v>4015</v>
      </c>
      <c r="B90" s="624" t="s">
        <v>232</v>
      </c>
      <c r="C90" s="625" t="s">
        <v>233</v>
      </c>
      <c r="D90" s="135" t="s">
        <v>8</v>
      </c>
      <c r="E90" s="601" t="n">
        <v>2011</v>
      </c>
      <c r="F90" s="137" t="s">
        <v>9</v>
      </c>
    </row>
    <row r="91" customFormat="false" ht="23.25" hidden="false" customHeight="true" outlineLevel="0" collapsed="false">
      <c r="A91" s="592" t="n">
        <v>3026</v>
      </c>
      <c r="B91" s="603" t="s">
        <v>236</v>
      </c>
      <c r="C91" s="603" t="s">
        <v>237</v>
      </c>
      <c r="D91" s="604" t="s">
        <v>8</v>
      </c>
      <c r="E91" s="609" t="n">
        <v>41103</v>
      </c>
      <c r="F91" s="606" t="s">
        <v>34</v>
      </c>
    </row>
    <row r="92" customFormat="false" ht="23.25" hidden="false" customHeight="true" outlineLevel="0" collapsed="false">
      <c r="A92" s="592" t="n">
        <v>2023</v>
      </c>
      <c r="B92" s="593" t="s">
        <v>240</v>
      </c>
      <c r="C92" s="594" t="s">
        <v>239</v>
      </c>
      <c r="D92" s="135" t="s">
        <v>8</v>
      </c>
      <c r="E92" s="622" t="n">
        <v>41910</v>
      </c>
      <c r="F92" s="137" t="s">
        <v>12</v>
      </c>
    </row>
    <row r="93" customFormat="false" ht="12.75" hidden="false" customHeight="true" outlineLevel="0" collapsed="false">
      <c r="A93" s="592" t="n">
        <v>3027</v>
      </c>
      <c r="B93" s="611" t="s">
        <v>243</v>
      </c>
      <c r="C93" s="611" t="s">
        <v>244</v>
      </c>
      <c r="D93" s="612" t="s">
        <v>8</v>
      </c>
      <c r="E93" s="632" t="n">
        <v>2012</v>
      </c>
      <c r="F93" s="614" t="s">
        <v>9</v>
      </c>
    </row>
    <row r="94" customFormat="false" ht="23.25" hidden="false" customHeight="true" outlineLevel="0" collapsed="false">
      <c r="A94" s="592" t="n">
        <v>4016</v>
      </c>
      <c r="B94" s="657" t="s">
        <v>245</v>
      </c>
      <c r="C94" s="658" t="s">
        <v>246</v>
      </c>
      <c r="D94" s="604" t="s">
        <v>8</v>
      </c>
      <c r="E94" s="609" t="n">
        <v>40525</v>
      </c>
      <c r="F94" s="606" t="s">
        <v>29</v>
      </c>
    </row>
    <row r="95" customFormat="false" ht="23.25" hidden="false" customHeight="true" outlineLevel="0" collapsed="false">
      <c r="A95" s="592" t="n">
        <v>2024</v>
      </c>
      <c r="B95" s="617" t="s">
        <v>247</v>
      </c>
      <c r="C95" s="615" t="s">
        <v>215</v>
      </c>
      <c r="D95" s="135" t="s">
        <v>8</v>
      </c>
      <c r="E95" s="622" t="n">
        <v>41985</v>
      </c>
      <c r="F95" s="137" t="s">
        <v>52</v>
      </c>
    </row>
    <row r="96" customFormat="false" ht="23.25" hidden="false" customHeight="true" outlineLevel="0" collapsed="false">
      <c r="A96" s="592" t="n">
        <v>4018</v>
      </c>
      <c r="B96" s="645" t="s">
        <v>248</v>
      </c>
      <c r="C96" s="621" t="s">
        <v>14</v>
      </c>
      <c r="D96" s="135" t="s">
        <v>8</v>
      </c>
      <c r="E96" s="622" t="n">
        <v>40626</v>
      </c>
      <c r="F96" s="137" t="s">
        <v>52</v>
      </c>
    </row>
    <row r="97" customFormat="false" ht="23.25" hidden="false" customHeight="true" outlineLevel="0" collapsed="false">
      <c r="A97" s="592" t="n">
        <v>1019</v>
      </c>
      <c r="B97" s="617" t="s">
        <v>249</v>
      </c>
      <c r="C97" s="615" t="s">
        <v>250</v>
      </c>
      <c r="D97" s="135" t="s">
        <v>8</v>
      </c>
      <c r="E97" s="618" t="n">
        <v>43886</v>
      </c>
      <c r="F97" s="137" t="s">
        <v>52</v>
      </c>
    </row>
    <row r="98" customFormat="false" ht="23.25" hidden="false" customHeight="true" outlineLevel="0" collapsed="false">
      <c r="A98" s="592" t="n">
        <v>2207</v>
      </c>
      <c r="B98" s="593" t="s">
        <v>251</v>
      </c>
      <c r="C98" s="594" t="s">
        <v>252</v>
      </c>
      <c r="D98" s="135"/>
      <c r="E98" s="652" t="n">
        <v>41992</v>
      </c>
      <c r="F98" s="228" t="s">
        <v>143</v>
      </c>
    </row>
    <row r="99" customFormat="false" ht="23.25" hidden="false" customHeight="true" outlineLevel="0" collapsed="false">
      <c r="A99" s="592" t="n">
        <v>2025</v>
      </c>
      <c r="B99" s="617" t="s">
        <v>256</v>
      </c>
      <c r="C99" s="615" t="s">
        <v>257</v>
      </c>
      <c r="D99" s="135" t="s">
        <v>26</v>
      </c>
      <c r="E99" s="622" t="n">
        <v>42096</v>
      </c>
      <c r="F99" s="137" t="s">
        <v>34</v>
      </c>
    </row>
    <row r="100" customFormat="false" ht="23.25" hidden="false" customHeight="true" outlineLevel="0" collapsed="false">
      <c r="A100" s="592" t="n">
        <v>3028</v>
      </c>
      <c r="B100" s="603" t="s">
        <v>258</v>
      </c>
      <c r="C100" s="603" t="s">
        <v>259</v>
      </c>
      <c r="D100" s="604" t="s">
        <v>8</v>
      </c>
      <c r="E100" s="609" t="n">
        <v>41543</v>
      </c>
      <c r="F100" s="606" t="s">
        <v>52</v>
      </c>
    </row>
    <row r="101" customFormat="false" ht="13.5" hidden="false" customHeight="true" outlineLevel="0" collapsed="false">
      <c r="A101" s="592" t="n">
        <v>4019</v>
      </c>
      <c r="B101" s="637" t="s">
        <v>261</v>
      </c>
      <c r="C101" s="637" t="s">
        <v>67</v>
      </c>
      <c r="D101" s="604" t="s">
        <v>8</v>
      </c>
      <c r="E101" s="638" t="n">
        <v>40123</v>
      </c>
      <c r="F101" s="606" t="s">
        <v>29</v>
      </c>
    </row>
    <row r="102" customFormat="false" ht="23.25" hidden="false" customHeight="true" outlineLevel="0" collapsed="false">
      <c r="A102" s="592" t="n">
        <v>4020</v>
      </c>
      <c r="B102" s="645" t="s">
        <v>262</v>
      </c>
      <c r="C102" s="621" t="s">
        <v>78</v>
      </c>
      <c r="D102" s="135" t="s">
        <v>8</v>
      </c>
      <c r="E102" s="622" t="n">
        <v>40466</v>
      </c>
      <c r="F102" s="137" t="s">
        <v>17</v>
      </c>
    </row>
    <row r="103" customFormat="false" ht="23.25" hidden="false" customHeight="true" outlineLevel="0" collapsed="false">
      <c r="A103" s="592" t="n">
        <v>4021</v>
      </c>
      <c r="B103" s="645" t="s">
        <v>262</v>
      </c>
      <c r="C103" s="621" t="s">
        <v>263</v>
      </c>
      <c r="D103" s="135" t="s">
        <v>26</v>
      </c>
      <c r="E103" s="622" t="n">
        <v>39281</v>
      </c>
      <c r="F103" s="137" t="s">
        <v>17</v>
      </c>
    </row>
    <row r="104" customFormat="false" ht="12.75" hidden="false" customHeight="true" outlineLevel="0" collapsed="false">
      <c r="A104" s="592" t="n">
        <v>2026</v>
      </c>
      <c r="B104" s="593" t="s">
        <v>264</v>
      </c>
      <c r="C104" s="594" t="s">
        <v>265</v>
      </c>
      <c r="D104" s="135" t="s">
        <v>26</v>
      </c>
      <c r="E104" s="601" t="n">
        <v>2014</v>
      </c>
      <c r="F104" s="137" t="s">
        <v>9</v>
      </c>
    </row>
    <row r="105" customFormat="false" ht="23.25" hidden="false" customHeight="true" outlineLevel="0" collapsed="false">
      <c r="A105" s="592" t="n">
        <v>2027</v>
      </c>
      <c r="B105" s="617" t="s">
        <v>266</v>
      </c>
      <c r="C105" s="615" t="s">
        <v>267</v>
      </c>
      <c r="D105" s="135" t="s">
        <v>8</v>
      </c>
      <c r="E105" s="622" t="n">
        <v>41757</v>
      </c>
      <c r="F105" s="137" t="s">
        <v>34</v>
      </c>
    </row>
    <row r="106" customFormat="false" ht="23.25" hidden="false" customHeight="true" outlineLevel="0" collapsed="false">
      <c r="A106" s="592" t="n">
        <v>2028</v>
      </c>
      <c r="B106" s="619" t="s">
        <v>270</v>
      </c>
      <c r="C106" s="620" t="s">
        <v>271</v>
      </c>
      <c r="D106" s="612" t="s">
        <v>8</v>
      </c>
      <c r="E106" s="642" t="n">
        <v>41739</v>
      </c>
      <c r="F106" s="614" t="s">
        <v>52</v>
      </c>
    </row>
    <row r="107" customFormat="false" ht="23.25" hidden="false" customHeight="true" outlineLevel="0" collapsed="false">
      <c r="A107" s="592" t="n">
        <v>2029</v>
      </c>
      <c r="B107" s="617" t="s">
        <v>272</v>
      </c>
      <c r="C107" s="615" t="s">
        <v>273</v>
      </c>
      <c r="D107" s="135" t="s">
        <v>8</v>
      </c>
      <c r="E107" s="622" t="n">
        <v>42265</v>
      </c>
      <c r="F107" s="137" t="s">
        <v>34</v>
      </c>
    </row>
    <row r="108" customFormat="false" ht="23.25" hidden="false" customHeight="true" outlineLevel="0" collapsed="false">
      <c r="A108" s="592" t="n">
        <v>4022</v>
      </c>
      <c r="B108" s="617" t="s">
        <v>274</v>
      </c>
      <c r="C108" s="615" t="s">
        <v>275</v>
      </c>
      <c r="D108" s="135" t="s">
        <v>8</v>
      </c>
      <c r="E108" s="622" t="n">
        <v>40743</v>
      </c>
      <c r="F108" s="137" t="s">
        <v>129</v>
      </c>
    </row>
    <row r="109" customFormat="false" ht="12.75" hidden="false" customHeight="true" outlineLevel="0" collapsed="false">
      <c r="A109" s="592" t="n">
        <v>2030</v>
      </c>
      <c r="B109" s="593" t="s">
        <v>276</v>
      </c>
      <c r="C109" s="594" t="s">
        <v>215</v>
      </c>
      <c r="D109" s="135" t="s">
        <v>8</v>
      </c>
      <c r="E109" s="601" t="n">
        <v>2014</v>
      </c>
      <c r="F109" s="137" t="s">
        <v>9</v>
      </c>
    </row>
    <row r="110" customFormat="false" ht="23.25" hidden="false" customHeight="true" outlineLevel="0" collapsed="false">
      <c r="A110" s="592" t="n">
        <v>1020</v>
      </c>
      <c r="B110" s="617" t="s">
        <v>277</v>
      </c>
      <c r="C110" s="615" t="s">
        <v>278</v>
      </c>
      <c r="D110" s="135" t="s">
        <v>8</v>
      </c>
      <c r="E110" s="618" t="n">
        <v>42653</v>
      </c>
      <c r="F110" s="137" t="s">
        <v>52</v>
      </c>
    </row>
    <row r="111" customFormat="false" ht="23.25" hidden="false" customHeight="true" outlineLevel="0" collapsed="false">
      <c r="A111" s="592" t="n">
        <v>4128</v>
      </c>
      <c r="B111" s="645" t="s">
        <v>285</v>
      </c>
      <c r="C111" s="621" t="s">
        <v>286</v>
      </c>
      <c r="D111" s="135" t="s">
        <v>26</v>
      </c>
      <c r="E111" s="622" t="n">
        <v>40888</v>
      </c>
      <c r="F111" s="137" t="s">
        <v>34</v>
      </c>
    </row>
    <row r="112" customFormat="false" ht="23.25" hidden="false" customHeight="true" outlineLevel="0" collapsed="false">
      <c r="A112" s="592" t="n">
        <v>2031</v>
      </c>
      <c r="B112" s="617" t="s">
        <v>289</v>
      </c>
      <c r="C112" s="615" t="s">
        <v>290</v>
      </c>
      <c r="D112" s="135" t="s">
        <v>8</v>
      </c>
      <c r="E112" s="622" t="n">
        <v>42014</v>
      </c>
      <c r="F112" s="137" t="s">
        <v>34</v>
      </c>
    </row>
    <row r="113" customFormat="false" ht="12.75" hidden="false" customHeight="true" outlineLevel="0" collapsed="false">
      <c r="A113" s="592" t="n">
        <v>4024</v>
      </c>
      <c r="B113" s="624" t="s">
        <v>295</v>
      </c>
      <c r="C113" s="625" t="s">
        <v>61</v>
      </c>
      <c r="D113" s="135" t="s">
        <v>8</v>
      </c>
      <c r="E113" s="601" t="n">
        <v>2010</v>
      </c>
      <c r="F113" s="137" t="s">
        <v>9</v>
      </c>
    </row>
    <row r="114" customFormat="false" ht="12.75" hidden="false" customHeight="true" outlineLevel="0" collapsed="false">
      <c r="A114" s="592" t="n">
        <v>3029</v>
      </c>
      <c r="B114" s="594" t="s">
        <v>296</v>
      </c>
      <c r="C114" s="594" t="s">
        <v>297</v>
      </c>
      <c r="D114" s="135" t="s">
        <v>8</v>
      </c>
      <c r="E114" s="595" t="n">
        <v>41440</v>
      </c>
      <c r="F114" s="137" t="s">
        <v>9</v>
      </c>
    </row>
    <row r="115" customFormat="false" ht="23.25" hidden="false" customHeight="true" outlineLevel="0" collapsed="false">
      <c r="A115" s="592" t="n">
        <v>3030</v>
      </c>
      <c r="B115" s="615" t="s">
        <v>298</v>
      </c>
      <c r="C115" s="615" t="s">
        <v>299</v>
      </c>
      <c r="D115" s="135" t="s">
        <v>26</v>
      </c>
      <c r="E115" s="622" t="n">
        <v>41563</v>
      </c>
      <c r="F115" s="137" t="s">
        <v>34</v>
      </c>
    </row>
    <row r="116" customFormat="false" ht="23.25" hidden="false" customHeight="true" outlineLevel="0" collapsed="false">
      <c r="A116" s="592" t="n">
        <v>3031</v>
      </c>
      <c r="B116" s="620" t="s">
        <v>298</v>
      </c>
      <c r="C116" s="620" t="s">
        <v>300</v>
      </c>
      <c r="D116" s="612" t="s">
        <v>26</v>
      </c>
      <c r="E116" s="642" t="n">
        <v>41563</v>
      </c>
      <c r="F116" s="614" t="s">
        <v>34</v>
      </c>
    </row>
    <row r="117" customFormat="false" ht="12.75" hidden="false" customHeight="true" outlineLevel="0" collapsed="false">
      <c r="A117" s="592" t="n">
        <v>2124</v>
      </c>
      <c r="B117" s="593" t="s">
        <v>301</v>
      </c>
      <c r="C117" s="594" t="s">
        <v>303</v>
      </c>
      <c r="D117" s="135" t="s">
        <v>8</v>
      </c>
      <c r="E117" s="652" t="n">
        <v>41773</v>
      </c>
      <c r="F117" s="228" t="s">
        <v>129</v>
      </c>
    </row>
    <row r="118" customFormat="false" ht="23.25" hidden="false" customHeight="true" outlineLevel="0" collapsed="false">
      <c r="A118" s="592" t="n">
        <v>3032</v>
      </c>
      <c r="B118" s="615" t="s">
        <v>305</v>
      </c>
      <c r="C118" s="615" t="s">
        <v>16</v>
      </c>
      <c r="D118" s="135" t="s">
        <v>8</v>
      </c>
      <c r="E118" s="622" t="s">
        <v>1439</v>
      </c>
      <c r="F118" s="137" t="s">
        <v>143</v>
      </c>
    </row>
    <row r="119" customFormat="false" ht="23.25" hidden="false" customHeight="true" outlineLevel="0" collapsed="false">
      <c r="A119" s="592" t="n">
        <v>1021</v>
      </c>
      <c r="B119" s="619" t="s">
        <v>306</v>
      </c>
      <c r="C119" s="620" t="s">
        <v>307</v>
      </c>
      <c r="D119" s="612" t="s">
        <v>8</v>
      </c>
      <c r="E119" s="613" t="n">
        <v>43176</v>
      </c>
      <c r="F119" s="614" t="s">
        <v>34</v>
      </c>
    </row>
    <row r="120" customFormat="false" ht="12.75" hidden="false" customHeight="true" outlineLevel="0" collapsed="false">
      <c r="A120" s="592" t="n">
        <v>3033</v>
      </c>
      <c r="B120" s="594" t="s">
        <v>308</v>
      </c>
      <c r="C120" s="594" t="s">
        <v>189</v>
      </c>
      <c r="D120" s="135" t="s">
        <v>8</v>
      </c>
      <c r="E120" s="601" t="n">
        <v>2012</v>
      </c>
      <c r="F120" s="137" t="s">
        <v>9</v>
      </c>
    </row>
    <row r="121" customFormat="false" ht="12.75" hidden="false" customHeight="true" outlineLevel="0" collapsed="false">
      <c r="A121" s="592" t="n">
        <v>3034</v>
      </c>
      <c r="B121" s="594" t="s">
        <v>309</v>
      </c>
      <c r="C121" s="594" t="s">
        <v>241</v>
      </c>
      <c r="D121" s="135" t="s">
        <v>8</v>
      </c>
      <c r="E121" s="601" t="n">
        <v>2013</v>
      </c>
      <c r="F121" s="137" t="s">
        <v>9</v>
      </c>
    </row>
    <row r="122" customFormat="false" ht="12.75" hidden="false" customHeight="true" outlineLevel="0" collapsed="false">
      <c r="A122" s="592" t="n">
        <v>2032</v>
      </c>
      <c r="B122" s="593" t="s">
        <v>1440</v>
      </c>
      <c r="C122" s="594" t="s">
        <v>311</v>
      </c>
      <c r="D122" s="135" t="s">
        <v>8</v>
      </c>
      <c r="E122" s="595" t="n">
        <v>42239</v>
      </c>
      <c r="F122" s="137" t="s">
        <v>9</v>
      </c>
    </row>
    <row r="123" customFormat="false" ht="23.25" hidden="false" customHeight="true" outlineLevel="0" collapsed="false">
      <c r="A123" s="592" t="n">
        <v>2033</v>
      </c>
      <c r="B123" s="617" t="s">
        <v>312</v>
      </c>
      <c r="C123" s="615" t="s">
        <v>78</v>
      </c>
      <c r="D123" s="135" t="s">
        <v>8</v>
      </c>
      <c r="E123" s="622" t="n">
        <v>41676</v>
      </c>
      <c r="F123" s="137" t="s">
        <v>52</v>
      </c>
    </row>
    <row r="124" customFormat="false" ht="23.25" hidden="false" customHeight="true" outlineLevel="0" collapsed="false">
      <c r="A124" s="592" t="n">
        <v>2034</v>
      </c>
      <c r="B124" s="602" t="s">
        <v>317</v>
      </c>
      <c r="C124" s="603" t="s">
        <v>318</v>
      </c>
      <c r="D124" s="604" t="s">
        <v>8</v>
      </c>
      <c r="E124" s="609" t="n">
        <v>41683</v>
      </c>
      <c r="F124" s="606" t="s">
        <v>52</v>
      </c>
    </row>
    <row r="125" customFormat="false" ht="12.75" hidden="false" customHeight="true" outlineLevel="0" collapsed="false">
      <c r="A125" s="592" t="n">
        <v>4025</v>
      </c>
      <c r="B125" s="624" t="s">
        <v>319</v>
      </c>
      <c r="C125" s="625" t="s">
        <v>260</v>
      </c>
      <c r="D125" s="135" t="s">
        <v>8</v>
      </c>
      <c r="E125" s="601" t="n">
        <v>2011</v>
      </c>
      <c r="F125" s="137" t="s">
        <v>9</v>
      </c>
    </row>
    <row r="126" customFormat="false" ht="23.25" hidden="false" customHeight="true" outlineLevel="0" collapsed="false">
      <c r="A126" s="592" t="n">
        <v>4026</v>
      </c>
      <c r="B126" s="645" t="s">
        <v>320</v>
      </c>
      <c r="C126" s="621" t="s">
        <v>321</v>
      </c>
      <c r="D126" s="135" t="s">
        <v>8</v>
      </c>
      <c r="E126" s="622" t="n">
        <v>40331</v>
      </c>
      <c r="F126" s="137" t="s">
        <v>34</v>
      </c>
    </row>
    <row r="127" customFormat="false" ht="23.25" hidden="false" customHeight="true" outlineLevel="0" collapsed="false">
      <c r="A127" s="592" t="n">
        <v>1022</v>
      </c>
      <c r="B127" s="245" t="s">
        <v>322</v>
      </c>
      <c r="C127" s="202" t="s">
        <v>323</v>
      </c>
      <c r="D127" s="135" t="s">
        <v>8</v>
      </c>
      <c r="E127" s="618" t="n">
        <v>42876</v>
      </c>
      <c r="F127" s="137" t="s">
        <v>29</v>
      </c>
    </row>
    <row r="128" customFormat="false" ht="23.25" hidden="false" customHeight="true" outlineLevel="0" collapsed="false">
      <c r="A128" s="592" t="n">
        <v>1023</v>
      </c>
      <c r="B128" s="637" t="s">
        <v>325</v>
      </c>
      <c r="C128" s="659" t="s">
        <v>326</v>
      </c>
      <c r="D128" s="604" t="s">
        <v>26</v>
      </c>
      <c r="E128" s="605" t="n">
        <v>44097</v>
      </c>
      <c r="F128" s="606" t="s">
        <v>29</v>
      </c>
    </row>
    <row r="129" customFormat="false" ht="23.25" hidden="false" customHeight="true" outlineLevel="0" collapsed="false">
      <c r="A129" s="592" t="n">
        <v>1024</v>
      </c>
      <c r="B129" s="245" t="s">
        <v>325</v>
      </c>
      <c r="C129" s="202" t="s">
        <v>327</v>
      </c>
      <c r="D129" s="135" t="s">
        <v>26</v>
      </c>
      <c r="E129" s="618" t="n">
        <v>42481</v>
      </c>
      <c r="F129" s="137" t="s">
        <v>29</v>
      </c>
    </row>
    <row r="130" customFormat="false" ht="12.75" hidden="false" customHeight="true" outlineLevel="0" collapsed="false">
      <c r="A130" s="592" t="n">
        <v>2035</v>
      </c>
      <c r="B130" s="593" t="s">
        <v>329</v>
      </c>
      <c r="C130" s="594" t="s">
        <v>78</v>
      </c>
      <c r="D130" s="135" t="s">
        <v>8</v>
      </c>
      <c r="E130" s="601" t="n">
        <v>2014</v>
      </c>
      <c r="F130" s="137" t="s">
        <v>9</v>
      </c>
    </row>
    <row r="131" customFormat="false" ht="23.25" hidden="false" customHeight="true" outlineLevel="0" collapsed="false">
      <c r="A131" s="592" t="n">
        <v>2036</v>
      </c>
      <c r="B131" s="617" t="s">
        <v>329</v>
      </c>
      <c r="C131" s="615" t="s">
        <v>330</v>
      </c>
      <c r="D131" s="135" t="s">
        <v>26</v>
      </c>
      <c r="E131" s="622" t="s">
        <v>1441</v>
      </c>
      <c r="F131" s="137" t="s">
        <v>143</v>
      </c>
    </row>
    <row r="132" customFormat="false" ht="23.25" hidden="false" customHeight="true" outlineLevel="0" collapsed="false">
      <c r="A132" s="592" t="n">
        <v>3035</v>
      </c>
      <c r="B132" s="608" t="s">
        <v>332</v>
      </c>
      <c r="C132" s="608" t="s">
        <v>333</v>
      </c>
      <c r="D132" s="604" t="s">
        <v>8</v>
      </c>
      <c r="E132" s="609" t="n">
        <v>41522</v>
      </c>
      <c r="F132" s="606" t="s">
        <v>20</v>
      </c>
    </row>
    <row r="133" customFormat="false" ht="23.25" hidden="false" customHeight="true" outlineLevel="0" collapsed="false">
      <c r="A133" s="592" t="n">
        <v>3036</v>
      </c>
      <c r="B133" s="615" t="s">
        <v>334</v>
      </c>
      <c r="C133" s="615" t="s">
        <v>335</v>
      </c>
      <c r="D133" s="135" t="s">
        <v>8</v>
      </c>
      <c r="E133" s="622" t="n">
        <v>41561</v>
      </c>
      <c r="F133" s="137" t="s">
        <v>52</v>
      </c>
    </row>
    <row r="134" customFormat="false" ht="12.75" hidden="false" customHeight="true" outlineLevel="0" collapsed="false">
      <c r="A134" s="592" t="n">
        <v>3037</v>
      </c>
      <c r="B134" s="594" t="s">
        <v>336</v>
      </c>
      <c r="C134" s="594" t="s">
        <v>337</v>
      </c>
      <c r="D134" s="135" t="s">
        <v>8</v>
      </c>
      <c r="E134" s="595" t="n">
        <v>41491</v>
      </c>
      <c r="F134" s="137" t="s">
        <v>9</v>
      </c>
    </row>
    <row r="135" customFormat="false" ht="23.25" hidden="false" customHeight="true" outlineLevel="0" collapsed="false">
      <c r="A135" s="592" t="n">
        <v>1025</v>
      </c>
      <c r="B135" s="647" t="s">
        <v>338</v>
      </c>
      <c r="C135" s="648" t="s">
        <v>318</v>
      </c>
      <c r="D135" s="598" t="s">
        <v>8</v>
      </c>
      <c r="E135" s="599" t="n">
        <v>42410</v>
      </c>
      <c r="F135" s="600" t="s">
        <v>17</v>
      </c>
    </row>
    <row r="136" customFormat="false" ht="23.25" hidden="false" customHeight="true" outlineLevel="0" collapsed="false">
      <c r="A136" s="592" t="n">
        <v>4027</v>
      </c>
      <c r="B136" s="645" t="s">
        <v>340</v>
      </c>
      <c r="C136" s="621" t="s">
        <v>246</v>
      </c>
      <c r="D136" s="135" t="s">
        <v>8</v>
      </c>
      <c r="E136" s="622" t="n">
        <v>39482</v>
      </c>
      <c r="F136" s="137" t="s">
        <v>52</v>
      </c>
    </row>
    <row r="137" customFormat="false" ht="23.25" hidden="false" customHeight="true" outlineLevel="0" collapsed="false">
      <c r="A137" s="592" t="n">
        <v>4028</v>
      </c>
      <c r="B137" s="645" t="s">
        <v>341</v>
      </c>
      <c r="C137" s="621" t="s">
        <v>132</v>
      </c>
      <c r="D137" s="135" t="s">
        <v>8</v>
      </c>
      <c r="E137" s="622" t="n">
        <v>40727</v>
      </c>
      <c r="F137" s="137" t="s">
        <v>34</v>
      </c>
    </row>
    <row r="138" customFormat="false" ht="12.75" hidden="false" customHeight="true" outlineLevel="0" collapsed="false">
      <c r="A138" s="592" t="n">
        <v>2037</v>
      </c>
      <c r="B138" s="593" t="s">
        <v>342</v>
      </c>
      <c r="C138" s="594" t="s">
        <v>337</v>
      </c>
      <c r="D138" s="135" t="s">
        <v>26</v>
      </c>
      <c r="E138" s="601" t="n">
        <v>2014</v>
      </c>
      <c r="F138" s="137" t="s">
        <v>9</v>
      </c>
    </row>
    <row r="139" customFormat="false" ht="12.75" hidden="false" customHeight="true" outlineLevel="0" collapsed="false">
      <c r="A139" s="592" t="n">
        <v>3038</v>
      </c>
      <c r="B139" s="594" t="s">
        <v>342</v>
      </c>
      <c r="C139" s="594" t="s">
        <v>343</v>
      </c>
      <c r="D139" s="135" t="s">
        <v>26</v>
      </c>
      <c r="E139" s="601" t="n">
        <v>2012</v>
      </c>
      <c r="F139" s="137" t="s">
        <v>9</v>
      </c>
    </row>
    <row r="140" customFormat="false" ht="23.25" hidden="false" customHeight="true" outlineLevel="0" collapsed="false">
      <c r="A140" s="592" t="n">
        <v>2038</v>
      </c>
      <c r="B140" s="617" t="s">
        <v>344</v>
      </c>
      <c r="C140" s="615" t="s">
        <v>345</v>
      </c>
      <c r="D140" s="135" t="s">
        <v>8</v>
      </c>
      <c r="E140" s="622" t="n">
        <v>41834</v>
      </c>
      <c r="F140" s="137" t="s">
        <v>17</v>
      </c>
    </row>
    <row r="141" customFormat="false" ht="23.25" hidden="false" customHeight="true" outlineLevel="0" collapsed="false">
      <c r="A141" s="592" t="n">
        <v>4043</v>
      </c>
      <c r="B141" s="645" t="s">
        <v>346</v>
      </c>
      <c r="C141" s="621" t="s">
        <v>75</v>
      </c>
      <c r="D141" s="135" t="s">
        <v>8</v>
      </c>
      <c r="E141" s="622" t="n">
        <v>40870</v>
      </c>
      <c r="F141" s="137" t="s">
        <v>34</v>
      </c>
    </row>
    <row r="142" customFormat="false" ht="12.75" hidden="false" customHeight="true" outlineLevel="0" collapsed="false">
      <c r="A142" s="592" t="n">
        <v>3039</v>
      </c>
      <c r="B142" s="245" t="s">
        <v>1442</v>
      </c>
      <c r="C142" s="202" t="s">
        <v>78</v>
      </c>
      <c r="D142" s="135" t="s">
        <v>8</v>
      </c>
      <c r="E142" s="616" t="n">
        <v>41466</v>
      </c>
      <c r="F142" s="137" t="s">
        <v>29</v>
      </c>
    </row>
    <row r="143" customFormat="false" ht="12.75" hidden="false" customHeight="true" outlineLevel="0" collapsed="false">
      <c r="A143" s="592" t="n">
        <v>1026</v>
      </c>
      <c r="B143" s="134" t="s">
        <v>348</v>
      </c>
      <c r="C143" s="660" t="s">
        <v>349</v>
      </c>
      <c r="D143" s="135" t="s">
        <v>8</v>
      </c>
      <c r="E143" s="661" t="n">
        <v>42451</v>
      </c>
      <c r="F143" s="137" t="s">
        <v>129</v>
      </c>
    </row>
    <row r="144" customFormat="false" ht="23.25" hidden="false" customHeight="true" outlineLevel="0" collapsed="false">
      <c r="A144" s="592" t="n">
        <v>2039</v>
      </c>
      <c r="B144" s="624" t="s">
        <v>350</v>
      </c>
      <c r="C144" s="625" t="s">
        <v>351</v>
      </c>
      <c r="D144" s="135" t="s">
        <v>26</v>
      </c>
      <c r="E144" s="622" t="n">
        <v>41816</v>
      </c>
      <c r="F144" s="137" t="s">
        <v>12</v>
      </c>
    </row>
    <row r="145" customFormat="false" ht="23.25" hidden="false" customHeight="true" outlineLevel="0" collapsed="false">
      <c r="A145" s="592" t="n">
        <v>4030</v>
      </c>
      <c r="B145" s="645" t="s">
        <v>352</v>
      </c>
      <c r="C145" s="621" t="s">
        <v>132</v>
      </c>
      <c r="D145" s="135" t="s">
        <v>8</v>
      </c>
      <c r="E145" s="622" t="n">
        <v>40269</v>
      </c>
      <c r="F145" s="137" t="s">
        <v>34</v>
      </c>
    </row>
    <row r="146" customFormat="false" ht="12.75" hidden="false" customHeight="true" outlineLevel="0" collapsed="false">
      <c r="A146" s="592" t="n">
        <v>3162</v>
      </c>
      <c r="B146" s="633" t="s">
        <v>356</v>
      </c>
      <c r="C146" s="633" t="s">
        <v>357</v>
      </c>
      <c r="D146" s="135" t="s">
        <v>26</v>
      </c>
      <c r="E146" s="662" t="n">
        <v>41317</v>
      </c>
      <c r="F146" s="228" t="s">
        <v>9</v>
      </c>
    </row>
    <row r="147" customFormat="false" ht="23.25" hidden="false" customHeight="true" outlineLevel="0" collapsed="false">
      <c r="A147" s="592" t="n">
        <v>1027</v>
      </c>
      <c r="B147" s="617" t="s">
        <v>358</v>
      </c>
      <c r="C147" s="615" t="s">
        <v>359</v>
      </c>
      <c r="D147" s="135" t="s">
        <v>8</v>
      </c>
      <c r="E147" s="618" t="s">
        <v>1443</v>
      </c>
      <c r="F147" s="137" t="s">
        <v>143</v>
      </c>
    </row>
    <row r="148" customFormat="false" ht="23.25" hidden="false" customHeight="true" outlineLevel="0" collapsed="false">
      <c r="A148" s="592" t="n">
        <v>2040</v>
      </c>
      <c r="B148" s="617" t="s">
        <v>360</v>
      </c>
      <c r="C148" s="663" t="s">
        <v>361</v>
      </c>
      <c r="D148" s="135" t="s">
        <v>8</v>
      </c>
      <c r="E148" s="622" t="n">
        <v>41769</v>
      </c>
      <c r="F148" s="137" t="s">
        <v>52</v>
      </c>
    </row>
    <row r="149" customFormat="false" ht="23.25" hidden="false" customHeight="true" outlineLevel="0" collapsed="false">
      <c r="A149" s="592" t="n">
        <v>4031</v>
      </c>
      <c r="B149" s="645" t="s">
        <v>362</v>
      </c>
      <c r="C149" s="621" t="s">
        <v>61</v>
      </c>
      <c r="D149" s="135" t="s">
        <v>8</v>
      </c>
      <c r="E149" s="622" t="n">
        <v>40655</v>
      </c>
      <c r="F149" s="137" t="s">
        <v>17</v>
      </c>
    </row>
    <row r="150" customFormat="false" ht="12.75" hidden="false" customHeight="true" outlineLevel="0" collapsed="false">
      <c r="A150" s="592" t="n">
        <v>2041</v>
      </c>
      <c r="B150" s="593" t="s">
        <v>365</v>
      </c>
      <c r="C150" s="594" t="s">
        <v>246</v>
      </c>
      <c r="D150" s="135" t="s">
        <v>8</v>
      </c>
      <c r="E150" s="595" t="n">
        <v>42008</v>
      </c>
      <c r="F150" s="137" t="s">
        <v>9</v>
      </c>
    </row>
    <row r="151" customFormat="false" ht="23.25" hidden="false" customHeight="true" outlineLevel="0" collapsed="false">
      <c r="A151" s="592" t="n">
        <v>1028</v>
      </c>
      <c r="B151" s="245" t="s">
        <v>371</v>
      </c>
      <c r="C151" s="615" t="s">
        <v>372</v>
      </c>
      <c r="D151" s="135" t="s">
        <v>8</v>
      </c>
      <c r="E151" s="618" t="n">
        <v>42928</v>
      </c>
      <c r="F151" s="137" t="s">
        <v>29</v>
      </c>
    </row>
    <row r="152" customFormat="false" ht="12.75" hidden="false" customHeight="true" outlineLevel="0" collapsed="false">
      <c r="A152" s="592" t="n">
        <v>3040</v>
      </c>
      <c r="B152" s="594" t="s">
        <v>381</v>
      </c>
      <c r="C152" s="594" t="s">
        <v>382</v>
      </c>
      <c r="D152" s="135" t="s">
        <v>8</v>
      </c>
      <c r="E152" s="601" t="n">
        <v>2013</v>
      </c>
      <c r="F152" s="137" t="s">
        <v>9</v>
      </c>
    </row>
    <row r="153" customFormat="false" ht="23.25" hidden="false" customHeight="true" outlineLevel="0" collapsed="false">
      <c r="A153" s="592" t="n">
        <v>4032</v>
      </c>
      <c r="B153" s="645" t="s">
        <v>383</v>
      </c>
      <c r="C153" s="621" t="s">
        <v>384</v>
      </c>
      <c r="D153" s="135" t="s">
        <v>8</v>
      </c>
      <c r="E153" s="622" t="n">
        <v>40865</v>
      </c>
      <c r="F153" s="137" t="s">
        <v>129</v>
      </c>
    </row>
    <row r="154" customFormat="false" ht="23.25" hidden="false" customHeight="true" outlineLevel="0" collapsed="false">
      <c r="A154" s="592" t="n">
        <v>3041</v>
      </c>
      <c r="B154" s="625" t="s">
        <v>387</v>
      </c>
      <c r="C154" s="625" t="s">
        <v>388</v>
      </c>
      <c r="D154" s="135" t="s">
        <v>8</v>
      </c>
      <c r="E154" s="622" t="n">
        <v>41576</v>
      </c>
      <c r="F154" s="137" t="s">
        <v>20</v>
      </c>
    </row>
    <row r="155" customFormat="false" ht="23.25" hidden="false" customHeight="true" outlineLevel="0" collapsed="false">
      <c r="A155" s="592" t="n">
        <v>3042</v>
      </c>
      <c r="B155" s="615" t="s">
        <v>389</v>
      </c>
      <c r="C155" s="615" t="s">
        <v>390</v>
      </c>
      <c r="D155" s="135" t="s">
        <v>8</v>
      </c>
      <c r="E155" s="622" t="n">
        <v>41349</v>
      </c>
      <c r="F155" s="137" t="s">
        <v>52</v>
      </c>
    </row>
    <row r="156" customFormat="false" ht="23.25" hidden="false" customHeight="true" outlineLevel="0" collapsed="false">
      <c r="A156" s="592" t="n">
        <v>4033</v>
      </c>
      <c r="B156" s="645" t="s">
        <v>389</v>
      </c>
      <c r="C156" s="621" t="s">
        <v>391</v>
      </c>
      <c r="D156" s="135" t="s">
        <v>8</v>
      </c>
      <c r="E156" s="622" t="n">
        <v>40541</v>
      </c>
      <c r="F156" s="137" t="s">
        <v>52</v>
      </c>
    </row>
    <row r="157" customFormat="false" ht="12.75" hidden="false" customHeight="true" outlineLevel="0" collapsed="false">
      <c r="A157" s="592" t="n">
        <v>3043</v>
      </c>
      <c r="B157" s="594" t="s">
        <v>395</v>
      </c>
      <c r="C157" s="594" t="s">
        <v>244</v>
      </c>
      <c r="D157" s="135" t="s">
        <v>8</v>
      </c>
      <c r="E157" s="601" t="n">
        <v>2012</v>
      </c>
      <c r="F157" s="137" t="s">
        <v>9</v>
      </c>
    </row>
    <row r="158" customFormat="false" ht="12.75" hidden="false" customHeight="true" outlineLevel="0" collapsed="false">
      <c r="A158" s="592" t="n">
        <v>4034</v>
      </c>
      <c r="B158" s="624" t="s">
        <v>395</v>
      </c>
      <c r="C158" s="625" t="s">
        <v>199</v>
      </c>
      <c r="D158" s="135" t="s">
        <v>8</v>
      </c>
      <c r="E158" s="601" t="n">
        <v>2010</v>
      </c>
      <c r="F158" s="137" t="s">
        <v>9</v>
      </c>
    </row>
    <row r="159" customFormat="false" ht="23.25" hidden="false" customHeight="true" outlineLevel="0" collapsed="false">
      <c r="A159" s="592" t="n">
        <v>2042</v>
      </c>
      <c r="B159" s="617" t="s">
        <v>397</v>
      </c>
      <c r="C159" s="615" t="s">
        <v>398</v>
      </c>
      <c r="D159" s="135" t="s">
        <v>8</v>
      </c>
      <c r="E159" s="622" t="n">
        <v>41792</v>
      </c>
      <c r="F159" s="137" t="s">
        <v>17</v>
      </c>
    </row>
    <row r="160" customFormat="false" ht="23.25" hidden="false" customHeight="true" outlineLevel="0" collapsed="false">
      <c r="A160" s="592" t="n">
        <v>3044</v>
      </c>
      <c r="B160" s="615" t="s">
        <v>399</v>
      </c>
      <c r="C160" s="615" t="s">
        <v>400</v>
      </c>
      <c r="D160" s="135" t="s">
        <v>8</v>
      </c>
      <c r="E160" s="622" t="n">
        <v>41465</v>
      </c>
      <c r="F160" s="137" t="s">
        <v>34</v>
      </c>
    </row>
    <row r="161" customFormat="false" ht="23.25" hidden="false" customHeight="true" outlineLevel="0" collapsed="false">
      <c r="A161" s="592" t="n">
        <v>4035</v>
      </c>
      <c r="B161" s="645" t="s">
        <v>401</v>
      </c>
      <c r="C161" s="621" t="s">
        <v>132</v>
      </c>
      <c r="D161" s="135" t="s">
        <v>8</v>
      </c>
      <c r="E161" s="622" t="n">
        <v>39148</v>
      </c>
      <c r="F161" s="137" t="s">
        <v>20</v>
      </c>
    </row>
    <row r="162" customFormat="false" ht="12.75" hidden="false" customHeight="true" outlineLevel="0" collapsed="false">
      <c r="A162" s="592" t="n">
        <v>4036</v>
      </c>
      <c r="B162" s="624" t="s">
        <v>403</v>
      </c>
      <c r="C162" s="625" t="s">
        <v>404</v>
      </c>
      <c r="D162" s="135" t="s">
        <v>8</v>
      </c>
      <c r="E162" s="601" t="n">
        <v>2010</v>
      </c>
      <c r="F162" s="137" t="s">
        <v>9</v>
      </c>
    </row>
    <row r="163" customFormat="false" ht="12.75" hidden="false" customHeight="true" outlineLevel="0" collapsed="false">
      <c r="A163" s="592" t="n">
        <v>2214</v>
      </c>
      <c r="B163" s="129" t="s">
        <v>410</v>
      </c>
      <c r="C163" s="134" t="s">
        <v>411</v>
      </c>
      <c r="D163" s="135" t="s">
        <v>8</v>
      </c>
      <c r="E163" s="136" t="n">
        <v>42350</v>
      </c>
      <c r="F163" s="137" t="s">
        <v>20</v>
      </c>
      <c r="J163" s="295"/>
      <c r="L163" s="629"/>
    </row>
    <row r="164" customFormat="false" ht="23.25" hidden="false" customHeight="true" outlineLevel="0" collapsed="false">
      <c r="A164" s="592" t="n">
        <v>2043</v>
      </c>
      <c r="B164" s="617" t="s">
        <v>410</v>
      </c>
      <c r="C164" s="615" t="s">
        <v>1444</v>
      </c>
      <c r="D164" s="135" t="s">
        <v>8</v>
      </c>
      <c r="E164" s="622" t="n">
        <v>42350</v>
      </c>
      <c r="F164" s="137" t="s">
        <v>20</v>
      </c>
    </row>
    <row r="165" customFormat="false" ht="23.25" hidden="false" customHeight="true" outlineLevel="0" collapsed="false">
      <c r="A165" s="592" t="n">
        <v>1029</v>
      </c>
      <c r="B165" s="617" t="s">
        <v>412</v>
      </c>
      <c r="C165" s="615" t="s">
        <v>413</v>
      </c>
      <c r="D165" s="135" t="s">
        <v>26</v>
      </c>
      <c r="E165" s="618" t="n">
        <v>42845</v>
      </c>
      <c r="F165" s="137" t="s">
        <v>34</v>
      </c>
    </row>
    <row r="166" customFormat="false" ht="12.75" hidden="false" customHeight="true" outlineLevel="0" collapsed="false">
      <c r="A166" s="592" t="n">
        <v>1030</v>
      </c>
      <c r="B166" s="593" t="s">
        <v>414</v>
      </c>
      <c r="C166" s="594" t="s">
        <v>107</v>
      </c>
      <c r="D166" s="135" t="s">
        <v>8</v>
      </c>
      <c r="E166" s="664" t="n">
        <v>42691</v>
      </c>
      <c r="F166" s="137" t="s">
        <v>9</v>
      </c>
    </row>
    <row r="167" customFormat="false" ht="23.25" hidden="false" customHeight="true" outlineLevel="0" collapsed="false">
      <c r="A167" s="592" t="n">
        <v>2044</v>
      </c>
      <c r="B167" s="617" t="s">
        <v>418</v>
      </c>
      <c r="C167" s="615" t="s">
        <v>419</v>
      </c>
      <c r="D167" s="135" t="s">
        <v>8</v>
      </c>
      <c r="E167" s="622" t="n">
        <v>42178</v>
      </c>
      <c r="F167" s="137" t="s">
        <v>34</v>
      </c>
    </row>
    <row r="168" customFormat="false" ht="23.25" hidden="false" customHeight="true" outlineLevel="0" collapsed="false">
      <c r="A168" s="592" t="n">
        <v>2045</v>
      </c>
      <c r="B168" s="617" t="s">
        <v>418</v>
      </c>
      <c r="C168" s="615" t="s">
        <v>420</v>
      </c>
      <c r="D168" s="135" t="s">
        <v>26</v>
      </c>
      <c r="E168" s="622" t="n">
        <v>42185</v>
      </c>
      <c r="F168" s="137" t="s">
        <v>34</v>
      </c>
    </row>
    <row r="169" customFormat="false" ht="12.75" hidden="false" customHeight="true" outlineLevel="0" collapsed="false">
      <c r="A169" s="592" t="n">
        <v>3045</v>
      </c>
      <c r="B169" s="245" t="s">
        <v>421</v>
      </c>
      <c r="C169" s="134" t="s">
        <v>422</v>
      </c>
      <c r="D169" s="135" t="s">
        <v>8</v>
      </c>
      <c r="E169" s="616" t="n">
        <v>41230</v>
      </c>
      <c r="F169" s="137" t="s">
        <v>29</v>
      </c>
    </row>
    <row r="170" customFormat="false" ht="23.25" hidden="false" customHeight="true" outlineLevel="0" collapsed="false">
      <c r="A170" s="592" t="n">
        <v>2046</v>
      </c>
      <c r="B170" s="617" t="s">
        <v>423</v>
      </c>
      <c r="C170" s="615" t="s">
        <v>424</v>
      </c>
      <c r="D170" s="135" t="s">
        <v>8</v>
      </c>
      <c r="E170" s="622" t="n">
        <v>41662</v>
      </c>
      <c r="F170" s="137" t="s">
        <v>34</v>
      </c>
    </row>
    <row r="171" customFormat="false" ht="23.25" hidden="false" customHeight="true" outlineLevel="0" collapsed="false">
      <c r="A171" s="592" t="n">
        <v>3046</v>
      </c>
      <c r="B171" s="615" t="s">
        <v>425</v>
      </c>
      <c r="C171" s="615" t="s">
        <v>127</v>
      </c>
      <c r="D171" s="135" t="s">
        <v>8</v>
      </c>
      <c r="E171" s="622" t="n">
        <v>41313</v>
      </c>
      <c r="F171" s="137" t="s">
        <v>52</v>
      </c>
    </row>
    <row r="172" customFormat="false" ht="12.75" hidden="false" customHeight="true" outlineLevel="0" collapsed="false">
      <c r="A172" s="592" t="n">
        <v>4037</v>
      </c>
      <c r="B172" s="624" t="s">
        <v>426</v>
      </c>
      <c r="C172" s="625" t="s">
        <v>427</v>
      </c>
      <c r="D172" s="135" t="s">
        <v>8</v>
      </c>
      <c r="E172" s="601" t="n">
        <v>2011</v>
      </c>
      <c r="F172" s="137" t="s">
        <v>9</v>
      </c>
    </row>
    <row r="173" customFormat="false" ht="23.25" hidden="false" customHeight="true" outlineLevel="0" collapsed="false">
      <c r="A173" s="592" t="n">
        <v>3047</v>
      </c>
      <c r="B173" s="615" t="s">
        <v>428</v>
      </c>
      <c r="C173" s="615" t="s">
        <v>429</v>
      </c>
      <c r="D173" s="135" t="s">
        <v>8</v>
      </c>
      <c r="E173" s="622" t="n">
        <v>41098</v>
      </c>
      <c r="F173" s="137" t="s">
        <v>52</v>
      </c>
    </row>
    <row r="174" customFormat="false" ht="12.75" hidden="false" customHeight="true" outlineLevel="0" collapsed="false">
      <c r="A174" s="592" t="n">
        <v>4038</v>
      </c>
      <c r="B174" s="624" t="s">
        <v>430</v>
      </c>
      <c r="C174" s="625" t="s">
        <v>246</v>
      </c>
      <c r="D174" s="135" t="s">
        <v>8</v>
      </c>
      <c r="E174" s="595" t="n">
        <v>40791</v>
      </c>
      <c r="F174" s="137" t="s">
        <v>9</v>
      </c>
    </row>
    <row r="175" customFormat="false" ht="23.25" hidden="false" customHeight="true" outlineLevel="0" collapsed="false">
      <c r="A175" s="592" t="n">
        <v>2047</v>
      </c>
      <c r="B175" s="617" t="s">
        <v>432</v>
      </c>
      <c r="C175" s="615" t="s">
        <v>376</v>
      </c>
      <c r="D175" s="135" t="s">
        <v>8</v>
      </c>
      <c r="E175" s="622" t="n">
        <v>41657</v>
      </c>
      <c r="F175" s="137" t="s">
        <v>34</v>
      </c>
    </row>
    <row r="176" customFormat="false" ht="23.25" hidden="false" customHeight="true" outlineLevel="0" collapsed="false">
      <c r="A176" s="592" t="n">
        <v>3048</v>
      </c>
      <c r="B176" s="615" t="s">
        <v>432</v>
      </c>
      <c r="C176" s="615" t="s">
        <v>433</v>
      </c>
      <c r="D176" s="135" t="s">
        <v>26</v>
      </c>
      <c r="E176" s="622" t="n">
        <v>40922</v>
      </c>
      <c r="F176" s="137" t="s">
        <v>34</v>
      </c>
    </row>
    <row r="177" customFormat="false" ht="23.25" hidden="false" customHeight="true" outlineLevel="0" collapsed="false">
      <c r="A177" s="592" t="n">
        <v>2048</v>
      </c>
      <c r="B177" s="617" t="s">
        <v>434</v>
      </c>
      <c r="C177" s="615" t="s">
        <v>201</v>
      </c>
      <c r="D177" s="135" t="s">
        <v>8</v>
      </c>
      <c r="E177" s="622" t="n">
        <v>42010</v>
      </c>
      <c r="F177" s="137" t="s">
        <v>52</v>
      </c>
    </row>
    <row r="178" customFormat="false" ht="23.25" hidden="false" customHeight="true" outlineLevel="0" collapsed="false">
      <c r="A178" s="592" t="n">
        <v>2049</v>
      </c>
      <c r="B178" s="617" t="s">
        <v>435</v>
      </c>
      <c r="C178" s="615" t="s">
        <v>436</v>
      </c>
      <c r="D178" s="135" t="s">
        <v>8</v>
      </c>
      <c r="E178" s="622" t="n">
        <v>42320</v>
      </c>
      <c r="F178" s="137" t="s">
        <v>52</v>
      </c>
    </row>
    <row r="179" customFormat="false" ht="23.25" hidden="false" customHeight="true" outlineLevel="0" collapsed="false">
      <c r="A179" s="592" t="n">
        <v>2050</v>
      </c>
      <c r="B179" s="617" t="s">
        <v>435</v>
      </c>
      <c r="C179" s="615" t="s">
        <v>437</v>
      </c>
      <c r="D179" s="135" t="s">
        <v>8</v>
      </c>
      <c r="E179" s="622" t="n">
        <v>42206</v>
      </c>
      <c r="F179" s="137" t="s">
        <v>52</v>
      </c>
    </row>
    <row r="180" customFormat="false" ht="23.25" hidden="false" customHeight="true" outlineLevel="0" collapsed="false">
      <c r="A180" s="592" t="n">
        <v>1031</v>
      </c>
      <c r="B180" s="617" t="s">
        <v>438</v>
      </c>
      <c r="C180" s="615" t="s">
        <v>201</v>
      </c>
      <c r="D180" s="135" t="s">
        <v>8</v>
      </c>
      <c r="E180" s="618" t="n">
        <v>42752</v>
      </c>
      <c r="F180" s="137" t="s">
        <v>52</v>
      </c>
    </row>
    <row r="181" customFormat="false" ht="23.25" hidden="false" customHeight="true" outlineLevel="0" collapsed="false">
      <c r="A181" s="592" t="n">
        <v>1032</v>
      </c>
      <c r="B181" s="245" t="s">
        <v>439</v>
      </c>
      <c r="C181" s="202" t="s">
        <v>440</v>
      </c>
      <c r="D181" s="135" t="s">
        <v>26</v>
      </c>
      <c r="E181" s="618" t="n">
        <v>43780</v>
      </c>
      <c r="F181" s="137" t="s">
        <v>29</v>
      </c>
    </row>
    <row r="182" customFormat="false" ht="23.25" hidden="false" customHeight="true" outlineLevel="0" collapsed="false">
      <c r="A182" s="592" t="n">
        <v>4039</v>
      </c>
      <c r="B182" s="624" t="s">
        <v>441</v>
      </c>
      <c r="C182" s="625" t="s">
        <v>442</v>
      </c>
      <c r="D182" s="135" t="s">
        <v>8</v>
      </c>
      <c r="E182" s="622" t="n">
        <v>40488</v>
      </c>
      <c r="F182" s="137" t="s">
        <v>12</v>
      </c>
    </row>
    <row r="183" customFormat="false" ht="12.75" hidden="false" customHeight="true" outlineLevel="0" collapsed="false">
      <c r="A183" s="592" t="n">
        <v>3163</v>
      </c>
      <c r="B183" s="231" t="s">
        <v>443</v>
      </c>
      <c r="C183" s="231" t="s">
        <v>444</v>
      </c>
      <c r="D183" s="135" t="s">
        <v>8</v>
      </c>
      <c r="E183" s="665" t="n">
        <v>41157</v>
      </c>
      <c r="F183" s="137" t="s">
        <v>52</v>
      </c>
      <c r="I183" s="590" t="s">
        <v>654</v>
      </c>
      <c r="J183" s="590" t="s">
        <v>655</v>
      </c>
      <c r="K183" s="590" t="s">
        <v>1430</v>
      </c>
      <c r="L183" s="629" t="n">
        <v>42951</v>
      </c>
      <c r="M183" s="590" t="s">
        <v>1431</v>
      </c>
      <c r="N183" s="590" t="s">
        <v>1432</v>
      </c>
    </row>
    <row r="184" customFormat="false" ht="23.25" hidden="false" customHeight="true" outlineLevel="0" collapsed="false">
      <c r="A184" s="592" t="n">
        <v>3049</v>
      </c>
      <c r="B184" s="625" t="s">
        <v>446</v>
      </c>
      <c r="C184" s="625" t="s">
        <v>447</v>
      </c>
      <c r="D184" s="135" t="s">
        <v>8</v>
      </c>
      <c r="E184" s="622" t="n">
        <v>41013</v>
      </c>
      <c r="F184" s="137" t="s">
        <v>12</v>
      </c>
    </row>
    <row r="185" customFormat="false" ht="23.25" hidden="false" customHeight="true" outlineLevel="0" collapsed="false">
      <c r="A185" s="592" t="n">
        <v>3050</v>
      </c>
      <c r="B185" s="625" t="s">
        <v>446</v>
      </c>
      <c r="C185" s="625" t="s">
        <v>448</v>
      </c>
      <c r="D185" s="135" t="s">
        <v>26</v>
      </c>
      <c r="E185" s="622" t="n">
        <v>41013</v>
      </c>
      <c r="F185" s="137" t="s">
        <v>12</v>
      </c>
    </row>
    <row r="186" customFormat="false" ht="13.5" hidden="false" customHeight="true" outlineLevel="0" collapsed="false">
      <c r="A186" s="592" t="n">
        <v>2051</v>
      </c>
      <c r="B186" s="202" t="s">
        <v>451</v>
      </c>
      <c r="C186" s="245" t="s">
        <v>450</v>
      </c>
      <c r="D186" s="135" t="s">
        <v>8</v>
      </c>
      <c r="E186" s="636" t="n">
        <v>42161</v>
      </c>
      <c r="F186" s="137" t="s">
        <v>29</v>
      </c>
    </row>
    <row r="187" customFormat="false" ht="23.25" hidden="false" customHeight="true" outlineLevel="0" collapsed="false">
      <c r="A187" s="592" t="n">
        <v>3051</v>
      </c>
      <c r="B187" s="594" t="s">
        <v>451</v>
      </c>
      <c r="C187" s="594" t="s">
        <v>353</v>
      </c>
      <c r="D187" s="135" t="s">
        <v>8</v>
      </c>
      <c r="E187" s="622" t="n">
        <v>41415</v>
      </c>
      <c r="F187" s="137" t="s">
        <v>119</v>
      </c>
    </row>
    <row r="188" customFormat="false" ht="12.75" hidden="false" customHeight="true" outlineLevel="0" collapsed="false">
      <c r="A188" s="592" t="n">
        <v>3166</v>
      </c>
      <c r="B188" s="44" t="s">
        <v>449</v>
      </c>
      <c r="C188" s="44" t="s">
        <v>353</v>
      </c>
      <c r="D188" s="135" t="s">
        <v>8</v>
      </c>
      <c r="E188" s="136" t="n">
        <v>41415</v>
      </c>
      <c r="F188" s="137" t="s">
        <v>119</v>
      </c>
      <c r="L188" s="629"/>
    </row>
    <row r="189" customFormat="false" ht="23.25" hidden="false" customHeight="true" outlineLevel="0" collapsed="false">
      <c r="A189" s="592" t="n">
        <v>2052</v>
      </c>
      <c r="B189" s="593" t="s">
        <v>453</v>
      </c>
      <c r="C189" s="594" t="s">
        <v>454</v>
      </c>
      <c r="D189" s="135" t="s">
        <v>8</v>
      </c>
      <c r="E189" s="622" t="n">
        <v>42052</v>
      </c>
      <c r="F189" s="137" t="s">
        <v>12</v>
      </c>
    </row>
    <row r="190" customFormat="false" ht="23.25" hidden="false" customHeight="true" outlineLevel="0" collapsed="false">
      <c r="A190" s="592" t="n">
        <v>2053</v>
      </c>
      <c r="B190" s="593" t="s">
        <v>456</v>
      </c>
      <c r="C190" s="594" t="s">
        <v>457</v>
      </c>
      <c r="D190" s="135" t="s">
        <v>8</v>
      </c>
      <c r="E190" s="622" t="n">
        <v>41888</v>
      </c>
      <c r="F190" s="137" t="s">
        <v>12</v>
      </c>
    </row>
    <row r="191" customFormat="false" ht="23.25" hidden="false" customHeight="true" outlineLevel="0" collapsed="false">
      <c r="A191" s="592" t="n">
        <v>1033</v>
      </c>
      <c r="B191" s="617" t="s">
        <v>458</v>
      </c>
      <c r="C191" s="615" t="s">
        <v>290</v>
      </c>
      <c r="D191" s="135" t="s">
        <v>8</v>
      </c>
      <c r="E191" s="618" t="n">
        <v>42669</v>
      </c>
      <c r="F191" s="137" t="s">
        <v>34</v>
      </c>
    </row>
    <row r="192" customFormat="false" ht="23.25" hidden="false" customHeight="true" outlineLevel="0" collapsed="false">
      <c r="A192" s="592" t="n">
        <v>1034</v>
      </c>
      <c r="B192" s="617" t="s">
        <v>458</v>
      </c>
      <c r="C192" s="615" t="s">
        <v>459</v>
      </c>
      <c r="D192" s="135" t="s">
        <v>8</v>
      </c>
      <c r="E192" s="618" t="n">
        <v>42669</v>
      </c>
      <c r="F192" s="137" t="s">
        <v>34</v>
      </c>
    </row>
    <row r="193" customFormat="false" ht="23.25" hidden="false" customHeight="true" outlineLevel="0" collapsed="false">
      <c r="A193" s="592" t="n">
        <v>1035</v>
      </c>
      <c r="B193" s="617" t="s">
        <v>460</v>
      </c>
      <c r="C193" s="615" t="s">
        <v>461</v>
      </c>
      <c r="D193" s="135" t="s">
        <v>8</v>
      </c>
      <c r="E193" s="618" t="n">
        <v>42633</v>
      </c>
      <c r="F193" s="137" t="s">
        <v>129</v>
      </c>
    </row>
    <row r="194" customFormat="false" ht="23.25" hidden="false" customHeight="true" outlineLevel="0" collapsed="false">
      <c r="A194" s="592" t="n">
        <v>1036</v>
      </c>
      <c r="B194" s="617" t="s">
        <v>460</v>
      </c>
      <c r="C194" s="615" t="s">
        <v>187</v>
      </c>
      <c r="D194" s="135" t="s">
        <v>8</v>
      </c>
      <c r="E194" s="618" t="n">
        <v>43092</v>
      </c>
      <c r="F194" s="137" t="s">
        <v>129</v>
      </c>
    </row>
    <row r="195" customFormat="false" ht="23.25" hidden="false" customHeight="true" outlineLevel="0" collapsed="false">
      <c r="A195" s="592" t="n">
        <v>2054</v>
      </c>
      <c r="B195" s="617" t="s">
        <v>465</v>
      </c>
      <c r="C195" s="615" t="s">
        <v>217</v>
      </c>
      <c r="D195" s="135" t="s">
        <v>8</v>
      </c>
      <c r="E195" s="622" t="n">
        <v>41691</v>
      </c>
      <c r="F195" s="137" t="s">
        <v>17</v>
      </c>
    </row>
    <row r="196" customFormat="false" ht="23.25" hidden="false" customHeight="true" outlineLevel="0" collapsed="false">
      <c r="A196" s="592" t="n">
        <v>4049</v>
      </c>
      <c r="B196" s="624" t="s">
        <v>466</v>
      </c>
      <c r="C196" s="625" t="s">
        <v>467</v>
      </c>
      <c r="D196" s="135" t="s">
        <v>8</v>
      </c>
      <c r="E196" s="622" t="n">
        <v>40763</v>
      </c>
      <c r="F196" s="137" t="s">
        <v>12</v>
      </c>
    </row>
    <row r="197" customFormat="false" ht="23.25" hidden="false" customHeight="true" outlineLevel="0" collapsed="false">
      <c r="A197" s="592" t="n">
        <v>4040</v>
      </c>
      <c r="B197" s="624" t="s">
        <v>466</v>
      </c>
      <c r="C197" s="625" t="s">
        <v>468</v>
      </c>
      <c r="D197" s="135" t="s">
        <v>8</v>
      </c>
      <c r="E197" s="622" t="n">
        <v>40763</v>
      </c>
      <c r="F197" s="137" t="s">
        <v>12</v>
      </c>
    </row>
    <row r="198" customFormat="false" ht="12.75" hidden="false" customHeight="true" outlineLevel="0" collapsed="false">
      <c r="A198" s="592" t="n">
        <v>2055</v>
      </c>
      <c r="B198" s="593" t="s">
        <v>470</v>
      </c>
      <c r="C198" s="594" t="s">
        <v>471</v>
      </c>
      <c r="D198" s="135" t="s">
        <v>26</v>
      </c>
      <c r="E198" s="595" t="n">
        <v>41807</v>
      </c>
      <c r="F198" s="137" t="s">
        <v>9</v>
      </c>
    </row>
    <row r="199" customFormat="false" ht="23.25" hidden="false" customHeight="true" outlineLevel="0" collapsed="false">
      <c r="A199" s="592" t="n">
        <v>1037</v>
      </c>
      <c r="B199" s="245" t="s">
        <v>473</v>
      </c>
      <c r="C199" s="202" t="s">
        <v>337</v>
      </c>
      <c r="D199" s="135" t="s">
        <v>8</v>
      </c>
      <c r="E199" s="618" t="n">
        <v>42568</v>
      </c>
      <c r="F199" s="137" t="s">
        <v>29</v>
      </c>
    </row>
    <row r="200" customFormat="false" ht="23.25" hidden="false" customHeight="true" outlineLevel="0" collapsed="false">
      <c r="A200" s="592" t="n">
        <v>1038</v>
      </c>
      <c r="B200" s="202" t="s">
        <v>473</v>
      </c>
      <c r="C200" s="202" t="s">
        <v>474</v>
      </c>
      <c r="D200" s="135" t="s">
        <v>26</v>
      </c>
      <c r="E200" s="618" t="n">
        <v>43592</v>
      </c>
      <c r="F200" s="137" t="s">
        <v>29</v>
      </c>
    </row>
    <row r="201" customFormat="false" ht="23.25" hidden="false" customHeight="true" outlineLevel="0" collapsed="false">
      <c r="A201" s="592" t="n">
        <v>3052</v>
      </c>
      <c r="B201" s="615" t="s">
        <v>475</v>
      </c>
      <c r="C201" s="615" t="s">
        <v>63</v>
      </c>
      <c r="D201" s="135" t="s">
        <v>8</v>
      </c>
      <c r="E201" s="622" t="n">
        <v>41109</v>
      </c>
      <c r="F201" s="137" t="s">
        <v>34</v>
      </c>
    </row>
    <row r="202" customFormat="false" ht="23.25" hidden="false" customHeight="true" outlineLevel="0" collapsed="false">
      <c r="A202" s="592" t="n">
        <v>1039</v>
      </c>
      <c r="B202" s="617" t="s">
        <v>476</v>
      </c>
      <c r="C202" s="615" t="s">
        <v>23</v>
      </c>
      <c r="D202" s="135" t="s">
        <v>8</v>
      </c>
      <c r="E202" s="618" t="n">
        <v>43363</v>
      </c>
      <c r="F202" s="137" t="s">
        <v>34</v>
      </c>
    </row>
    <row r="203" customFormat="false" ht="12.75" hidden="false" customHeight="true" outlineLevel="0" collapsed="false">
      <c r="A203" s="592" t="n">
        <v>2056</v>
      </c>
      <c r="B203" s="593" t="s">
        <v>477</v>
      </c>
      <c r="C203" s="594" t="s">
        <v>67</v>
      </c>
      <c r="D203" s="135" t="s">
        <v>8</v>
      </c>
      <c r="E203" s="601" t="n">
        <v>2014</v>
      </c>
      <c r="F203" s="137" t="s">
        <v>9</v>
      </c>
    </row>
    <row r="204" customFormat="false" ht="12.75" hidden="false" customHeight="true" outlineLevel="0" collapsed="false">
      <c r="A204" s="592" t="n">
        <v>3053</v>
      </c>
      <c r="B204" s="594" t="s">
        <v>478</v>
      </c>
      <c r="C204" s="594" t="s">
        <v>246</v>
      </c>
      <c r="D204" s="135" t="s">
        <v>8</v>
      </c>
      <c r="E204" s="601" t="n">
        <v>2012</v>
      </c>
      <c r="F204" s="137" t="s">
        <v>9</v>
      </c>
    </row>
    <row r="205" customFormat="false" ht="23.25" hidden="false" customHeight="true" outlineLevel="0" collapsed="false">
      <c r="A205" s="592" t="n">
        <v>1040</v>
      </c>
      <c r="B205" s="617" t="s">
        <v>479</v>
      </c>
      <c r="C205" s="615" t="s">
        <v>228</v>
      </c>
      <c r="D205" s="135" t="s">
        <v>8</v>
      </c>
      <c r="E205" s="618" t="n">
        <v>42570</v>
      </c>
      <c r="F205" s="137" t="s">
        <v>52</v>
      </c>
    </row>
    <row r="206" customFormat="false" ht="23.25" hidden="false" customHeight="true" outlineLevel="0" collapsed="false">
      <c r="A206" s="592" t="n">
        <v>1041</v>
      </c>
      <c r="B206" s="245" t="s">
        <v>480</v>
      </c>
      <c r="C206" s="202" t="s">
        <v>393</v>
      </c>
      <c r="D206" s="135" t="s">
        <v>8</v>
      </c>
      <c r="E206" s="618" t="n">
        <v>43148</v>
      </c>
      <c r="F206" s="137" t="s">
        <v>29</v>
      </c>
    </row>
    <row r="207" customFormat="false" ht="23.25" hidden="false" customHeight="true" outlineLevel="0" collapsed="false">
      <c r="A207" s="592" t="n">
        <v>2057</v>
      </c>
      <c r="B207" s="624" t="s">
        <v>483</v>
      </c>
      <c r="C207" s="625" t="s">
        <v>484</v>
      </c>
      <c r="D207" s="135" t="s">
        <v>8</v>
      </c>
      <c r="E207" s="622" t="n">
        <v>41670</v>
      </c>
      <c r="F207" s="137" t="s">
        <v>12</v>
      </c>
    </row>
    <row r="208" customFormat="false" ht="23.25" hidden="false" customHeight="true" outlineLevel="0" collapsed="false">
      <c r="A208" s="592" t="n">
        <v>1042</v>
      </c>
      <c r="B208" s="593" t="s">
        <v>485</v>
      </c>
      <c r="C208" s="666" t="s">
        <v>323</v>
      </c>
      <c r="D208" s="135" t="s">
        <v>8</v>
      </c>
      <c r="E208" s="618" t="n">
        <v>42684</v>
      </c>
      <c r="F208" s="137" t="s">
        <v>29</v>
      </c>
    </row>
    <row r="209" customFormat="false" ht="23.25" hidden="false" customHeight="true" outlineLevel="0" collapsed="false">
      <c r="A209" s="592" t="n">
        <v>1043</v>
      </c>
      <c r="B209" s="617" t="s">
        <v>490</v>
      </c>
      <c r="C209" s="615" t="s">
        <v>491</v>
      </c>
      <c r="D209" s="135" t="s">
        <v>8</v>
      </c>
      <c r="E209" s="618" t="n">
        <v>42573</v>
      </c>
      <c r="F209" s="137" t="s">
        <v>17</v>
      </c>
    </row>
    <row r="210" customFormat="false" ht="23.25" hidden="false" customHeight="true" outlineLevel="0" collapsed="false">
      <c r="A210" s="592" t="n">
        <v>3054</v>
      </c>
      <c r="B210" s="615" t="s">
        <v>492</v>
      </c>
      <c r="C210" s="615" t="s">
        <v>493</v>
      </c>
      <c r="D210" s="135" t="s">
        <v>8</v>
      </c>
      <c r="E210" s="622" t="n">
        <v>41308</v>
      </c>
      <c r="F210" s="137" t="s">
        <v>17</v>
      </c>
    </row>
    <row r="211" customFormat="false" ht="23.25" hidden="false" customHeight="true" outlineLevel="0" collapsed="false">
      <c r="A211" s="592" t="n">
        <v>1044</v>
      </c>
      <c r="B211" s="617" t="s">
        <v>494</v>
      </c>
      <c r="C211" s="615" t="s">
        <v>495</v>
      </c>
      <c r="D211" s="135" t="s">
        <v>26</v>
      </c>
      <c r="E211" s="618" t="n">
        <v>42430</v>
      </c>
      <c r="F211" s="137" t="s">
        <v>34</v>
      </c>
    </row>
    <row r="212" customFormat="false" ht="23.25" hidden="false" customHeight="true" outlineLevel="0" collapsed="false">
      <c r="A212" s="592" t="n">
        <v>2058</v>
      </c>
      <c r="B212" s="617" t="s">
        <v>500</v>
      </c>
      <c r="C212" s="615" t="s">
        <v>501</v>
      </c>
      <c r="D212" s="135" t="s">
        <v>8</v>
      </c>
      <c r="E212" s="622" t="n">
        <v>42327</v>
      </c>
      <c r="F212" s="137" t="s">
        <v>52</v>
      </c>
    </row>
    <row r="213" customFormat="false" ht="12.75" hidden="false" customHeight="true" outlineLevel="0" collapsed="false">
      <c r="A213" s="592" t="n">
        <v>1045</v>
      </c>
      <c r="B213" s="593" t="s">
        <v>503</v>
      </c>
      <c r="C213" s="594" t="s">
        <v>47</v>
      </c>
      <c r="D213" s="135" t="s">
        <v>8</v>
      </c>
      <c r="E213" s="601" t="n">
        <v>2020</v>
      </c>
      <c r="F213" s="137" t="s">
        <v>9</v>
      </c>
    </row>
    <row r="214" customFormat="false" ht="23.25" hidden="false" customHeight="true" outlineLevel="0" collapsed="false">
      <c r="A214" s="592" t="n">
        <v>1046</v>
      </c>
      <c r="B214" s="617" t="s">
        <v>507</v>
      </c>
      <c r="C214" s="615" t="s">
        <v>508</v>
      </c>
      <c r="D214" s="135" t="s">
        <v>26</v>
      </c>
      <c r="E214" s="618" t="n">
        <v>42540</v>
      </c>
      <c r="F214" s="137" t="s">
        <v>34</v>
      </c>
    </row>
    <row r="215" customFormat="false" ht="13.5" hidden="false" customHeight="true" outlineLevel="0" collapsed="false">
      <c r="A215" s="592" t="n">
        <v>2059</v>
      </c>
      <c r="B215" s="245" t="s">
        <v>509</v>
      </c>
      <c r="C215" s="245" t="s">
        <v>510</v>
      </c>
      <c r="D215" s="135" t="s">
        <v>26</v>
      </c>
      <c r="E215" s="636" t="n">
        <v>41657</v>
      </c>
      <c r="F215" s="137" t="s">
        <v>29</v>
      </c>
    </row>
    <row r="216" customFormat="false" ht="12.75" hidden="false" customHeight="true" outlineLevel="0" collapsed="false">
      <c r="A216" s="592" t="n">
        <v>3055</v>
      </c>
      <c r="B216" s="594" t="s">
        <v>511</v>
      </c>
      <c r="C216" s="594" t="s">
        <v>112</v>
      </c>
      <c r="D216" s="135" t="s">
        <v>8</v>
      </c>
      <c r="E216" s="664" t="n">
        <v>41608</v>
      </c>
      <c r="F216" s="137" t="s">
        <v>9</v>
      </c>
    </row>
    <row r="217" customFormat="false" ht="12.75" hidden="false" customHeight="true" outlineLevel="0" collapsed="false">
      <c r="A217" s="592" t="n">
        <v>3056</v>
      </c>
      <c r="B217" s="594" t="s">
        <v>514</v>
      </c>
      <c r="C217" s="594" t="s">
        <v>515</v>
      </c>
      <c r="D217" s="135" t="s">
        <v>8</v>
      </c>
      <c r="E217" s="601" t="n">
        <v>2012</v>
      </c>
      <c r="F217" s="137" t="s">
        <v>9</v>
      </c>
    </row>
    <row r="218" customFormat="false" ht="23.25" hidden="false" customHeight="true" outlineLevel="0" collapsed="false">
      <c r="A218" s="592" t="n">
        <v>3057</v>
      </c>
      <c r="B218" s="667" t="s">
        <v>1445</v>
      </c>
      <c r="C218" s="667" t="s">
        <v>516</v>
      </c>
      <c r="D218" s="135" t="s">
        <v>8</v>
      </c>
      <c r="E218" s="622" t="n">
        <v>41104</v>
      </c>
      <c r="F218" s="137" t="s">
        <v>20</v>
      </c>
    </row>
    <row r="219" customFormat="false" ht="23.25" hidden="false" customHeight="true" outlineLevel="0" collapsed="false">
      <c r="A219" s="592" t="n">
        <v>1047</v>
      </c>
      <c r="B219" s="617" t="s">
        <v>517</v>
      </c>
      <c r="C219" s="615" t="s">
        <v>518</v>
      </c>
      <c r="D219" s="135" t="s">
        <v>8</v>
      </c>
      <c r="E219" s="618" t="s">
        <v>1446</v>
      </c>
      <c r="F219" s="137" t="s">
        <v>143</v>
      </c>
    </row>
    <row r="220" customFormat="false" ht="13.5" hidden="false" customHeight="true" outlineLevel="0" collapsed="false">
      <c r="A220" s="592" t="n">
        <v>2060</v>
      </c>
      <c r="B220" s="245" t="s">
        <v>519</v>
      </c>
      <c r="C220" s="245" t="s">
        <v>520</v>
      </c>
      <c r="D220" s="135" t="s">
        <v>8</v>
      </c>
      <c r="E220" s="636" t="n">
        <v>42113</v>
      </c>
      <c r="F220" s="137" t="s">
        <v>29</v>
      </c>
    </row>
    <row r="221" customFormat="false" ht="23.25" hidden="false" customHeight="true" outlineLevel="0" collapsed="false">
      <c r="A221" s="592" t="n">
        <v>3058</v>
      </c>
      <c r="B221" s="594" t="s">
        <v>519</v>
      </c>
      <c r="C221" s="594" t="s">
        <v>521</v>
      </c>
      <c r="D221" s="135" t="s">
        <v>8</v>
      </c>
      <c r="E221" s="622" t="n">
        <v>41299</v>
      </c>
      <c r="F221" s="137" t="s">
        <v>29</v>
      </c>
    </row>
    <row r="222" customFormat="false" ht="23.25" hidden="false" customHeight="true" outlineLevel="0" collapsed="false">
      <c r="A222" s="592" t="n">
        <v>2061</v>
      </c>
      <c r="B222" s="593" t="s">
        <v>522</v>
      </c>
      <c r="C222" s="594" t="s">
        <v>61</v>
      </c>
      <c r="D222" s="135" t="s">
        <v>8</v>
      </c>
      <c r="E222" s="622" t="n">
        <v>41953</v>
      </c>
      <c r="F222" s="137" t="s">
        <v>29</v>
      </c>
    </row>
    <row r="223" customFormat="false" ht="13.5" hidden="false" customHeight="true" outlineLevel="0" collapsed="false">
      <c r="A223" s="592" t="n">
        <v>2062</v>
      </c>
      <c r="B223" s="202" t="s">
        <v>523</v>
      </c>
      <c r="C223" s="245" t="s">
        <v>14</v>
      </c>
      <c r="D223" s="135" t="s">
        <v>8</v>
      </c>
      <c r="E223" s="636" t="n">
        <v>41648</v>
      </c>
      <c r="F223" s="137" t="s">
        <v>29</v>
      </c>
    </row>
    <row r="224" customFormat="false" ht="12.75" hidden="false" customHeight="true" outlineLevel="0" collapsed="false">
      <c r="A224" s="592" t="n">
        <v>2076</v>
      </c>
      <c r="B224" s="633" t="s">
        <v>524</v>
      </c>
      <c r="C224" s="633" t="s">
        <v>525</v>
      </c>
      <c r="D224" s="228" t="s">
        <v>8</v>
      </c>
      <c r="E224" s="668" t="n">
        <v>41859</v>
      </c>
      <c r="F224" s="228" t="s">
        <v>20</v>
      </c>
    </row>
    <row r="225" customFormat="false" ht="13.5" hidden="false" customHeight="true" outlineLevel="0" collapsed="false">
      <c r="A225" s="592" t="n">
        <v>2063</v>
      </c>
      <c r="B225" s="245" t="s">
        <v>526</v>
      </c>
      <c r="C225" s="245" t="s">
        <v>527</v>
      </c>
      <c r="D225" s="135" t="s">
        <v>8</v>
      </c>
      <c r="E225" s="636" t="n">
        <v>41831</v>
      </c>
      <c r="F225" s="137" t="s">
        <v>29</v>
      </c>
    </row>
    <row r="226" customFormat="false" ht="23.25" hidden="false" customHeight="true" outlineLevel="0" collapsed="false">
      <c r="A226" s="592" t="n">
        <v>2064</v>
      </c>
      <c r="B226" s="617" t="s">
        <v>532</v>
      </c>
      <c r="C226" s="615" t="s">
        <v>533</v>
      </c>
      <c r="D226" s="135" t="s">
        <v>26</v>
      </c>
      <c r="E226" s="622" t="n">
        <v>41910</v>
      </c>
      <c r="F226" s="137" t="s">
        <v>34</v>
      </c>
    </row>
    <row r="227" customFormat="false" ht="12.75" hidden="false" customHeight="true" outlineLevel="0" collapsed="false">
      <c r="A227" s="592" t="n">
        <v>4042</v>
      </c>
      <c r="B227" s="624" t="s">
        <v>534</v>
      </c>
      <c r="C227" s="625" t="s">
        <v>41</v>
      </c>
      <c r="D227" s="135" t="s">
        <v>8</v>
      </c>
      <c r="E227" s="601" t="n">
        <v>2008</v>
      </c>
      <c r="F227" s="137" t="s">
        <v>9</v>
      </c>
    </row>
    <row r="228" customFormat="false" ht="23.25" hidden="false" customHeight="true" outlineLevel="0" collapsed="false">
      <c r="A228" s="592" t="n">
        <v>3059</v>
      </c>
      <c r="B228" s="615" t="s">
        <v>535</v>
      </c>
      <c r="C228" s="615" t="s">
        <v>536</v>
      </c>
      <c r="D228" s="135" t="s">
        <v>26</v>
      </c>
      <c r="E228" s="622" t="n">
        <v>41371</v>
      </c>
      <c r="F228" s="137" t="s">
        <v>52</v>
      </c>
    </row>
    <row r="229" customFormat="false" ht="23.25" hidden="false" customHeight="true" outlineLevel="0" collapsed="false">
      <c r="A229" s="592" t="n">
        <v>1048</v>
      </c>
      <c r="B229" s="617" t="s">
        <v>537</v>
      </c>
      <c r="C229" s="615" t="s">
        <v>14</v>
      </c>
      <c r="D229" s="135" t="s">
        <v>8</v>
      </c>
      <c r="E229" s="618" t="n">
        <v>42623</v>
      </c>
      <c r="F229" s="137" t="s">
        <v>52</v>
      </c>
    </row>
    <row r="230" customFormat="false" ht="13.5" hidden="false" customHeight="true" outlineLevel="0" collapsed="false">
      <c r="A230" s="592" t="n">
        <v>4109</v>
      </c>
      <c r="B230" s="245" t="s">
        <v>538</v>
      </c>
      <c r="C230" s="245" t="s">
        <v>539</v>
      </c>
      <c r="D230" s="135" t="s">
        <v>8</v>
      </c>
      <c r="E230" s="636" t="n">
        <v>40849</v>
      </c>
      <c r="F230" s="137" t="s">
        <v>29</v>
      </c>
    </row>
    <row r="231" customFormat="false" ht="23.25" hidden="false" customHeight="true" outlineLevel="0" collapsed="false">
      <c r="A231" s="592" t="n">
        <v>1049</v>
      </c>
      <c r="B231" s="617" t="s">
        <v>540</v>
      </c>
      <c r="C231" s="615" t="s">
        <v>541</v>
      </c>
      <c r="D231" s="135" t="s">
        <v>8</v>
      </c>
      <c r="E231" s="618" t="n">
        <v>42484</v>
      </c>
      <c r="F231" s="137" t="s">
        <v>34</v>
      </c>
    </row>
    <row r="232" customFormat="false" ht="23.25" hidden="false" customHeight="true" outlineLevel="0" collapsed="false">
      <c r="A232" s="592" t="n">
        <v>2065</v>
      </c>
      <c r="B232" s="617" t="s">
        <v>540</v>
      </c>
      <c r="C232" s="615" t="s">
        <v>542</v>
      </c>
      <c r="D232" s="135" t="s">
        <v>8</v>
      </c>
      <c r="E232" s="622" t="n">
        <v>41700</v>
      </c>
      <c r="F232" s="137" t="s">
        <v>34</v>
      </c>
    </row>
    <row r="233" customFormat="false" ht="23.25" hidden="false" customHeight="true" outlineLevel="0" collapsed="false">
      <c r="A233" s="592" t="n">
        <v>1050</v>
      </c>
      <c r="B233" s="617" t="s">
        <v>543</v>
      </c>
      <c r="C233" s="615" t="s">
        <v>22</v>
      </c>
      <c r="D233" s="135" t="s">
        <v>8</v>
      </c>
      <c r="E233" s="618" t="n">
        <v>42581</v>
      </c>
      <c r="F233" s="137" t="s">
        <v>34</v>
      </c>
    </row>
    <row r="234" customFormat="false" ht="12.75" hidden="false" customHeight="true" outlineLevel="0" collapsed="false">
      <c r="A234" s="592" t="n">
        <v>1051</v>
      </c>
      <c r="B234" s="134" t="s">
        <v>544</v>
      </c>
      <c r="C234" s="134" t="s">
        <v>545</v>
      </c>
      <c r="D234" s="135" t="s">
        <v>8</v>
      </c>
      <c r="E234" s="661" t="n">
        <v>42474</v>
      </c>
      <c r="F234" s="137" t="s">
        <v>129</v>
      </c>
    </row>
    <row r="235" customFormat="false" ht="13.5" hidden="false" customHeight="true" outlineLevel="0" collapsed="false">
      <c r="A235" s="592" t="n">
        <v>2066</v>
      </c>
      <c r="B235" s="202" t="s">
        <v>546</v>
      </c>
      <c r="C235" s="245" t="s">
        <v>75</v>
      </c>
      <c r="D235" s="135" t="s">
        <v>8</v>
      </c>
      <c r="E235" s="636" t="n">
        <v>41705</v>
      </c>
      <c r="F235" s="137" t="s">
        <v>29</v>
      </c>
    </row>
    <row r="236" customFormat="false" ht="23.25" hidden="false" customHeight="true" outlineLevel="0" collapsed="false">
      <c r="A236" s="592" t="n">
        <v>2067</v>
      </c>
      <c r="B236" s="624" t="s">
        <v>548</v>
      </c>
      <c r="C236" s="631" t="s">
        <v>549</v>
      </c>
      <c r="D236" s="135" t="s">
        <v>8</v>
      </c>
      <c r="E236" s="622" t="n">
        <v>42031</v>
      </c>
      <c r="F236" s="137" t="s">
        <v>12</v>
      </c>
    </row>
    <row r="237" customFormat="false" ht="23.25" hidden="false" customHeight="true" outlineLevel="0" collapsed="false">
      <c r="A237" s="592" t="n">
        <v>4045</v>
      </c>
      <c r="B237" s="645" t="s">
        <v>552</v>
      </c>
      <c r="C237" s="621" t="s">
        <v>553</v>
      </c>
      <c r="D237" s="135" t="s">
        <v>8</v>
      </c>
      <c r="E237" s="622" t="n">
        <v>40181</v>
      </c>
      <c r="F237" s="137" t="s">
        <v>34</v>
      </c>
    </row>
    <row r="238" customFormat="false" ht="23.25" hidden="false" customHeight="true" outlineLevel="0" collapsed="false">
      <c r="A238" s="592" t="n">
        <v>1052</v>
      </c>
      <c r="B238" s="617" t="s">
        <v>555</v>
      </c>
      <c r="C238" s="615" t="s">
        <v>556</v>
      </c>
      <c r="D238" s="135" t="s">
        <v>8</v>
      </c>
      <c r="E238" s="618" t="n">
        <v>42474</v>
      </c>
      <c r="F238" s="137" t="s">
        <v>52</v>
      </c>
    </row>
    <row r="239" customFormat="false" ht="23.25" hidden="false" customHeight="true" outlineLevel="0" collapsed="false">
      <c r="A239" s="592" t="n">
        <v>4046</v>
      </c>
      <c r="B239" s="617" t="s">
        <v>558</v>
      </c>
      <c r="C239" s="615" t="s">
        <v>559</v>
      </c>
      <c r="D239" s="135" t="s">
        <v>8</v>
      </c>
      <c r="E239" s="622" t="n">
        <v>40086</v>
      </c>
      <c r="F239" s="137" t="s">
        <v>20</v>
      </c>
    </row>
    <row r="240" customFormat="false" ht="13.5" hidden="false" customHeight="true" outlineLevel="0" collapsed="false">
      <c r="A240" s="592" t="n">
        <v>2068</v>
      </c>
      <c r="B240" s="245" t="s">
        <v>560</v>
      </c>
      <c r="C240" s="669" t="s">
        <v>561</v>
      </c>
      <c r="D240" s="135" t="s">
        <v>8</v>
      </c>
      <c r="E240" s="636" t="n">
        <v>42239</v>
      </c>
      <c r="F240" s="137" t="s">
        <v>29</v>
      </c>
    </row>
    <row r="241" customFormat="false" ht="23.25" hidden="false" customHeight="true" outlineLevel="0" collapsed="false">
      <c r="A241" s="592" t="n">
        <v>1053</v>
      </c>
      <c r="B241" s="617" t="s">
        <v>562</v>
      </c>
      <c r="C241" s="615" t="s">
        <v>520</v>
      </c>
      <c r="D241" s="135" t="s">
        <v>8</v>
      </c>
      <c r="E241" s="618" t="n">
        <v>42927</v>
      </c>
      <c r="F241" s="137" t="s">
        <v>34</v>
      </c>
    </row>
    <row r="242" customFormat="false" ht="12.75" hidden="false" customHeight="true" outlineLevel="0" collapsed="false">
      <c r="A242" s="592" t="n">
        <v>3060</v>
      </c>
      <c r="B242" s="594" t="s">
        <v>566</v>
      </c>
      <c r="C242" s="594" t="s">
        <v>311</v>
      </c>
      <c r="D242" s="135" t="s">
        <v>8</v>
      </c>
      <c r="E242" s="601" t="n">
        <v>2013</v>
      </c>
      <c r="F242" s="137" t="s">
        <v>9</v>
      </c>
    </row>
    <row r="243" customFormat="false" ht="23.25" hidden="false" customHeight="true" outlineLevel="0" collapsed="false">
      <c r="A243" s="592" t="n">
        <v>2069</v>
      </c>
      <c r="B243" s="593" t="s">
        <v>567</v>
      </c>
      <c r="C243" s="594" t="s">
        <v>406</v>
      </c>
      <c r="D243" s="135" t="s">
        <v>8</v>
      </c>
      <c r="E243" s="622" t="n">
        <v>41771</v>
      </c>
      <c r="F243" s="137" t="s">
        <v>29</v>
      </c>
    </row>
    <row r="244" customFormat="false" ht="23.25" hidden="false" customHeight="true" outlineLevel="0" collapsed="false">
      <c r="A244" s="592" t="n">
        <v>4047</v>
      </c>
      <c r="B244" s="593" t="s">
        <v>568</v>
      </c>
      <c r="C244" s="594" t="s">
        <v>569</v>
      </c>
      <c r="D244" s="135" t="s">
        <v>8</v>
      </c>
      <c r="E244" s="622" t="n">
        <v>40213</v>
      </c>
      <c r="F244" s="137" t="s">
        <v>29</v>
      </c>
    </row>
    <row r="245" customFormat="false" ht="23.25" hidden="false" customHeight="true" outlineLevel="0" collapsed="false">
      <c r="A245" s="592" t="n">
        <v>3061</v>
      </c>
      <c r="B245" s="615" t="s">
        <v>575</v>
      </c>
      <c r="C245" s="615" t="s">
        <v>576</v>
      </c>
      <c r="D245" s="135" t="s">
        <v>8</v>
      </c>
      <c r="E245" s="622" t="n">
        <v>41104</v>
      </c>
      <c r="F245" s="137" t="s">
        <v>34</v>
      </c>
    </row>
    <row r="246" customFormat="false" ht="23.25" hidden="false" customHeight="true" outlineLevel="0" collapsed="false">
      <c r="A246" s="592" t="n">
        <v>3062</v>
      </c>
      <c r="B246" s="615" t="s">
        <v>577</v>
      </c>
      <c r="C246" s="620" t="s">
        <v>578</v>
      </c>
      <c r="D246" s="135" t="s">
        <v>8</v>
      </c>
      <c r="E246" s="622" t="n">
        <v>41051</v>
      </c>
      <c r="F246" s="137" t="s">
        <v>17</v>
      </c>
    </row>
    <row r="247" customFormat="false" ht="23.25" hidden="false" customHeight="true" outlineLevel="0" collapsed="false">
      <c r="A247" s="592" t="n">
        <v>3063</v>
      </c>
      <c r="B247" s="615" t="s">
        <v>579</v>
      </c>
      <c r="C247" s="615" t="s">
        <v>31</v>
      </c>
      <c r="D247" s="135" t="s">
        <v>8</v>
      </c>
      <c r="E247" s="622" t="n">
        <v>41123</v>
      </c>
      <c r="F247" s="137" t="s">
        <v>34</v>
      </c>
    </row>
    <row r="248" customFormat="false" ht="23.25" hidden="false" customHeight="true" outlineLevel="0" collapsed="false">
      <c r="A248" s="592" t="n">
        <v>2070</v>
      </c>
      <c r="B248" s="624" t="s">
        <v>580</v>
      </c>
      <c r="C248" s="625" t="s">
        <v>581</v>
      </c>
      <c r="D248" s="135" t="s">
        <v>8</v>
      </c>
      <c r="E248" s="622" t="n">
        <v>41663</v>
      </c>
      <c r="F248" s="137" t="s">
        <v>12</v>
      </c>
    </row>
    <row r="249" customFormat="false" ht="13.5" hidden="false" customHeight="true" outlineLevel="0" collapsed="false">
      <c r="A249" s="592" t="n">
        <v>2071</v>
      </c>
      <c r="B249" s="245" t="s">
        <v>582</v>
      </c>
      <c r="C249" s="245" t="s">
        <v>583</v>
      </c>
      <c r="D249" s="135" t="s">
        <v>8</v>
      </c>
      <c r="E249" s="636" t="n">
        <v>41988</v>
      </c>
      <c r="F249" s="137" t="s">
        <v>29</v>
      </c>
    </row>
    <row r="250" customFormat="false" ht="23.25" hidden="false" customHeight="true" outlineLevel="0" collapsed="false">
      <c r="A250" s="592" t="n">
        <v>3064</v>
      </c>
      <c r="B250" s="594" t="s">
        <v>582</v>
      </c>
      <c r="C250" s="611" t="s">
        <v>584</v>
      </c>
      <c r="D250" s="135" t="s">
        <v>8</v>
      </c>
      <c r="E250" s="622" t="n">
        <v>41279</v>
      </c>
      <c r="F250" s="137" t="s">
        <v>29</v>
      </c>
    </row>
    <row r="251" customFormat="false" ht="23.25" hidden="false" customHeight="true" outlineLevel="0" collapsed="false">
      <c r="A251" s="592" t="n">
        <v>2072</v>
      </c>
      <c r="B251" s="617" t="s">
        <v>585</v>
      </c>
      <c r="C251" s="615" t="s">
        <v>63</v>
      </c>
      <c r="D251" s="135" t="s">
        <v>8</v>
      </c>
      <c r="E251" s="622" t="n">
        <v>42112</v>
      </c>
      <c r="F251" s="137" t="s">
        <v>52</v>
      </c>
    </row>
    <row r="252" customFormat="false" ht="23.25" hidden="false" customHeight="true" outlineLevel="0" collapsed="false">
      <c r="A252" s="592" t="n">
        <v>3065</v>
      </c>
      <c r="B252" s="615" t="s">
        <v>585</v>
      </c>
      <c r="C252" s="615" t="s">
        <v>587</v>
      </c>
      <c r="D252" s="135" t="s">
        <v>8</v>
      </c>
      <c r="E252" s="622" t="n">
        <v>41412</v>
      </c>
      <c r="F252" s="137" t="s">
        <v>52</v>
      </c>
    </row>
    <row r="253" customFormat="false" ht="12.75" hidden="false" customHeight="true" outlineLevel="0" collapsed="false">
      <c r="A253" s="592" t="n">
        <v>2073</v>
      </c>
      <c r="B253" s="593" t="s">
        <v>589</v>
      </c>
      <c r="C253" s="594" t="s">
        <v>590</v>
      </c>
      <c r="D253" s="135" t="s">
        <v>8</v>
      </c>
      <c r="E253" s="601" t="n">
        <v>2014</v>
      </c>
      <c r="F253" s="137" t="s">
        <v>9</v>
      </c>
    </row>
    <row r="254" customFormat="false" ht="12.75" hidden="false" customHeight="true" outlineLevel="0" collapsed="false">
      <c r="A254" s="592" t="n">
        <v>2074</v>
      </c>
      <c r="B254" s="593" t="s">
        <v>591</v>
      </c>
      <c r="C254" s="594" t="s">
        <v>201</v>
      </c>
      <c r="D254" s="135" t="s">
        <v>8</v>
      </c>
      <c r="E254" s="601" t="n">
        <v>2014</v>
      </c>
      <c r="F254" s="137" t="s">
        <v>9</v>
      </c>
    </row>
    <row r="255" customFormat="false" ht="23.25" hidden="false" customHeight="true" outlineLevel="0" collapsed="false">
      <c r="A255" s="592" t="n">
        <v>3066</v>
      </c>
      <c r="B255" s="615" t="s">
        <v>592</v>
      </c>
      <c r="C255" s="615" t="s">
        <v>593</v>
      </c>
      <c r="D255" s="135" t="s">
        <v>8</v>
      </c>
      <c r="E255" s="622" t="n">
        <v>41568</v>
      </c>
      <c r="F255" s="137" t="s">
        <v>34</v>
      </c>
    </row>
    <row r="256" customFormat="false" ht="23.25" hidden="false" customHeight="true" outlineLevel="0" collapsed="false">
      <c r="A256" s="592" t="n">
        <v>3067</v>
      </c>
      <c r="B256" s="615" t="s">
        <v>594</v>
      </c>
      <c r="C256" s="615" t="s">
        <v>228</v>
      </c>
      <c r="D256" s="135" t="s">
        <v>8</v>
      </c>
      <c r="E256" s="622" t="n">
        <v>41089</v>
      </c>
      <c r="F256" s="137" t="s">
        <v>17</v>
      </c>
    </row>
    <row r="257" customFormat="false" ht="12.75" hidden="false" customHeight="true" outlineLevel="0" collapsed="false">
      <c r="A257" s="592" t="n">
        <v>3068</v>
      </c>
      <c r="B257" s="594" t="s">
        <v>595</v>
      </c>
      <c r="C257" s="594" t="s">
        <v>455</v>
      </c>
      <c r="D257" s="135" t="s">
        <v>8</v>
      </c>
      <c r="E257" s="595" t="n">
        <v>41280</v>
      </c>
      <c r="F257" s="137" t="s">
        <v>9</v>
      </c>
    </row>
    <row r="258" customFormat="false" ht="23.25" hidden="false" customHeight="true" outlineLevel="0" collapsed="false">
      <c r="A258" s="592" t="n">
        <v>3069</v>
      </c>
      <c r="B258" s="625" t="s">
        <v>597</v>
      </c>
      <c r="C258" s="625" t="s">
        <v>598</v>
      </c>
      <c r="D258" s="135" t="s">
        <v>8</v>
      </c>
      <c r="E258" s="622" t="n">
        <v>40958</v>
      </c>
      <c r="F258" s="137" t="s">
        <v>12</v>
      </c>
    </row>
    <row r="259" customFormat="false" ht="23.25" hidden="false" customHeight="true" outlineLevel="0" collapsed="false">
      <c r="A259" s="592" t="n">
        <v>1054</v>
      </c>
      <c r="B259" s="645" t="s">
        <v>599</v>
      </c>
      <c r="C259" s="621" t="s">
        <v>600</v>
      </c>
      <c r="D259" s="135" t="s">
        <v>26</v>
      </c>
      <c r="E259" s="618" t="n">
        <v>42873</v>
      </c>
      <c r="F259" s="137" t="s">
        <v>20</v>
      </c>
    </row>
    <row r="260" customFormat="false" ht="23.25" hidden="false" customHeight="true" outlineLevel="0" collapsed="false">
      <c r="A260" s="592" t="n">
        <v>2075</v>
      </c>
      <c r="B260" s="617" t="s">
        <v>599</v>
      </c>
      <c r="C260" s="615" t="s">
        <v>602</v>
      </c>
      <c r="D260" s="135" t="s">
        <v>8</v>
      </c>
      <c r="E260" s="622" t="n">
        <v>41714</v>
      </c>
      <c r="F260" s="137" t="s">
        <v>20</v>
      </c>
    </row>
    <row r="261" customFormat="false" ht="23.25" hidden="false" customHeight="true" outlineLevel="0" collapsed="false">
      <c r="A261" s="592" t="n">
        <v>1055</v>
      </c>
      <c r="B261" s="202" t="s">
        <v>603</v>
      </c>
      <c r="C261" s="615" t="s">
        <v>604</v>
      </c>
      <c r="D261" s="135" t="s">
        <v>8</v>
      </c>
      <c r="E261" s="618" t="n">
        <v>42411</v>
      </c>
      <c r="F261" s="137" t="s">
        <v>52</v>
      </c>
    </row>
    <row r="262" customFormat="false" ht="23.25" hidden="false" customHeight="true" outlineLevel="0" collapsed="false">
      <c r="A262" s="592" t="n">
        <v>1056</v>
      </c>
      <c r="B262" s="617" t="s">
        <v>605</v>
      </c>
      <c r="C262" s="615" t="s">
        <v>43</v>
      </c>
      <c r="D262" s="135" t="s">
        <v>8</v>
      </c>
      <c r="E262" s="618" t="n">
        <v>42574</v>
      </c>
      <c r="F262" s="137" t="s">
        <v>34</v>
      </c>
    </row>
    <row r="263" customFormat="false" ht="13.5" hidden="false" customHeight="true" outlineLevel="0" collapsed="false">
      <c r="A263" s="592" t="n">
        <v>2077</v>
      </c>
      <c r="B263" s="245" t="s">
        <v>606</v>
      </c>
      <c r="C263" s="245" t="s">
        <v>607</v>
      </c>
      <c r="D263" s="135" t="s">
        <v>8</v>
      </c>
      <c r="E263" s="636" t="n">
        <v>42107</v>
      </c>
      <c r="F263" s="137" t="s">
        <v>29</v>
      </c>
    </row>
    <row r="264" customFormat="false" ht="23.25" hidden="false" customHeight="true" outlineLevel="0" collapsed="false">
      <c r="A264" s="592" t="n">
        <v>4048</v>
      </c>
      <c r="B264" s="617" t="s">
        <v>608</v>
      </c>
      <c r="C264" s="615" t="s">
        <v>609</v>
      </c>
      <c r="D264" s="135" t="s">
        <v>8</v>
      </c>
      <c r="E264" s="622" t="n">
        <v>40165</v>
      </c>
      <c r="F264" s="137" t="s">
        <v>34</v>
      </c>
    </row>
    <row r="265" customFormat="false" ht="23.25" hidden="false" customHeight="true" outlineLevel="0" collapsed="false">
      <c r="A265" s="592" t="n">
        <v>4064</v>
      </c>
      <c r="B265" s="617" t="s">
        <v>610</v>
      </c>
      <c r="C265" s="615" t="s">
        <v>611</v>
      </c>
      <c r="D265" s="135" t="s">
        <v>8</v>
      </c>
      <c r="E265" s="622" t="n">
        <v>40757</v>
      </c>
      <c r="F265" s="137" t="s">
        <v>52</v>
      </c>
    </row>
    <row r="266" customFormat="false" ht="12.75" hidden="false" customHeight="true" outlineLevel="0" collapsed="false">
      <c r="A266" s="592" t="n">
        <v>4050</v>
      </c>
      <c r="B266" s="593" t="s">
        <v>612</v>
      </c>
      <c r="C266" s="594" t="s">
        <v>393</v>
      </c>
      <c r="D266" s="135" t="s">
        <v>8</v>
      </c>
      <c r="E266" s="601" t="n">
        <v>2009</v>
      </c>
      <c r="F266" s="137" t="s">
        <v>9</v>
      </c>
    </row>
    <row r="267" customFormat="false" ht="23.25" hidden="false" customHeight="true" outlineLevel="0" collapsed="false">
      <c r="A267" s="592" t="n">
        <v>4051</v>
      </c>
      <c r="B267" s="645" t="s">
        <v>613</v>
      </c>
      <c r="C267" s="621" t="s">
        <v>614</v>
      </c>
      <c r="D267" s="135" t="s">
        <v>8</v>
      </c>
      <c r="E267" s="622" t="n">
        <v>40466</v>
      </c>
      <c r="F267" s="137" t="s">
        <v>34</v>
      </c>
    </row>
    <row r="268" customFormat="false" ht="23.25" hidden="false" customHeight="true" outlineLevel="0" collapsed="false">
      <c r="A268" s="592" t="n">
        <v>3070</v>
      </c>
      <c r="B268" s="625" t="s">
        <v>615</v>
      </c>
      <c r="C268" s="625" t="s">
        <v>447</v>
      </c>
      <c r="D268" s="135" t="s">
        <v>8</v>
      </c>
      <c r="E268" s="622" t="n">
        <v>41462</v>
      </c>
      <c r="F268" s="137" t="s">
        <v>12</v>
      </c>
    </row>
    <row r="269" customFormat="false" ht="23.25" hidden="false" customHeight="true" outlineLevel="0" collapsed="false">
      <c r="A269" s="592" t="n">
        <v>1057</v>
      </c>
      <c r="B269" s="593" t="s">
        <v>615</v>
      </c>
      <c r="C269" s="594" t="s">
        <v>616</v>
      </c>
      <c r="D269" s="135" t="s">
        <v>8</v>
      </c>
      <c r="E269" s="618" t="n">
        <v>42524</v>
      </c>
      <c r="F269" s="137" t="s">
        <v>29</v>
      </c>
    </row>
    <row r="270" customFormat="false" ht="12.75" hidden="false" customHeight="true" outlineLevel="0" collapsed="false">
      <c r="A270" s="592" t="n">
        <v>3071</v>
      </c>
      <c r="B270" s="594" t="s">
        <v>617</v>
      </c>
      <c r="C270" s="594" t="s">
        <v>618</v>
      </c>
      <c r="D270" s="135" t="s">
        <v>8</v>
      </c>
      <c r="E270" s="595" t="n">
        <v>41276</v>
      </c>
      <c r="F270" s="137" t="s">
        <v>9</v>
      </c>
    </row>
    <row r="271" customFormat="false" ht="23.25" hidden="false" customHeight="true" outlineLevel="0" collapsed="false">
      <c r="A271" s="592" t="n">
        <v>1058</v>
      </c>
      <c r="B271" s="617" t="s">
        <v>621</v>
      </c>
      <c r="C271" s="615" t="s">
        <v>622</v>
      </c>
      <c r="D271" s="135" t="s">
        <v>26</v>
      </c>
      <c r="E271" s="618" t="n">
        <v>42384</v>
      </c>
      <c r="F271" s="137" t="s">
        <v>52</v>
      </c>
    </row>
    <row r="272" customFormat="false" ht="23.25" hidden="false" customHeight="true" outlineLevel="0" collapsed="false">
      <c r="A272" s="592" t="n">
        <v>2078</v>
      </c>
      <c r="B272" s="617" t="s">
        <v>623</v>
      </c>
      <c r="C272" s="615" t="s">
        <v>624</v>
      </c>
      <c r="D272" s="135" t="s">
        <v>8</v>
      </c>
      <c r="E272" s="622" t="n">
        <v>41771</v>
      </c>
      <c r="F272" s="137" t="s">
        <v>52</v>
      </c>
    </row>
    <row r="273" customFormat="false" ht="13.5" hidden="false" customHeight="true" outlineLevel="0" collapsed="false">
      <c r="A273" s="592" t="n">
        <v>2079</v>
      </c>
      <c r="B273" s="245" t="s">
        <v>625</v>
      </c>
      <c r="C273" s="245" t="s">
        <v>54</v>
      </c>
      <c r="D273" s="135" t="s">
        <v>8</v>
      </c>
      <c r="E273" s="636" t="n">
        <v>41806</v>
      </c>
      <c r="F273" s="137" t="s">
        <v>29</v>
      </c>
    </row>
    <row r="274" customFormat="false" ht="23.25" hidden="false" customHeight="true" outlineLevel="0" collapsed="false">
      <c r="A274" s="592" t="n">
        <v>2080</v>
      </c>
      <c r="B274" s="617" t="s">
        <v>626</v>
      </c>
      <c r="C274" s="615" t="s">
        <v>199</v>
      </c>
      <c r="D274" s="135" t="s">
        <v>8</v>
      </c>
      <c r="E274" s="622" t="n">
        <v>42210</v>
      </c>
      <c r="F274" s="137" t="s">
        <v>34</v>
      </c>
    </row>
    <row r="275" customFormat="false" ht="23.25" hidden="false" customHeight="true" outlineLevel="0" collapsed="false">
      <c r="A275" s="592" t="n">
        <v>1059</v>
      </c>
      <c r="B275" s="617" t="s">
        <v>627</v>
      </c>
      <c r="C275" s="615" t="s">
        <v>316</v>
      </c>
      <c r="D275" s="135" t="s">
        <v>8</v>
      </c>
      <c r="E275" s="618" t="n">
        <v>42822</v>
      </c>
      <c r="F275" s="137" t="s">
        <v>52</v>
      </c>
    </row>
    <row r="276" customFormat="false" ht="13.5" hidden="false" customHeight="true" outlineLevel="0" collapsed="false">
      <c r="A276" s="592" t="n">
        <v>2081</v>
      </c>
      <c r="B276" s="245" t="s">
        <v>1447</v>
      </c>
      <c r="C276" s="245" t="s">
        <v>629</v>
      </c>
      <c r="D276" s="135" t="s">
        <v>8</v>
      </c>
      <c r="E276" s="636" t="n">
        <v>42208</v>
      </c>
      <c r="F276" s="137" t="s">
        <v>29</v>
      </c>
    </row>
    <row r="277" customFormat="false" ht="12.75" hidden="false" customHeight="true" outlineLevel="0" collapsed="false">
      <c r="A277" s="592" t="n">
        <v>2082</v>
      </c>
      <c r="B277" s="593" t="s">
        <v>631</v>
      </c>
      <c r="C277" s="594" t="s">
        <v>123</v>
      </c>
      <c r="D277" s="135" t="s">
        <v>8</v>
      </c>
      <c r="E277" s="601" t="n">
        <v>2014</v>
      </c>
      <c r="F277" s="137" t="s">
        <v>9</v>
      </c>
    </row>
    <row r="278" customFormat="false" ht="23.25" hidden="false" customHeight="true" outlineLevel="0" collapsed="false">
      <c r="A278" s="592" t="n">
        <v>4052</v>
      </c>
      <c r="B278" s="617" t="s">
        <v>632</v>
      </c>
      <c r="C278" s="615" t="s">
        <v>633</v>
      </c>
      <c r="D278" s="135" t="s">
        <v>8</v>
      </c>
      <c r="E278" s="622" t="n">
        <v>40485</v>
      </c>
      <c r="F278" s="137" t="s">
        <v>34</v>
      </c>
    </row>
    <row r="279" customFormat="false" ht="23.25" hidden="false" customHeight="true" outlineLevel="0" collapsed="false">
      <c r="A279" s="592" t="n">
        <v>2083</v>
      </c>
      <c r="B279" s="617" t="s">
        <v>632</v>
      </c>
      <c r="C279" s="615" t="s">
        <v>634</v>
      </c>
      <c r="D279" s="135" t="s">
        <v>8</v>
      </c>
      <c r="E279" s="622" t="n">
        <v>41798</v>
      </c>
      <c r="F279" s="137" t="s">
        <v>34</v>
      </c>
    </row>
    <row r="280" customFormat="false" ht="23.25" hidden="false" customHeight="true" outlineLevel="0" collapsed="false">
      <c r="A280" s="592" t="n">
        <v>3072</v>
      </c>
      <c r="B280" s="615" t="s">
        <v>635</v>
      </c>
      <c r="C280" s="615" t="s">
        <v>78</v>
      </c>
      <c r="D280" s="135" t="s">
        <v>8</v>
      </c>
      <c r="E280" s="622" t="s">
        <v>1448</v>
      </c>
      <c r="F280" s="137" t="s">
        <v>143</v>
      </c>
    </row>
    <row r="281" customFormat="false" ht="23.25" hidden="false" customHeight="true" outlineLevel="0" collapsed="false">
      <c r="A281" s="592" t="n">
        <v>2084</v>
      </c>
      <c r="B281" s="617" t="s">
        <v>637</v>
      </c>
      <c r="C281" s="615" t="s">
        <v>271</v>
      </c>
      <c r="D281" s="135" t="s">
        <v>8</v>
      </c>
      <c r="E281" s="622" t="n">
        <v>41890</v>
      </c>
      <c r="F281" s="137" t="s">
        <v>17</v>
      </c>
    </row>
    <row r="282" customFormat="false" ht="23.25" hidden="false" customHeight="true" outlineLevel="0" collapsed="false">
      <c r="A282" s="592" t="n">
        <v>3073</v>
      </c>
      <c r="B282" s="625" t="s">
        <v>640</v>
      </c>
      <c r="C282" s="625" t="s">
        <v>641</v>
      </c>
      <c r="D282" s="135" t="s">
        <v>8</v>
      </c>
      <c r="E282" s="622" t="n">
        <v>41628</v>
      </c>
      <c r="F282" s="137" t="s">
        <v>12</v>
      </c>
    </row>
    <row r="283" customFormat="false" ht="23.25" hidden="false" customHeight="true" outlineLevel="0" collapsed="false">
      <c r="A283" s="592" t="n">
        <v>1060</v>
      </c>
      <c r="B283" s="593" t="s">
        <v>640</v>
      </c>
      <c r="C283" s="594" t="s">
        <v>642</v>
      </c>
      <c r="D283" s="135" t="s">
        <v>8</v>
      </c>
      <c r="E283" s="618" t="n">
        <v>42825</v>
      </c>
      <c r="F283" s="137" t="s">
        <v>12</v>
      </c>
    </row>
    <row r="284" customFormat="false" ht="12.75" hidden="false" customHeight="true" outlineLevel="0" collapsed="false">
      <c r="A284" s="592" t="n">
        <v>1061</v>
      </c>
      <c r="B284" s="593" t="s">
        <v>646</v>
      </c>
      <c r="C284" s="594" t="s">
        <v>647</v>
      </c>
      <c r="D284" s="135" t="s">
        <v>8</v>
      </c>
      <c r="E284" s="601" t="n">
        <v>2018</v>
      </c>
      <c r="F284" s="137" t="s">
        <v>9</v>
      </c>
    </row>
    <row r="285" customFormat="false" ht="23.25" hidden="false" customHeight="true" outlineLevel="0" collapsed="false">
      <c r="A285" s="592" t="n">
        <v>1062</v>
      </c>
      <c r="B285" s="617" t="s">
        <v>648</v>
      </c>
      <c r="C285" s="615" t="s">
        <v>179</v>
      </c>
      <c r="D285" s="135" t="s">
        <v>8</v>
      </c>
      <c r="E285" s="618" t="n">
        <v>43674</v>
      </c>
      <c r="F285" s="137" t="s">
        <v>34</v>
      </c>
    </row>
    <row r="286" customFormat="false" ht="23.25" hidden="false" customHeight="true" outlineLevel="0" collapsed="false">
      <c r="A286" s="592" t="n">
        <v>3074</v>
      </c>
      <c r="B286" s="615" t="s">
        <v>649</v>
      </c>
      <c r="C286" s="615" t="s">
        <v>63</v>
      </c>
      <c r="D286" s="135" t="s">
        <v>8</v>
      </c>
      <c r="E286" s="622" t="n">
        <v>41394</v>
      </c>
      <c r="F286" s="137" t="s">
        <v>52</v>
      </c>
    </row>
    <row r="287" customFormat="false" ht="23.25" hidden="false" customHeight="true" outlineLevel="0" collapsed="false">
      <c r="A287" s="592" t="n">
        <v>4123</v>
      </c>
      <c r="B287" s="617" t="s">
        <v>650</v>
      </c>
      <c r="C287" s="615" t="s">
        <v>651</v>
      </c>
      <c r="D287" s="135" t="s">
        <v>26</v>
      </c>
      <c r="E287" s="622" t="n">
        <v>40743</v>
      </c>
      <c r="F287" s="137" t="s">
        <v>52</v>
      </c>
    </row>
    <row r="288" customFormat="false" ht="23.25" hidden="false" customHeight="true" outlineLevel="0" collapsed="false">
      <c r="A288" s="592" t="n">
        <v>1063</v>
      </c>
      <c r="B288" s="617" t="s">
        <v>652</v>
      </c>
      <c r="C288" s="615" t="s">
        <v>653</v>
      </c>
      <c r="D288" s="135" t="s">
        <v>26</v>
      </c>
      <c r="E288" s="618" t="n">
        <v>43694</v>
      </c>
      <c r="F288" s="137" t="s">
        <v>52</v>
      </c>
    </row>
    <row r="289" customFormat="false" ht="23.25" hidden="false" customHeight="true" outlineLevel="0" collapsed="false">
      <c r="A289" s="592" t="n">
        <v>1064</v>
      </c>
      <c r="B289" s="617" t="s">
        <v>654</v>
      </c>
      <c r="C289" s="615" t="s">
        <v>655</v>
      </c>
      <c r="D289" s="135" t="s">
        <v>8</v>
      </c>
      <c r="E289" s="618" t="n">
        <v>42951</v>
      </c>
      <c r="F289" s="137" t="s">
        <v>119</v>
      </c>
    </row>
    <row r="290" customFormat="false" ht="23.25" hidden="false" customHeight="true" outlineLevel="0" collapsed="false">
      <c r="A290" s="592" t="n">
        <v>3075</v>
      </c>
      <c r="B290" s="615" t="s">
        <v>657</v>
      </c>
      <c r="C290" s="615" t="s">
        <v>199</v>
      </c>
      <c r="D290" s="135" t="s">
        <v>8</v>
      </c>
      <c r="E290" s="622" t="n">
        <v>41202</v>
      </c>
      <c r="F290" s="137" t="s">
        <v>52</v>
      </c>
    </row>
    <row r="291" customFormat="false" ht="12.75" hidden="false" customHeight="true" outlineLevel="0" collapsed="false">
      <c r="A291" s="592" t="n">
        <v>2212</v>
      </c>
      <c r="B291" s="44" t="s">
        <v>660</v>
      </c>
      <c r="C291" s="134" t="s">
        <v>246</v>
      </c>
      <c r="D291" s="135" t="s">
        <v>8</v>
      </c>
      <c r="E291" s="136" t="n">
        <v>42104</v>
      </c>
      <c r="F291" s="137" t="s">
        <v>119</v>
      </c>
      <c r="I291" s="590" t="s">
        <v>738</v>
      </c>
      <c r="J291" s="295" t="s">
        <v>660</v>
      </c>
      <c r="K291" s="590" t="s">
        <v>1430</v>
      </c>
      <c r="L291" s="629" t="n">
        <v>42104</v>
      </c>
    </row>
    <row r="292" customFormat="false" ht="23.25" hidden="false" customHeight="true" outlineLevel="0" collapsed="false">
      <c r="A292" s="592" t="n">
        <v>2085</v>
      </c>
      <c r="B292" s="617" t="s">
        <v>663</v>
      </c>
      <c r="C292" s="615" t="s">
        <v>123</v>
      </c>
      <c r="D292" s="135" t="s">
        <v>8</v>
      </c>
      <c r="E292" s="622" t="n">
        <v>41979</v>
      </c>
      <c r="F292" s="137" t="s">
        <v>52</v>
      </c>
    </row>
    <row r="293" customFormat="false" ht="23.25" hidden="false" customHeight="true" outlineLevel="0" collapsed="false">
      <c r="A293" s="592" t="n">
        <v>1065</v>
      </c>
      <c r="B293" s="617" t="s">
        <v>664</v>
      </c>
      <c r="C293" s="615" t="s">
        <v>665</v>
      </c>
      <c r="D293" s="135" t="s">
        <v>8</v>
      </c>
      <c r="E293" s="618" t="n">
        <v>42372</v>
      </c>
      <c r="F293" s="137" t="s">
        <v>129</v>
      </c>
    </row>
    <row r="294" customFormat="false" ht="12.75" hidden="false" customHeight="true" outlineLevel="0" collapsed="false">
      <c r="A294" s="592" t="n">
        <v>3076</v>
      </c>
      <c r="B294" s="594" t="s">
        <v>668</v>
      </c>
      <c r="C294" s="594" t="s">
        <v>210</v>
      </c>
      <c r="D294" s="135" t="s">
        <v>8</v>
      </c>
      <c r="E294" s="601" t="n">
        <v>2013</v>
      </c>
      <c r="F294" s="137" t="s">
        <v>9</v>
      </c>
    </row>
    <row r="295" customFormat="false" ht="23.25" hidden="false" customHeight="true" outlineLevel="0" collapsed="false">
      <c r="A295" s="592" t="n">
        <v>3077</v>
      </c>
      <c r="B295" s="615" t="s">
        <v>669</v>
      </c>
      <c r="C295" s="615" t="s">
        <v>670</v>
      </c>
      <c r="D295" s="135" t="s">
        <v>8</v>
      </c>
      <c r="E295" s="622" t="n">
        <v>41385</v>
      </c>
      <c r="F295" s="137" t="s">
        <v>34</v>
      </c>
    </row>
    <row r="296" customFormat="false" ht="12.75" hidden="false" customHeight="true" outlineLevel="0" collapsed="false">
      <c r="A296" s="592" t="n">
        <v>3078</v>
      </c>
      <c r="B296" s="594" t="s">
        <v>672</v>
      </c>
      <c r="C296" s="594" t="s">
        <v>673</v>
      </c>
      <c r="D296" s="135" t="s">
        <v>8</v>
      </c>
      <c r="E296" s="601" t="n">
        <v>2012</v>
      </c>
      <c r="F296" s="137" t="s">
        <v>9</v>
      </c>
    </row>
    <row r="297" customFormat="false" ht="12.75" hidden="false" customHeight="true" outlineLevel="0" collapsed="false">
      <c r="A297" s="592" t="n">
        <v>2086</v>
      </c>
      <c r="B297" s="593" t="s">
        <v>672</v>
      </c>
      <c r="C297" s="594" t="s">
        <v>235</v>
      </c>
      <c r="D297" s="135" t="s">
        <v>8</v>
      </c>
      <c r="E297" s="601" t="n">
        <v>2015</v>
      </c>
      <c r="F297" s="137" t="s">
        <v>9</v>
      </c>
    </row>
    <row r="298" customFormat="false" ht="23.25" hidden="false" customHeight="true" outlineLevel="0" collapsed="false">
      <c r="A298" s="592" t="n">
        <v>4054</v>
      </c>
      <c r="B298" s="617" t="s">
        <v>674</v>
      </c>
      <c r="C298" s="615" t="s">
        <v>675</v>
      </c>
      <c r="D298" s="135" t="s">
        <v>8</v>
      </c>
      <c r="E298" s="622" t="n">
        <v>40011</v>
      </c>
      <c r="F298" s="137" t="s">
        <v>52</v>
      </c>
    </row>
    <row r="299" customFormat="false" ht="12.75" hidden="false" customHeight="true" outlineLevel="0" collapsed="false">
      <c r="A299" s="592" t="n">
        <v>4055</v>
      </c>
      <c r="B299" s="624" t="s">
        <v>681</v>
      </c>
      <c r="C299" s="625" t="s">
        <v>316</v>
      </c>
      <c r="D299" s="135" t="s">
        <v>8</v>
      </c>
      <c r="E299" s="601" t="n">
        <v>2011</v>
      </c>
      <c r="F299" s="137" t="s">
        <v>9</v>
      </c>
    </row>
    <row r="300" customFormat="false" ht="23.25" hidden="false" customHeight="true" outlineLevel="0" collapsed="false">
      <c r="A300" s="592" t="n">
        <v>2087</v>
      </c>
      <c r="B300" s="617" t="s">
        <v>682</v>
      </c>
      <c r="C300" s="615" t="s">
        <v>400</v>
      </c>
      <c r="D300" s="135" t="s">
        <v>8</v>
      </c>
      <c r="E300" s="622" t="n">
        <v>42261</v>
      </c>
      <c r="F300" s="137" t="s">
        <v>52</v>
      </c>
    </row>
    <row r="301" customFormat="false" ht="12.75" hidden="false" customHeight="true" outlineLevel="0" collapsed="false">
      <c r="A301" s="592" t="n">
        <v>4056</v>
      </c>
      <c r="B301" s="624" t="s">
        <v>684</v>
      </c>
      <c r="C301" s="625" t="s">
        <v>250</v>
      </c>
      <c r="D301" s="135" t="s">
        <v>8</v>
      </c>
      <c r="E301" s="601" t="n">
        <v>2011</v>
      </c>
      <c r="F301" s="137" t="s">
        <v>9</v>
      </c>
    </row>
    <row r="302" customFormat="false" ht="13.5" hidden="false" customHeight="true" outlineLevel="0" collapsed="false">
      <c r="A302" s="592" t="n">
        <v>2088</v>
      </c>
      <c r="B302" s="245" t="s">
        <v>685</v>
      </c>
      <c r="C302" s="134" t="s">
        <v>686</v>
      </c>
      <c r="D302" s="135" t="s">
        <v>8</v>
      </c>
      <c r="E302" s="636" t="n">
        <v>41703</v>
      </c>
      <c r="F302" s="137" t="s">
        <v>29</v>
      </c>
    </row>
    <row r="303" customFormat="false" ht="12.75" hidden="false" customHeight="true" outlineLevel="0" collapsed="false">
      <c r="A303" s="592" t="n">
        <v>2213</v>
      </c>
      <c r="B303" s="129" t="s">
        <v>1449</v>
      </c>
      <c r="C303" s="134" t="s">
        <v>406</v>
      </c>
      <c r="D303" s="135" t="s">
        <v>8</v>
      </c>
      <c r="E303" s="136" t="n">
        <v>41770</v>
      </c>
      <c r="F303" s="137" t="s">
        <v>52</v>
      </c>
      <c r="J303" s="295"/>
      <c r="L303" s="629"/>
    </row>
    <row r="304" customFormat="false" ht="23.25" hidden="false" customHeight="true" outlineLevel="0" collapsed="false">
      <c r="A304" s="592" t="n">
        <v>2089</v>
      </c>
      <c r="B304" s="617" t="s">
        <v>687</v>
      </c>
      <c r="C304" s="615" t="s">
        <v>406</v>
      </c>
      <c r="D304" s="135" t="s">
        <v>8</v>
      </c>
      <c r="E304" s="622" t="n">
        <v>41770</v>
      </c>
      <c r="F304" s="137" t="s">
        <v>52</v>
      </c>
    </row>
    <row r="305" customFormat="false" ht="12.75" hidden="false" customHeight="true" outlineLevel="0" collapsed="false">
      <c r="A305" s="592" t="n">
        <v>3079</v>
      </c>
      <c r="B305" s="245" t="s">
        <v>688</v>
      </c>
      <c r="C305" s="202" t="s">
        <v>689</v>
      </c>
      <c r="D305" s="135" t="s">
        <v>8</v>
      </c>
      <c r="E305" s="616" t="n">
        <v>41533</v>
      </c>
      <c r="F305" s="137" t="s">
        <v>29</v>
      </c>
    </row>
    <row r="306" customFormat="false" ht="23.25" hidden="false" customHeight="true" outlineLevel="0" collapsed="false">
      <c r="A306" s="592" t="n">
        <v>1066</v>
      </c>
      <c r="B306" s="624" t="s">
        <v>690</v>
      </c>
      <c r="C306" s="625" t="s">
        <v>447</v>
      </c>
      <c r="D306" s="135" t="s">
        <v>8</v>
      </c>
      <c r="E306" s="618" t="n">
        <v>42560</v>
      </c>
      <c r="F306" s="137" t="s">
        <v>12</v>
      </c>
    </row>
    <row r="307" customFormat="false" ht="23.25" hidden="false" customHeight="true" outlineLevel="0" collapsed="false">
      <c r="A307" s="592" t="n">
        <v>2090</v>
      </c>
      <c r="B307" s="624" t="s">
        <v>690</v>
      </c>
      <c r="C307" s="625" t="s">
        <v>691</v>
      </c>
      <c r="D307" s="135" t="s">
        <v>8</v>
      </c>
      <c r="E307" s="622" t="n">
        <v>41782</v>
      </c>
      <c r="F307" s="137" t="s">
        <v>12</v>
      </c>
    </row>
    <row r="308" customFormat="false" ht="12.75" hidden="false" customHeight="true" outlineLevel="0" collapsed="false">
      <c r="A308" s="592" t="n">
        <v>2091</v>
      </c>
      <c r="B308" s="593" t="s">
        <v>692</v>
      </c>
      <c r="C308" s="594" t="s">
        <v>337</v>
      </c>
      <c r="D308" s="135" t="s">
        <v>26</v>
      </c>
      <c r="E308" s="601" t="n">
        <v>2014</v>
      </c>
      <c r="F308" s="137" t="s">
        <v>9</v>
      </c>
    </row>
    <row r="309" customFormat="false" ht="12.75" hidden="false" customHeight="true" outlineLevel="0" collapsed="false">
      <c r="A309" s="592" t="n">
        <v>3080</v>
      </c>
      <c r="B309" s="594" t="s">
        <v>692</v>
      </c>
      <c r="C309" s="594" t="s">
        <v>693</v>
      </c>
      <c r="D309" s="135" t="s">
        <v>8</v>
      </c>
      <c r="E309" s="601" t="n">
        <v>2012</v>
      </c>
      <c r="F309" s="137" t="s">
        <v>9</v>
      </c>
    </row>
    <row r="310" customFormat="false" ht="12.75" hidden="false" customHeight="true" outlineLevel="0" collapsed="false">
      <c r="A310" s="592" t="n">
        <v>2092</v>
      </c>
      <c r="B310" s="593" t="s">
        <v>694</v>
      </c>
      <c r="C310" s="594" t="s">
        <v>83</v>
      </c>
      <c r="D310" s="135" t="s">
        <v>8</v>
      </c>
      <c r="E310" s="601" t="n">
        <v>2014</v>
      </c>
      <c r="F310" s="137" t="s">
        <v>9</v>
      </c>
    </row>
    <row r="311" customFormat="false" ht="23.25" hidden="false" customHeight="true" outlineLevel="0" collapsed="false">
      <c r="A311" s="592" t="n">
        <v>2093</v>
      </c>
      <c r="B311" s="645" t="s">
        <v>695</v>
      </c>
      <c r="C311" s="621" t="s">
        <v>222</v>
      </c>
      <c r="D311" s="135" t="s">
        <v>8</v>
      </c>
      <c r="E311" s="622" t="n">
        <v>41970</v>
      </c>
      <c r="F311" s="137" t="s">
        <v>20</v>
      </c>
    </row>
    <row r="312" customFormat="false" ht="23.25" hidden="false" customHeight="true" outlineLevel="0" collapsed="false">
      <c r="A312" s="592" t="n">
        <v>3081</v>
      </c>
      <c r="B312" s="615" t="s">
        <v>696</v>
      </c>
      <c r="C312" s="615" t="s">
        <v>112</v>
      </c>
      <c r="D312" s="135" t="s">
        <v>8</v>
      </c>
      <c r="E312" s="622" t="n">
        <v>41243</v>
      </c>
      <c r="F312" s="137" t="s">
        <v>52</v>
      </c>
    </row>
    <row r="313" customFormat="false" ht="23.25" hidden="false" customHeight="true" outlineLevel="0" collapsed="false">
      <c r="A313" s="592" t="n">
        <v>2094</v>
      </c>
      <c r="B313" s="617" t="s">
        <v>697</v>
      </c>
      <c r="C313" s="615" t="s">
        <v>698</v>
      </c>
      <c r="D313" s="135" t="s">
        <v>8</v>
      </c>
      <c r="E313" s="622" t="n">
        <v>41938</v>
      </c>
      <c r="F313" s="137" t="s">
        <v>17</v>
      </c>
    </row>
    <row r="314" customFormat="false" ht="23.25" hidden="false" customHeight="true" outlineLevel="0" collapsed="false">
      <c r="A314" s="592" t="n">
        <v>3082</v>
      </c>
      <c r="B314" s="625" t="s">
        <v>701</v>
      </c>
      <c r="C314" s="625" t="s">
        <v>702</v>
      </c>
      <c r="D314" s="135" t="s">
        <v>8</v>
      </c>
      <c r="E314" s="622" t="n">
        <v>41376</v>
      </c>
      <c r="F314" s="137" t="s">
        <v>12</v>
      </c>
    </row>
    <row r="315" customFormat="false" ht="23.25" hidden="false" customHeight="true" outlineLevel="0" collapsed="false">
      <c r="A315" s="592" t="n">
        <v>3083</v>
      </c>
      <c r="B315" s="615" t="s">
        <v>703</v>
      </c>
      <c r="C315" s="615" t="s">
        <v>527</v>
      </c>
      <c r="D315" s="135" t="s">
        <v>8</v>
      </c>
      <c r="E315" s="622" t="n">
        <v>40932</v>
      </c>
      <c r="F315" s="137" t="s">
        <v>34</v>
      </c>
    </row>
    <row r="316" customFormat="false" ht="23.25" hidden="false" customHeight="true" outlineLevel="0" collapsed="false">
      <c r="A316" s="592" t="n">
        <v>3084</v>
      </c>
      <c r="B316" s="615" t="s">
        <v>703</v>
      </c>
      <c r="C316" s="615" t="s">
        <v>260</v>
      </c>
      <c r="D316" s="135" t="s">
        <v>8</v>
      </c>
      <c r="E316" s="622" t="n">
        <v>40932</v>
      </c>
      <c r="F316" s="137" t="s">
        <v>34</v>
      </c>
    </row>
    <row r="317" customFormat="false" ht="23.25" hidden="false" customHeight="true" outlineLevel="0" collapsed="false">
      <c r="A317" s="592" t="n">
        <v>1067</v>
      </c>
      <c r="B317" s="617" t="s">
        <v>704</v>
      </c>
      <c r="C317" s="615" t="s">
        <v>217</v>
      </c>
      <c r="D317" s="135" t="s">
        <v>8</v>
      </c>
      <c r="E317" s="618" t="n">
        <v>42671</v>
      </c>
      <c r="F317" s="137" t="s">
        <v>52</v>
      </c>
    </row>
    <row r="318" customFormat="false" ht="12.75" hidden="false" customHeight="true" outlineLevel="0" collapsed="false">
      <c r="A318" s="592" t="n">
        <v>3085</v>
      </c>
      <c r="B318" s="594" t="s">
        <v>705</v>
      </c>
      <c r="C318" s="594" t="s">
        <v>706</v>
      </c>
      <c r="D318" s="135" t="s">
        <v>8</v>
      </c>
      <c r="E318" s="601" t="n">
        <v>2012</v>
      </c>
      <c r="F318" s="137" t="s">
        <v>9</v>
      </c>
    </row>
    <row r="319" customFormat="false" ht="12.75" hidden="false" customHeight="true" outlineLevel="0" collapsed="false">
      <c r="A319" s="592" t="n">
        <v>1068</v>
      </c>
      <c r="B319" s="593" t="s">
        <v>707</v>
      </c>
      <c r="C319" s="594" t="s">
        <v>109</v>
      </c>
      <c r="D319" s="135" t="s">
        <v>26</v>
      </c>
      <c r="E319" s="601" t="n">
        <v>2018</v>
      </c>
      <c r="F319" s="137" t="s">
        <v>9</v>
      </c>
    </row>
    <row r="320" customFormat="false" ht="23.25" hidden="false" customHeight="true" outlineLevel="0" collapsed="false">
      <c r="A320" s="592" t="n">
        <v>1069</v>
      </c>
      <c r="B320" s="617" t="s">
        <v>712</v>
      </c>
      <c r="C320" s="615" t="s">
        <v>713</v>
      </c>
      <c r="D320" s="135" t="s">
        <v>8</v>
      </c>
      <c r="E320" s="618" t="n">
        <v>43372</v>
      </c>
      <c r="F320" s="137" t="s">
        <v>52</v>
      </c>
    </row>
    <row r="321" customFormat="false" ht="23.25" hidden="false" customHeight="true" outlineLevel="0" collapsed="false">
      <c r="A321" s="592" t="n">
        <v>4053</v>
      </c>
      <c r="B321" s="645" t="s">
        <v>714</v>
      </c>
      <c r="C321" s="621" t="s">
        <v>244</v>
      </c>
      <c r="D321" s="135" t="s">
        <v>8</v>
      </c>
      <c r="E321" s="622" t="n">
        <v>40745</v>
      </c>
      <c r="F321" s="137" t="s">
        <v>52</v>
      </c>
    </row>
    <row r="322" customFormat="false" ht="23.25" hidden="false" customHeight="true" outlineLevel="0" collapsed="false">
      <c r="A322" s="592" t="n">
        <v>2095</v>
      </c>
      <c r="B322" s="617" t="s">
        <v>714</v>
      </c>
      <c r="C322" s="615" t="s">
        <v>215</v>
      </c>
      <c r="D322" s="135" t="s">
        <v>8</v>
      </c>
      <c r="E322" s="622" t="n">
        <v>41682</v>
      </c>
      <c r="F322" s="137" t="s">
        <v>52</v>
      </c>
    </row>
    <row r="323" customFormat="false" ht="23.25" hidden="false" customHeight="true" outlineLevel="0" collapsed="false">
      <c r="A323" s="592" t="n">
        <v>3086</v>
      </c>
      <c r="B323" s="615" t="s">
        <v>715</v>
      </c>
      <c r="C323" s="615" t="s">
        <v>716</v>
      </c>
      <c r="D323" s="135" t="s">
        <v>8</v>
      </c>
      <c r="E323" s="622" t="n">
        <v>41577</v>
      </c>
      <c r="F323" s="137" t="s">
        <v>34</v>
      </c>
    </row>
    <row r="324" customFormat="false" ht="23.25" hidden="false" customHeight="true" outlineLevel="0" collapsed="false">
      <c r="A324" s="592" t="n">
        <v>4058</v>
      </c>
      <c r="B324" s="645" t="s">
        <v>717</v>
      </c>
      <c r="C324" s="621" t="s">
        <v>244</v>
      </c>
      <c r="D324" s="135" t="s">
        <v>8</v>
      </c>
      <c r="E324" s="622" t="n">
        <v>39194</v>
      </c>
      <c r="F324" s="137" t="s">
        <v>52</v>
      </c>
    </row>
    <row r="325" customFormat="false" ht="12.75" hidden="false" customHeight="true" outlineLevel="0" collapsed="false">
      <c r="A325" s="592" t="n">
        <v>3087</v>
      </c>
      <c r="B325" s="594" t="s">
        <v>720</v>
      </c>
      <c r="C325" s="594" t="s">
        <v>214</v>
      </c>
      <c r="D325" s="135" t="s">
        <v>8</v>
      </c>
      <c r="E325" s="601" t="n">
        <v>2013</v>
      </c>
      <c r="F325" s="137" t="s">
        <v>9</v>
      </c>
    </row>
    <row r="326" customFormat="false" ht="23.25" hidden="false" customHeight="true" outlineLevel="0" collapsed="false">
      <c r="A326" s="592" t="n">
        <v>2096</v>
      </c>
      <c r="B326" s="617" t="s">
        <v>724</v>
      </c>
      <c r="C326" s="615" t="s">
        <v>31</v>
      </c>
      <c r="D326" s="135" t="s">
        <v>8</v>
      </c>
      <c r="E326" s="622" t="n">
        <v>42066</v>
      </c>
      <c r="F326" s="137" t="s">
        <v>34</v>
      </c>
    </row>
    <row r="327" customFormat="false" ht="12.75" hidden="false" customHeight="true" outlineLevel="0" collapsed="false">
      <c r="A327" s="592" t="n">
        <v>2097</v>
      </c>
      <c r="B327" s="593" t="s">
        <v>1450</v>
      </c>
      <c r="C327" s="594" t="s">
        <v>726</v>
      </c>
      <c r="D327" s="135" t="s">
        <v>8</v>
      </c>
      <c r="E327" s="601" t="n">
        <v>2015</v>
      </c>
      <c r="F327" s="137" t="s">
        <v>9</v>
      </c>
    </row>
    <row r="328" customFormat="false" ht="23.25" hidden="false" customHeight="true" outlineLevel="0" collapsed="false">
      <c r="A328" s="592" t="n">
        <v>1070</v>
      </c>
      <c r="B328" s="617" t="s">
        <v>727</v>
      </c>
      <c r="C328" s="615" t="s">
        <v>134</v>
      </c>
      <c r="D328" s="135" t="s">
        <v>8</v>
      </c>
      <c r="E328" s="618" t="n">
        <v>42417</v>
      </c>
      <c r="F328" s="137" t="s">
        <v>52</v>
      </c>
    </row>
    <row r="329" customFormat="false" ht="12.75" hidden="false" customHeight="true" outlineLevel="0" collapsed="false">
      <c r="A329" s="592" t="n">
        <v>3088</v>
      </c>
      <c r="B329" s="594" t="s">
        <v>730</v>
      </c>
      <c r="C329" s="594" t="s">
        <v>260</v>
      </c>
      <c r="D329" s="135" t="s">
        <v>8</v>
      </c>
      <c r="E329" s="601" t="n">
        <v>2013</v>
      </c>
      <c r="F329" s="137" t="s">
        <v>9</v>
      </c>
    </row>
    <row r="330" customFormat="false" ht="23.25" hidden="false" customHeight="true" outlineLevel="0" collapsed="false">
      <c r="A330" s="592" t="n">
        <v>4059</v>
      </c>
      <c r="B330" s="645" t="s">
        <v>731</v>
      </c>
      <c r="C330" s="621" t="s">
        <v>361</v>
      </c>
      <c r="D330" s="135" t="s">
        <v>8</v>
      </c>
      <c r="E330" s="622" t="n">
        <v>40220</v>
      </c>
      <c r="F330" s="137" t="s">
        <v>17</v>
      </c>
    </row>
    <row r="331" customFormat="false" ht="12.75" hidden="false" customHeight="true" outlineLevel="0" collapsed="false">
      <c r="A331" s="592" t="n">
        <v>3089</v>
      </c>
      <c r="B331" s="594" t="s">
        <v>732</v>
      </c>
      <c r="C331" s="594" t="s">
        <v>314</v>
      </c>
      <c r="D331" s="135" t="s">
        <v>8</v>
      </c>
      <c r="E331" s="601" t="n">
        <v>2013</v>
      </c>
      <c r="F331" s="137" t="s">
        <v>9</v>
      </c>
    </row>
    <row r="332" customFormat="false" ht="12.75" hidden="false" customHeight="true" outlineLevel="0" collapsed="false">
      <c r="A332" s="592" t="n">
        <v>4060</v>
      </c>
      <c r="B332" s="624" t="s">
        <v>733</v>
      </c>
      <c r="C332" s="625" t="s">
        <v>734</v>
      </c>
      <c r="D332" s="135" t="s">
        <v>8</v>
      </c>
      <c r="E332" s="601" t="n">
        <v>2009</v>
      </c>
      <c r="F332" s="137" t="s">
        <v>9</v>
      </c>
    </row>
    <row r="333" customFormat="false" ht="23.25" hidden="false" customHeight="true" outlineLevel="0" collapsed="false">
      <c r="A333" s="592" t="n">
        <v>1073</v>
      </c>
      <c r="B333" s="245" t="s">
        <v>1451</v>
      </c>
      <c r="C333" s="202" t="s">
        <v>742</v>
      </c>
      <c r="D333" s="135" t="s">
        <v>26</v>
      </c>
      <c r="E333" s="618" t="n">
        <v>43121</v>
      </c>
      <c r="F333" s="137" t="s">
        <v>29</v>
      </c>
    </row>
    <row r="334" customFormat="false" ht="13.5" hidden="false" customHeight="true" outlineLevel="0" collapsed="false">
      <c r="A334" s="592" t="n">
        <v>2098</v>
      </c>
      <c r="B334" s="245" t="s">
        <v>1451</v>
      </c>
      <c r="C334" s="245" t="s">
        <v>743</v>
      </c>
      <c r="D334" s="135" t="s">
        <v>8</v>
      </c>
      <c r="E334" s="636" t="n">
        <v>42304</v>
      </c>
      <c r="F334" s="137" t="s">
        <v>29</v>
      </c>
    </row>
    <row r="335" customFormat="false" ht="12.75" hidden="false" customHeight="true" outlineLevel="0" collapsed="false">
      <c r="A335" s="592" t="n">
        <v>1136</v>
      </c>
      <c r="B335" s="670" t="s">
        <v>744</v>
      </c>
      <c r="C335" s="671" t="s">
        <v>210</v>
      </c>
      <c r="D335" s="135" t="s">
        <v>8</v>
      </c>
      <c r="E335" s="672" t="n">
        <v>42425</v>
      </c>
      <c r="F335" s="228" t="s">
        <v>129</v>
      </c>
    </row>
    <row r="336" customFormat="false" ht="12.75" hidden="false" customHeight="true" outlineLevel="0" collapsed="false">
      <c r="A336" s="592" t="n">
        <v>1137</v>
      </c>
      <c r="B336" s="670" t="s">
        <v>744</v>
      </c>
      <c r="C336" s="633" t="s">
        <v>745</v>
      </c>
      <c r="D336" s="135" t="s">
        <v>8</v>
      </c>
      <c r="E336" s="672" t="n">
        <v>42425</v>
      </c>
      <c r="F336" s="228" t="s">
        <v>129</v>
      </c>
    </row>
    <row r="337" customFormat="false" ht="12.75" hidden="false" customHeight="true" outlineLevel="0" collapsed="false">
      <c r="A337" s="592" t="n">
        <v>4062</v>
      </c>
      <c r="B337" s="593" t="s">
        <v>746</v>
      </c>
      <c r="C337" s="594" t="s">
        <v>747</v>
      </c>
      <c r="D337" s="135" t="s">
        <v>8</v>
      </c>
      <c r="E337" s="601" t="n">
        <v>2011</v>
      </c>
      <c r="F337" s="137" t="s">
        <v>9</v>
      </c>
    </row>
    <row r="338" customFormat="false" ht="12.75" hidden="false" customHeight="true" outlineLevel="0" collapsed="false">
      <c r="A338" s="592" t="n">
        <v>2099</v>
      </c>
      <c r="B338" s="593" t="s">
        <v>746</v>
      </c>
      <c r="C338" s="594" t="s">
        <v>459</v>
      </c>
      <c r="D338" s="135" t="s">
        <v>8</v>
      </c>
      <c r="E338" s="601" t="n">
        <v>2014</v>
      </c>
      <c r="F338" s="137" t="s">
        <v>9</v>
      </c>
    </row>
    <row r="339" customFormat="false" ht="23.25" hidden="false" customHeight="true" outlineLevel="0" collapsed="false">
      <c r="A339" s="592" t="n">
        <v>4063</v>
      </c>
      <c r="B339" s="617" t="s">
        <v>748</v>
      </c>
      <c r="C339" s="615" t="s">
        <v>14</v>
      </c>
      <c r="D339" s="135" t="s">
        <v>8</v>
      </c>
      <c r="E339" s="622" t="n">
        <v>39226</v>
      </c>
      <c r="F339" s="137" t="s">
        <v>17</v>
      </c>
    </row>
    <row r="340" customFormat="false" ht="23.25" hidden="false" customHeight="true" outlineLevel="0" collapsed="false">
      <c r="A340" s="592" t="n">
        <v>4057</v>
      </c>
      <c r="B340" s="617" t="s">
        <v>749</v>
      </c>
      <c r="C340" s="615" t="s">
        <v>750</v>
      </c>
      <c r="D340" s="135" t="s">
        <v>8</v>
      </c>
      <c r="E340" s="622" t="n">
        <v>40756</v>
      </c>
      <c r="F340" s="137" t="s">
        <v>52</v>
      </c>
    </row>
    <row r="341" customFormat="false" ht="12.75" hidden="false" customHeight="true" outlineLevel="0" collapsed="false">
      <c r="A341" s="592" t="n">
        <v>3090</v>
      </c>
      <c r="B341" s="245" t="s">
        <v>754</v>
      </c>
      <c r="C341" s="615" t="s">
        <v>755</v>
      </c>
      <c r="D341" s="135" t="s">
        <v>8</v>
      </c>
      <c r="E341" s="616" t="n">
        <v>41440</v>
      </c>
      <c r="F341" s="137" t="s">
        <v>29</v>
      </c>
    </row>
    <row r="342" customFormat="false" ht="23.25" hidden="false" customHeight="true" outlineLevel="0" collapsed="false">
      <c r="A342" s="592" t="n">
        <v>1074</v>
      </c>
      <c r="B342" s="617" t="s">
        <v>756</v>
      </c>
      <c r="C342" s="615" t="s">
        <v>757</v>
      </c>
      <c r="D342" s="135" t="s">
        <v>8</v>
      </c>
      <c r="E342" s="618" t="n">
        <v>42793</v>
      </c>
      <c r="F342" s="137" t="s">
        <v>34</v>
      </c>
    </row>
    <row r="343" customFormat="false" ht="12.75" hidden="false" customHeight="true" outlineLevel="0" collapsed="false">
      <c r="A343" s="592" t="n">
        <v>4065</v>
      </c>
      <c r="B343" s="593" t="s">
        <v>760</v>
      </c>
      <c r="C343" s="594" t="s">
        <v>761</v>
      </c>
      <c r="D343" s="135" t="s">
        <v>8</v>
      </c>
      <c r="E343" s="595" t="n">
        <v>39719</v>
      </c>
      <c r="F343" s="137" t="s">
        <v>9</v>
      </c>
    </row>
    <row r="344" customFormat="false" ht="13.5" hidden="false" customHeight="true" outlineLevel="0" collapsed="false">
      <c r="A344" s="592" t="n">
        <v>2100</v>
      </c>
      <c r="B344" s="245" t="s">
        <v>762</v>
      </c>
      <c r="C344" s="245" t="s">
        <v>242</v>
      </c>
      <c r="D344" s="135" t="s">
        <v>8</v>
      </c>
      <c r="E344" s="636" t="n">
        <v>42138</v>
      </c>
      <c r="F344" s="137" t="s">
        <v>29</v>
      </c>
    </row>
    <row r="345" customFormat="false" ht="12.75" hidden="false" customHeight="true" outlineLevel="0" collapsed="false">
      <c r="A345" s="592" t="n">
        <v>4139</v>
      </c>
      <c r="B345" s="673" t="s">
        <v>763</v>
      </c>
      <c r="C345" s="674" t="s">
        <v>75</v>
      </c>
      <c r="D345" s="135" t="s">
        <v>8</v>
      </c>
      <c r="E345" s="675" t="n">
        <v>40569</v>
      </c>
      <c r="F345" s="228" t="s">
        <v>52</v>
      </c>
    </row>
    <row r="346" customFormat="false" ht="23.25" hidden="false" customHeight="true" outlineLevel="0" collapsed="false">
      <c r="A346" s="592" t="n">
        <v>3091</v>
      </c>
      <c r="B346" s="676" t="s">
        <v>764</v>
      </c>
      <c r="C346" s="615" t="s">
        <v>250</v>
      </c>
      <c r="D346" s="135" t="s">
        <v>8</v>
      </c>
      <c r="E346" s="677" t="n">
        <v>41258</v>
      </c>
      <c r="F346" s="137" t="s">
        <v>34</v>
      </c>
    </row>
    <row r="347" customFormat="false" ht="23.25" hidden="false" customHeight="true" outlineLevel="0" collapsed="false">
      <c r="A347" s="592" t="n">
        <v>2101</v>
      </c>
      <c r="B347" s="617" t="s">
        <v>765</v>
      </c>
      <c r="C347" s="663" t="s">
        <v>165</v>
      </c>
      <c r="D347" s="135" t="s">
        <v>8</v>
      </c>
      <c r="E347" s="622" t="n">
        <v>42088</v>
      </c>
      <c r="F347" s="678" t="s">
        <v>34</v>
      </c>
      <c r="J347" s="656"/>
      <c r="K347" s="656"/>
      <c r="L347" s="656"/>
    </row>
    <row r="348" customFormat="false" ht="12.75" hidden="false" customHeight="true" outlineLevel="0" collapsed="false">
      <c r="A348" s="592" t="n">
        <v>2102</v>
      </c>
      <c r="B348" s="679" t="s">
        <v>767</v>
      </c>
      <c r="C348" s="666" t="s">
        <v>14</v>
      </c>
      <c r="D348" s="680" t="s">
        <v>8</v>
      </c>
      <c r="E348" s="681" t="n">
        <v>41915</v>
      </c>
      <c r="F348" s="678" t="s">
        <v>9</v>
      </c>
    </row>
    <row r="349" customFormat="false" ht="12.75" hidden="false" customHeight="true" outlineLevel="0" collapsed="false">
      <c r="A349" s="592" t="n">
        <v>4066</v>
      </c>
      <c r="B349" s="679" t="s">
        <v>767</v>
      </c>
      <c r="C349" s="666" t="s">
        <v>199</v>
      </c>
      <c r="D349" s="680" t="s">
        <v>8</v>
      </c>
      <c r="E349" s="681" t="n">
        <v>40801</v>
      </c>
      <c r="F349" s="678" t="s">
        <v>9</v>
      </c>
    </row>
    <row r="350" customFormat="false" ht="23.25" hidden="false" customHeight="true" outlineLevel="0" collapsed="false">
      <c r="A350" s="592" t="n">
        <v>4067</v>
      </c>
      <c r="B350" s="602" t="s">
        <v>768</v>
      </c>
      <c r="C350" s="603" t="s">
        <v>769</v>
      </c>
      <c r="D350" s="135" t="s">
        <v>8</v>
      </c>
      <c r="E350" s="682" t="n">
        <v>40213</v>
      </c>
      <c r="F350" s="137" t="s">
        <v>20</v>
      </c>
    </row>
    <row r="351" customFormat="false" ht="23.25" hidden="false" customHeight="true" outlineLevel="0" collapsed="false">
      <c r="A351" s="592" t="n">
        <v>3092</v>
      </c>
      <c r="B351" s="603" t="s">
        <v>772</v>
      </c>
      <c r="C351" s="603" t="s">
        <v>773</v>
      </c>
      <c r="D351" s="683" t="s">
        <v>8</v>
      </c>
      <c r="E351" s="609" t="n">
        <v>41202</v>
      </c>
      <c r="F351" s="137" t="s">
        <v>52</v>
      </c>
    </row>
    <row r="352" customFormat="false" ht="23.25" hidden="false" customHeight="true" outlineLevel="0" collapsed="false">
      <c r="A352" s="592" t="n">
        <v>1075</v>
      </c>
      <c r="B352" s="602" t="s">
        <v>772</v>
      </c>
      <c r="C352" s="603" t="s">
        <v>774</v>
      </c>
      <c r="D352" s="604" t="s">
        <v>8</v>
      </c>
      <c r="E352" s="605" t="n">
        <v>42641</v>
      </c>
      <c r="F352" s="684" t="s">
        <v>52</v>
      </c>
    </row>
    <row r="353" customFormat="false" ht="23.25" hidden="false" customHeight="true" outlineLevel="0" collapsed="false">
      <c r="A353" s="592" t="n">
        <v>1076</v>
      </c>
      <c r="B353" s="602" t="s">
        <v>775</v>
      </c>
      <c r="C353" s="603" t="s">
        <v>776</v>
      </c>
      <c r="D353" s="604" t="s">
        <v>8</v>
      </c>
      <c r="E353" s="605" t="n">
        <v>42499</v>
      </c>
      <c r="F353" s="606" t="s">
        <v>52</v>
      </c>
    </row>
    <row r="354" customFormat="false" ht="23.25" hidden="false" customHeight="true" outlineLevel="0" collapsed="false">
      <c r="A354" s="592" t="n">
        <v>2103</v>
      </c>
      <c r="B354" s="617" t="s">
        <v>775</v>
      </c>
      <c r="C354" s="615" t="s">
        <v>778</v>
      </c>
      <c r="D354" s="135" t="s">
        <v>8</v>
      </c>
      <c r="E354" s="622" t="n">
        <v>41979</v>
      </c>
      <c r="F354" s="137" t="s">
        <v>52</v>
      </c>
    </row>
    <row r="355" customFormat="false" ht="23.25" hidden="false" customHeight="true" outlineLevel="0" collapsed="false">
      <c r="A355" s="592" t="n">
        <v>2104</v>
      </c>
      <c r="B355" s="647" t="s">
        <v>779</v>
      </c>
      <c r="C355" s="648" t="s">
        <v>314</v>
      </c>
      <c r="D355" s="685" t="s">
        <v>8</v>
      </c>
      <c r="E355" s="628" t="n">
        <v>42230</v>
      </c>
      <c r="F355" s="600" t="s">
        <v>52</v>
      </c>
    </row>
    <row r="356" customFormat="false" ht="23.25" hidden="false" customHeight="true" outlineLevel="0" collapsed="false">
      <c r="A356" s="592" t="n">
        <v>1077</v>
      </c>
      <c r="B356" s="637" t="s">
        <v>781</v>
      </c>
      <c r="C356" s="659" t="s">
        <v>782</v>
      </c>
      <c r="D356" s="683" t="s">
        <v>26</v>
      </c>
      <c r="E356" s="605" t="n">
        <v>42780</v>
      </c>
      <c r="F356" s="606" t="s">
        <v>29</v>
      </c>
    </row>
    <row r="357" customFormat="false" ht="23.25" hidden="false" customHeight="true" outlineLevel="0" collapsed="false">
      <c r="A357" s="592" t="n">
        <v>1078</v>
      </c>
      <c r="B357" s="245" t="s">
        <v>781</v>
      </c>
      <c r="C357" s="202" t="s">
        <v>783</v>
      </c>
      <c r="D357" s="135" t="s">
        <v>26</v>
      </c>
      <c r="E357" s="618" t="n">
        <v>43511</v>
      </c>
      <c r="F357" s="137" t="s">
        <v>29</v>
      </c>
    </row>
    <row r="358" customFormat="false" ht="23.25" hidden="false" customHeight="true" outlineLevel="0" collapsed="false">
      <c r="A358" s="592" t="n">
        <v>2105</v>
      </c>
      <c r="B358" s="596" t="s">
        <v>784</v>
      </c>
      <c r="C358" s="686" t="s">
        <v>271</v>
      </c>
      <c r="D358" s="600" t="s">
        <v>8</v>
      </c>
      <c r="E358" s="628" t="n">
        <v>41927</v>
      </c>
      <c r="F358" s="687" t="s">
        <v>129</v>
      </c>
    </row>
    <row r="359" customFormat="false" ht="23.25" hidden="false" customHeight="true" outlineLevel="0" collapsed="false">
      <c r="A359" s="592" t="n">
        <v>1079</v>
      </c>
      <c r="B359" s="639" t="s">
        <v>786</v>
      </c>
      <c r="C359" s="640" t="s">
        <v>787</v>
      </c>
      <c r="D359" s="604" t="s">
        <v>26</v>
      </c>
      <c r="E359" s="605" t="n">
        <v>42820</v>
      </c>
      <c r="F359" s="606" t="s">
        <v>12</v>
      </c>
    </row>
    <row r="360" customFormat="false" ht="12.75" hidden="false" customHeight="true" outlineLevel="0" collapsed="false">
      <c r="A360" s="592" t="n">
        <v>2210</v>
      </c>
      <c r="B360" s="688" t="s">
        <v>1452</v>
      </c>
      <c r="C360" s="633"/>
      <c r="D360" s="135" t="s">
        <v>8</v>
      </c>
      <c r="E360" s="633"/>
      <c r="F360" s="137" t="s">
        <v>12</v>
      </c>
    </row>
    <row r="361" customFormat="false" ht="23.25" hidden="false" customHeight="true" outlineLevel="0" collapsed="false">
      <c r="A361" s="592" t="n">
        <v>1080</v>
      </c>
      <c r="B361" s="593" t="s">
        <v>788</v>
      </c>
      <c r="C361" s="593" t="s">
        <v>789</v>
      </c>
      <c r="D361" s="135" t="s">
        <v>8</v>
      </c>
      <c r="E361" s="622" t="n">
        <v>42558</v>
      </c>
      <c r="F361" s="137" t="s">
        <v>12</v>
      </c>
    </row>
    <row r="362" customFormat="false" ht="23.25" hidden="false" customHeight="true" outlineLevel="0" collapsed="false">
      <c r="A362" s="592" t="n">
        <v>4068</v>
      </c>
      <c r="B362" s="689" t="s">
        <v>788</v>
      </c>
      <c r="C362" s="689" t="s">
        <v>790</v>
      </c>
      <c r="D362" s="685" t="s">
        <v>8</v>
      </c>
      <c r="E362" s="628" t="n">
        <v>40905</v>
      </c>
      <c r="F362" s="600" t="s">
        <v>12</v>
      </c>
    </row>
    <row r="363" customFormat="false" ht="13.5" hidden="false" customHeight="true" outlineLevel="0" collapsed="false">
      <c r="A363" s="592" t="n">
        <v>4069</v>
      </c>
      <c r="B363" s="690" t="s">
        <v>791</v>
      </c>
      <c r="C363" s="691" t="s">
        <v>244</v>
      </c>
      <c r="D363" s="604" t="s">
        <v>8</v>
      </c>
      <c r="E363" s="638" t="n">
        <v>39250</v>
      </c>
      <c r="F363" s="606" t="s">
        <v>29</v>
      </c>
    </row>
    <row r="364" customFormat="false" ht="23.25" hidden="false" customHeight="true" outlineLevel="0" collapsed="false">
      <c r="A364" s="592" t="n">
        <v>4070</v>
      </c>
      <c r="B364" s="617" t="s">
        <v>793</v>
      </c>
      <c r="C364" s="615" t="s">
        <v>417</v>
      </c>
      <c r="D364" s="135" t="s">
        <v>8</v>
      </c>
      <c r="E364" s="622" t="n">
        <v>40069</v>
      </c>
      <c r="F364" s="137" t="s">
        <v>52</v>
      </c>
    </row>
    <row r="365" customFormat="false" ht="23.25" hidden="false" customHeight="true" outlineLevel="0" collapsed="false">
      <c r="A365" s="592" t="n">
        <v>2106</v>
      </c>
      <c r="B365" s="596" t="s">
        <v>795</v>
      </c>
      <c r="C365" s="597" t="s">
        <v>796</v>
      </c>
      <c r="D365" s="598" t="s">
        <v>8</v>
      </c>
      <c r="E365" s="628" t="n">
        <v>41802</v>
      </c>
      <c r="F365" s="692" t="s">
        <v>12</v>
      </c>
    </row>
    <row r="366" customFormat="false" ht="13.5" hidden="false" customHeight="true" outlineLevel="0" collapsed="false">
      <c r="A366" s="592" t="n">
        <v>2107</v>
      </c>
      <c r="B366" s="245" t="s">
        <v>1453</v>
      </c>
      <c r="C366" s="245" t="s">
        <v>797</v>
      </c>
      <c r="D366" s="135" t="s">
        <v>8</v>
      </c>
      <c r="E366" s="636" t="n">
        <v>42282</v>
      </c>
      <c r="F366" s="693" t="s">
        <v>29</v>
      </c>
    </row>
    <row r="367" customFormat="false" ht="23.25" hidden="false" customHeight="true" outlineLevel="0" collapsed="false">
      <c r="A367" s="592" t="n">
        <v>3093</v>
      </c>
      <c r="B367" s="631" t="s">
        <v>798</v>
      </c>
      <c r="C367" s="631" t="s">
        <v>447</v>
      </c>
      <c r="D367" s="694" t="s">
        <v>8</v>
      </c>
      <c r="E367" s="642" t="n">
        <v>41185</v>
      </c>
      <c r="F367" s="137" t="s">
        <v>12</v>
      </c>
    </row>
    <row r="368" customFormat="false" ht="23.25" hidden="false" customHeight="true" outlineLevel="0" collapsed="false">
      <c r="A368" s="592" t="n">
        <v>3094</v>
      </c>
      <c r="B368" s="608" t="s">
        <v>803</v>
      </c>
      <c r="C368" s="608" t="s">
        <v>370</v>
      </c>
      <c r="D368" s="604" t="s">
        <v>8</v>
      </c>
      <c r="E368" s="609" t="n">
        <v>41102</v>
      </c>
      <c r="F368" s="684" t="s">
        <v>20</v>
      </c>
    </row>
    <row r="369" customFormat="false" ht="13.5" hidden="false" customHeight="true" outlineLevel="0" collapsed="false">
      <c r="A369" s="592" t="n">
        <v>2108</v>
      </c>
      <c r="B369" s="245" t="s">
        <v>804</v>
      </c>
      <c r="C369" s="245" t="s">
        <v>171</v>
      </c>
      <c r="D369" s="135" t="s">
        <v>8</v>
      </c>
      <c r="E369" s="636" t="n">
        <v>42213</v>
      </c>
      <c r="F369" s="137" t="s">
        <v>29</v>
      </c>
    </row>
    <row r="370" customFormat="false" ht="23.25" hidden="false" customHeight="true" outlineLevel="0" collapsed="false">
      <c r="A370" s="592" t="n">
        <v>3095</v>
      </c>
      <c r="B370" s="615" t="s">
        <v>805</v>
      </c>
      <c r="C370" s="615" t="s">
        <v>806</v>
      </c>
      <c r="D370" s="135" t="s">
        <v>26</v>
      </c>
      <c r="E370" s="622" t="n">
        <v>41236</v>
      </c>
      <c r="F370" s="137" t="s">
        <v>52</v>
      </c>
    </row>
    <row r="371" customFormat="false" ht="23.25" hidden="false" customHeight="true" outlineLevel="0" collapsed="false">
      <c r="A371" s="592" t="n">
        <v>4071</v>
      </c>
      <c r="B371" s="647" t="s">
        <v>807</v>
      </c>
      <c r="C371" s="648" t="s">
        <v>215</v>
      </c>
      <c r="D371" s="598" t="s">
        <v>8</v>
      </c>
      <c r="E371" s="628" t="n">
        <v>39385</v>
      </c>
      <c r="F371" s="600" t="s">
        <v>52</v>
      </c>
    </row>
    <row r="372" customFormat="false" ht="23.25" hidden="false" customHeight="true" outlineLevel="0" collapsed="false">
      <c r="A372" s="592" t="n">
        <v>4072</v>
      </c>
      <c r="B372" s="619" t="s">
        <v>810</v>
      </c>
      <c r="C372" s="620" t="s">
        <v>76</v>
      </c>
      <c r="D372" s="694" t="s">
        <v>8</v>
      </c>
      <c r="E372" s="622" t="n">
        <v>40686</v>
      </c>
      <c r="F372" s="614" t="s">
        <v>129</v>
      </c>
    </row>
    <row r="373" customFormat="false" ht="23.25" hidden="false" customHeight="true" outlineLevel="0" collapsed="false">
      <c r="A373" s="592" t="n">
        <v>4073</v>
      </c>
      <c r="B373" s="617" t="s">
        <v>811</v>
      </c>
      <c r="C373" s="615" t="s">
        <v>812</v>
      </c>
      <c r="D373" s="135" t="s">
        <v>8</v>
      </c>
      <c r="E373" s="622" t="n">
        <v>40680</v>
      </c>
      <c r="F373" s="137" t="s">
        <v>34</v>
      </c>
    </row>
    <row r="374" customFormat="false" ht="23.25" hidden="false" customHeight="true" outlineLevel="0" collapsed="false">
      <c r="A374" s="592" t="n">
        <v>1081</v>
      </c>
      <c r="B374" s="619" t="s">
        <v>816</v>
      </c>
      <c r="C374" s="620" t="s">
        <v>61</v>
      </c>
      <c r="D374" s="612" t="s">
        <v>8</v>
      </c>
      <c r="E374" s="613" t="n">
        <v>42526</v>
      </c>
      <c r="F374" s="614" t="s">
        <v>34</v>
      </c>
    </row>
    <row r="375" customFormat="false" ht="23.25" hidden="false" customHeight="true" outlineLevel="0" collapsed="false">
      <c r="A375" s="592" t="n">
        <v>2109</v>
      </c>
      <c r="B375" s="602" t="s">
        <v>816</v>
      </c>
      <c r="C375" s="603" t="s">
        <v>817</v>
      </c>
      <c r="D375" s="604" t="s">
        <v>8</v>
      </c>
      <c r="E375" s="609" t="n">
        <v>41730</v>
      </c>
      <c r="F375" s="606" t="s">
        <v>34</v>
      </c>
    </row>
    <row r="376" customFormat="false" ht="23.25" hidden="false" customHeight="true" outlineLevel="0" collapsed="false">
      <c r="A376" s="592" t="n">
        <v>1082</v>
      </c>
      <c r="B376" s="617" t="s">
        <v>816</v>
      </c>
      <c r="C376" s="615" t="s">
        <v>738</v>
      </c>
      <c r="D376" s="135" t="s">
        <v>8</v>
      </c>
      <c r="E376" s="618" t="n">
        <v>42526</v>
      </c>
      <c r="F376" s="137" t="s">
        <v>34</v>
      </c>
    </row>
    <row r="377" customFormat="false" ht="12.75" hidden="false" customHeight="true" outlineLevel="0" collapsed="false">
      <c r="A377" s="592" t="n">
        <v>3096</v>
      </c>
      <c r="B377" s="611" t="s">
        <v>818</v>
      </c>
      <c r="C377" s="611" t="s">
        <v>16</v>
      </c>
      <c r="D377" s="694" t="s">
        <v>8</v>
      </c>
      <c r="E377" s="632" t="n">
        <v>2013</v>
      </c>
      <c r="F377" s="614" t="s">
        <v>9</v>
      </c>
    </row>
    <row r="378" customFormat="false" ht="12.75" hidden="false" customHeight="true" outlineLevel="0" collapsed="false">
      <c r="A378" s="592" t="n">
        <v>2110</v>
      </c>
      <c r="B378" s="593" t="s">
        <v>819</v>
      </c>
      <c r="C378" s="594" t="s">
        <v>820</v>
      </c>
      <c r="D378" s="135" t="s">
        <v>26</v>
      </c>
      <c r="E378" s="601" t="n">
        <v>2014</v>
      </c>
      <c r="F378" s="137" t="s">
        <v>9</v>
      </c>
    </row>
    <row r="379" customFormat="false" ht="12.75" hidden="false" customHeight="true" outlineLevel="0" collapsed="false">
      <c r="A379" s="592" t="n">
        <v>3161</v>
      </c>
      <c r="B379" s="674" t="s">
        <v>819</v>
      </c>
      <c r="C379" s="674" t="s">
        <v>821</v>
      </c>
      <c r="D379" s="685" t="s">
        <v>26</v>
      </c>
      <c r="E379" s="695" t="n">
        <v>41115</v>
      </c>
      <c r="F379" s="600" t="s">
        <v>52</v>
      </c>
    </row>
    <row r="380" customFormat="false" ht="12.75" hidden="false" customHeight="true" outlineLevel="0" collapsed="false">
      <c r="A380" s="592" t="n">
        <v>4074</v>
      </c>
      <c r="B380" s="647" t="s">
        <v>819</v>
      </c>
      <c r="C380" s="648" t="s">
        <v>822</v>
      </c>
      <c r="D380" s="135" t="s">
        <v>8</v>
      </c>
      <c r="E380" s="696" t="n">
        <v>40083</v>
      </c>
      <c r="F380" s="137" t="s">
        <v>52</v>
      </c>
    </row>
    <row r="381" customFormat="false" ht="13.5" hidden="false" customHeight="true" outlineLevel="0" collapsed="false">
      <c r="A381" s="592" t="n">
        <v>2111</v>
      </c>
      <c r="B381" s="637" t="s">
        <v>823</v>
      </c>
      <c r="C381" s="637" t="s">
        <v>824</v>
      </c>
      <c r="D381" s="604" t="s">
        <v>8</v>
      </c>
      <c r="E381" s="638" t="n">
        <v>42237</v>
      </c>
      <c r="F381" s="137" t="s">
        <v>29</v>
      </c>
    </row>
    <row r="382" customFormat="false" ht="23.25" hidden="false" customHeight="true" outlineLevel="0" collapsed="false">
      <c r="A382" s="592" t="n">
        <v>2112</v>
      </c>
      <c r="B382" s="617" t="s">
        <v>825</v>
      </c>
      <c r="C382" s="615" t="s">
        <v>826</v>
      </c>
      <c r="D382" s="135" t="s">
        <v>8</v>
      </c>
      <c r="E382" s="622" t="n">
        <v>42290</v>
      </c>
      <c r="F382" s="693" t="s">
        <v>52</v>
      </c>
    </row>
    <row r="383" customFormat="false" ht="23.25" hidden="false" customHeight="true" outlineLevel="0" collapsed="false">
      <c r="A383" s="592" t="n">
        <v>2113</v>
      </c>
      <c r="B383" s="617" t="s">
        <v>827</v>
      </c>
      <c r="C383" s="615" t="s">
        <v>127</v>
      </c>
      <c r="D383" s="135" t="s">
        <v>8</v>
      </c>
      <c r="E383" s="622" t="n">
        <v>42163</v>
      </c>
      <c r="F383" s="693" t="s">
        <v>52</v>
      </c>
    </row>
    <row r="384" customFormat="false" ht="23.25" hidden="false" customHeight="true" outlineLevel="0" collapsed="false">
      <c r="A384" s="592" t="n">
        <v>3097</v>
      </c>
      <c r="B384" s="648" t="s">
        <v>831</v>
      </c>
      <c r="C384" s="648" t="s">
        <v>228</v>
      </c>
      <c r="D384" s="598" t="s">
        <v>8</v>
      </c>
      <c r="E384" s="628" t="n">
        <v>41579</v>
      </c>
      <c r="F384" s="600" t="s">
        <v>52</v>
      </c>
    </row>
    <row r="385" customFormat="false" ht="23.25" hidden="false" customHeight="true" outlineLevel="0" collapsed="false">
      <c r="A385" s="592" t="n">
        <v>2114</v>
      </c>
      <c r="B385" s="602" t="s">
        <v>832</v>
      </c>
      <c r="C385" s="603" t="s">
        <v>406</v>
      </c>
      <c r="D385" s="604" t="s">
        <v>8</v>
      </c>
      <c r="E385" s="609" t="n">
        <v>41800</v>
      </c>
      <c r="F385" s="606" t="s">
        <v>34</v>
      </c>
    </row>
    <row r="386" customFormat="false" ht="23.25" hidden="false" customHeight="true" outlineLevel="0" collapsed="false">
      <c r="A386" s="592" t="n">
        <v>2115</v>
      </c>
      <c r="B386" s="617" t="s">
        <v>833</v>
      </c>
      <c r="C386" s="615" t="s">
        <v>834</v>
      </c>
      <c r="D386" s="135" t="s">
        <v>8</v>
      </c>
      <c r="E386" s="622" t="n">
        <v>41963</v>
      </c>
      <c r="F386" s="137" t="s">
        <v>34</v>
      </c>
    </row>
    <row r="387" customFormat="false" ht="23.25" hidden="false" customHeight="true" outlineLevel="0" collapsed="false">
      <c r="A387" s="592" t="n">
        <v>4075</v>
      </c>
      <c r="B387" s="647" t="s">
        <v>835</v>
      </c>
      <c r="C387" s="648" t="s">
        <v>639</v>
      </c>
      <c r="D387" s="685" t="s">
        <v>8</v>
      </c>
      <c r="E387" s="628" t="n">
        <v>40320</v>
      </c>
      <c r="F387" s="600" t="s">
        <v>52</v>
      </c>
    </row>
    <row r="388" customFormat="false" ht="12.75" hidden="false" customHeight="true" outlineLevel="0" collapsed="false">
      <c r="A388" s="592" t="n">
        <v>1138</v>
      </c>
      <c r="B388" s="697" t="s">
        <v>836</v>
      </c>
      <c r="C388" s="698" t="s">
        <v>75</v>
      </c>
      <c r="D388" s="683" t="s">
        <v>8</v>
      </c>
      <c r="E388" s="672" t="n">
        <v>42437</v>
      </c>
      <c r="F388" s="228" t="s">
        <v>17</v>
      </c>
      <c r="G388" s="660" t="s">
        <v>1346</v>
      </c>
    </row>
    <row r="389" customFormat="false" ht="12.75" hidden="false" customHeight="true" outlineLevel="0" collapsed="false">
      <c r="A389" s="592" t="n">
        <v>3098</v>
      </c>
      <c r="B389" s="245" t="s">
        <v>839</v>
      </c>
      <c r="C389" s="615" t="s">
        <v>81</v>
      </c>
      <c r="D389" s="135" t="s">
        <v>8</v>
      </c>
      <c r="E389" s="616" t="n">
        <v>41401</v>
      </c>
      <c r="F389" s="693" t="s">
        <v>29</v>
      </c>
    </row>
    <row r="390" customFormat="false" ht="12.75" hidden="false" customHeight="true" outlineLevel="0" collapsed="false">
      <c r="A390" s="592" t="n">
        <v>2116</v>
      </c>
      <c r="B390" s="596" t="s">
        <v>842</v>
      </c>
      <c r="C390" s="597" t="s">
        <v>574</v>
      </c>
      <c r="D390" s="685" t="s">
        <v>8</v>
      </c>
      <c r="E390" s="655" t="n">
        <v>2014</v>
      </c>
      <c r="F390" s="600" t="s">
        <v>9</v>
      </c>
    </row>
    <row r="391" customFormat="false" ht="12.75" hidden="false" customHeight="true" outlineLevel="0" collapsed="false">
      <c r="A391" s="590" t="n">
        <v>4140</v>
      </c>
      <c r="B391" s="65" t="s">
        <v>844</v>
      </c>
      <c r="C391" s="699" t="s">
        <v>845</v>
      </c>
      <c r="D391" s="135" t="s">
        <v>8</v>
      </c>
      <c r="E391" s="136" t="n">
        <v>40634</v>
      </c>
      <c r="F391" s="687" t="s">
        <v>119</v>
      </c>
    </row>
    <row r="392" customFormat="false" ht="13.5" hidden="false" customHeight="true" outlineLevel="0" collapsed="false">
      <c r="A392" s="592" t="n">
        <v>2117</v>
      </c>
      <c r="B392" s="245" t="s">
        <v>846</v>
      </c>
      <c r="C392" s="245" t="s">
        <v>406</v>
      </c>
      <c r="D392" s="135" t="s">
        <v>8</v>
      </c>
      <c r="E392" s="636" t="n">
        <v>42262</v>
      </c>
      <c r="F392" s="600" t="s">
        <v>29</v>
      </c>
    </row>
    <row r="393" customFormat="false" ht="23.25" hidden="false" customHeight="true" outlineLevel="0" collapsed="false">
      <c r="A393" s="592" t="n">
        <v>4076</v>
      </c>
      <c r="B393" s="602" t="s">
        <v>849</v>
      </c>
      <c r="C393" s="603" t="s">
        <v>393</v>
      </c>
      <c r="D393" s="135" t="s">
        <v>8</v>
      </c>
      <c r="E393" s="622" t="n">
        <v>40112</v>
      </c>
      <c r="F393" s="600" t="s">
        <v>17</v>
      </c>
    </row>
    <row r="394" customFormat="false" ht="23.25" hidden="false" customHeight="true" outlineLevel="0" collapsed="false">
      <c r="A394" s="592" t="n">
        <v>4077</v>
      </c>
      <c r="B394" s="617" t="s">
        <v>850</v>
      </c>
      <c r="C394" s="615" t="s">
        <v>851</v>
      </c>
      <c r="D394" s="700" t="s">
        <v>8</v>
      </c>
      <c r="E394" s="618" t="n">
        <v>40049</v>
      </c>
      <c r="F394" s="600" t="s">
        <v>34</v>
      </c>
    </row>
    <row r="395" customFormat="false" ht="23.25" hidden="false" customHeight="true" outlineLevel="0" collapsed="false">
      <c r="A395" s="592" t="n">
        <v>3099</v>
      </c>
      <c r="B395" s="594" t="s">
        <v>852</v>
      </c>
      <c r="C395" s="594" t="s">
        <v>853</v>
      </c>
      <c r="D395" s="135" t="s">
        <v>8</v>
      </c>
      <c r="E395" s="622" t="n">
        <v>41157</v>
      </c>
      <c r="F395" s="137" t="s">
        <v>12</v>
      </c>
    </row>
    <row r="396" customFormat="false" ht="12.75" hidden="false" customHeight="true" outlineLevel="0" collapsed="false">
      <c r="A396" s="592" t="n">
        <v>2206</v>
      </c>
      <c r="B396" s="688" t="s">
        <v>1454</v>
      </c>
      <c r="C396" s="633" t="s">
        <v>1455</v>
      </c>
      <c r="D396" s="135" t="s">
        <v>8</v>
      </c>
      <c r="E396" s="664" t="n">
        <v>42323</v>
      </c>
      <c r="F396" s="137" t="s">
        <v>12</v>
      </c>
    </row>
    <row r="397" customFormat="false" ht="12.75" hidden="false" customHeight="true" outlineLevel="0" collapsed="false">
      <c r="A397" s="592" t="n">
        <v>3100</v>
      </c>
      <c r="B397" s="245" t="s">
        <v>856</v>
      </c>
      <c r="C397" s="202" t="s">
        <v>541</v>
      </c>
      <c r="D397" s="135" t="s">
        <v>8</v>
      </c>
      <c r="E397" s="616" t="n">
        <v>41455</v>
      </c>
      <c r="F397" s="137" t="s">
        <v>29</v>
      </c>
    </row>
    <row r="398" customFormat="false" ht="12.75" hidden="false" customHeight="true" outlineLevel="0" collapsed="false">
      <c r="A398" s="592" t="n">
        <v>4078</v>
      </c>
      <c r="B398" s="639" t="s">
        <v>856</v>
      </c>
      <c r="C398" s="640" t="s">
        <v>345</v>
      </c>
      <c r="D398" s="604" t="s">
        <v>8</v>
      </c>
      <c r="E398" s="601" t="n">
        <v>2009</v>
      </c>
      <c r="F398" s="137" t="s">
        <v>9</v>
      </c>
    </row>
    <row r="399" customFormat="false" ht="23.25" hidden="false" customHeight="true" outlineLevel="0" collapsed="false">
      <c r="A399" s="592" t="n">
        <v>4079</v>
      </c>
      <c r="B399" s="617" t="s">
        <v>857</v>
      </c>
      <c r="C399" s="615" t="s">
        <v>574</v>
      </c>
      <c r="D399" s="135" t="s">
        <v>8</v>
      </c>
      <c r="E399" s="622" t="n">
        <v>40264</v>
      </c>
      <c r="F399" s="692" t="s">
        <v>34</v>
      </c>
    </row>
    <row r="400" customFormat="false" ht="23.25" hidden="false" customHeight="true" outlineLevel="0" collapsed="false">
      <c r="A400" s="592" t="n">
        <v>3101</v>
      </c>
      <c r="B400" s="603" t="s">
        <v>858</v>
      </c>
      <c r="C400" s="603" t="s">
        <v>859</v>
      </c>
      <c r="D400" s="604" t="s">
        <v>8</v>
      </c>
      <c r="E400" s="609" t="n">
        <v>41172</v>
      </c>
      <c r="F400" s="684" t="s">
        <v>17</v>
      </c>
    </row>
    <row r="401" customFormat="false" ht="12.75" hidden="false" customHeight="true" outlineLevel="0" collapsed="false">
      <c r="A401" s="592" t="n">
        <v>4080</v>
      </c>
      <c r="B401" s="593" t="s">
        <v>860</v>
      </c>
      <c r="C401" s="594" t="s">
        <v>222</v>
      </c>
      <c r="D401" s="135" t="s">
        <v>8</v>
      </c>
      <c r="E401" s="601" t="n">
        <v>2011</v>
      </c>
      <c r="F401" s="684" t="s">
        <v>9</v>
      </c>
    </row>
    <row r="402" customFormat="false" ht="23.25" hidden="false" customHeight="true" outlineLevel="0" collapsed="false">
      <c r="A402" s="592" t="n">
        <v>1083</v>
      </c>
      <c r="B402" s="645" t="s">
        <v>861</v>
      </c>
      <c r="C402" s="621" t="s">
        <v>745</v>
      </c>
      <c r="D402" s="135" t="s">
        <v>8</v>
      </c>
      <c r="E402" s="618" t="n">
        <v>42487</v>
      </c>
      <c r="F402" s="137" t="s">
        <v>119</v>
      </c>
      <c r="I402" s="590" t="s">
        <v>654</v>
      </c>
      <c r="J402" s="590" t="s">
        <v>655</v>
      </c>
      <c r="K402" s="590" t="s">
        <v>1430</v>
      </c>
      <c r="L402" s="629" t="n">
        <v>42951</v>
      </c>
      <c r="M402" s="590" t="s">
        <v>1431</v>
      </c>
      <c r="N402" s="590" t="s">
        <v>1432</v>
      </c>
    </row>
    <row r="403" customFormat="false" ht="23.25" hidden="false" customHeight="true" outlineLevel="0" collapsed="false">
      <c r="A403" s="592" t="n">
        <v>1084</v>
      </c>
      <c r="B403" s="647" t="s">
        <v>862</v>
      </c>
      <c r="C403" s="648" t="s">
        <v>863</v>
      </c>
      <c r="D403" s="598" t="s">
        <v>8</v>
      </c>
      <c r="E403" s="599" t="n">
        <v>42649</v>
      </c>
      <c r="F403" s="678" t="s">
        <v>34</v>
      </c>
      <c r="I403" s="290" t="s">
        <v>1456</v>
      </c>
      <c r="J403" s="590" t="s">
        <v>745</v>
      </c>
      <c r="K403" s="590" t="s">
        <v>1430</v>
      </c>
      <c r="L403" s="629" t="n">
        <v>42487</v>
      </c>
      <c r="M403" s="590" t="s">
        <v>1431</v>
      </c>
      <c r="N403" s="590" t="s">
        <v>1432</v>
      </c>
    </row>
    <row r="404" customFormat="false" ht="23.25" hidden="false" customHeight="true" outlineLevel="0" collapsed="false">
      <c r="A404" s="592" t="n">
        <v>3102</v>
      </c>
      <c r="B404" s="615" t="s">
        <v>864</v>
      </c>
      <c r="C404" s="615" t="s">
        <v>67</v>
      </c>
      <c r="D404" s="135" t="s">
        <v>8</v>
      </c>
      <c r="E404" s="622" t="n">
        <v>41435</v>
      </c>
      <c r="F404" s="693" t="s">
        <v>34</v>
      </c>
    </row>
    <row r="405" customFormat="false" ht="23.25" hidden="false" customHeight="true" outlineLevel="0" collapsed="false">
      <c r="A405" s="592" t="n">
        <v>4081</v>
      </c>
      <c r="B405" s="593" t="s">
        <v>865</v>
      </c>
      <c r="C405" s="594" t="s">
        <v>711</v>
      </c>
      <c r="D405" s="135" t="s">
        <v>8</v>
      </c>
      <c r="E405" s="622" t="n">
        <v>40593</v>
      </c>
      <c r="F405" s="692" t="s">
        <v>29</v>
      </c>
    </row>
    <row r="406" customFormat="false" ht="13.5" hidden="false" customHeight="true" outlineLevel="0" collapsed="false">
      <c r="A406" s="592" t="n">
        <v>2118</v>
      </c>
      <c r="B406" s="637" t="s">
        <v>1457</v>
      </c>
      <c r="C406" s="637" t="s">
        <v>417</v>
      </c>
      <c r="D406" s="604" t="s">
        <v>8</v>
      </c>
      <c r="E406" s="638" t="n">
        <v>41770</v>
      </c>
      <c r="F406" s="684" t="s">
        <v>29</v>
      </c>
    </row>
    <row r="407" customFormat="false" ht="23.25" hidden="false" customHeight="true" outlineLevel="0" collapsed="false">
      <c r="A407" s="592" t="n">
        <v>1085</v>
      </c>
      <c r="B407" s="617" t="s">
        <v>874</v>
      </c>
      <c r="C407" s="615" t="s">
        <v>875</v>
      </c>
      <c r="D407" s="135" t="s">
        <v>26</v>
      </c>
      <c r="E407" s="618" t="n">
        <v>42704</v>
      </c>
      <c r="F407" s="137" t="s">
        <v>52</v>
      </c>
    </row>
    <row r="408" customFormat="false" ht="12.75" hidden="false" customHeight="true" outlineLevel="0" collapsed="false">
      <c r="A408" s="592" t="n">
        <v>4083</v>
      </c>
      <c r="B408" s="596" t="s">
        <v>874</v>
      </c>
      <c r="C408" s="597" t="s">
        <v>876</v>
      </c>
      <c r="D408" s="598" t="s">
        <v>26</v>
      </c>
      <c r="E408" s="601" t="n">
        <v>2011</v>
      </c>
      <c r="F408" s="692" t="s">
        <v>9</v>
      </c>
    </row>
    <row r="409" customFormat="false" ht="23.25" hidden="false" customHeight="true" outlineLevel="0" collapsed="false">
      <c r="A409" s="592" t="n">
        <v>1086</v>
      </c>
      <c r="B409" s="617" t="s">
        <v>874</v>
      </c>
      <c r="C409" s="615" t="s">
        <v>821</v>
      </c>
      <c r="D409" s="135" t="s">
        <v>26</v>
      </c>
      <c r="E409" s="618" t="n">
        <v>42704</v>
      </c>
      <c r="F409" s="693" t="s">
        <v>52</v>
      </c>
    </row>
    <row r="410" customFormat="false" ht="23.25" hidden="false" customHeight="true" outlineLevel="0" collapsed="false">
      <c r="A410" s="592" t="n">
        <v>1087</v>
      </c>
      <c r="B410" s="617" t="s">
        <v>877</v>
      </c>
      <c r="C410" s="615" t="s">
        <v>422</v>
      </c>
      <c r="D410" s="135" t="s">
        <v>8</v>
      </c>
      <c r="E410" s="618" t="n">
        <v>42826</v>
      </c>
      <c r="F410" s="693" t="s">
        <v>52</v>
      </c>
    </row>
    <row r="411" customFormat="false" ht="12.75" hidden="false" customHeight="true" outlineLevel="0" collapsed="false">
      <c r="A411" s="592" t="n">
        <v>3165</v>
      </c>
      <c r="B411" s="231" t="s">
        <v>878</v>
      </c>
      <c r="C411" s="231" t="s">
        <v>879</v>
      </c>
      <c r="D411" s="135"/>
      <c r="E411" s="665" t="n">
        <v>41275</v>
      </c>
      <c r="F411" s="693" t="s">
        <v>119</v>
      </c>
      <c r="H411" s="592" t="n">
        <v>2212</v>
      </c>
      <c r="I411" s="590" t="s">
        <v>738</v>
      </c>
      <c r="J411" s="590" t="s">
        <v>660</v>
      </c>
      <c r="K411" s="590" t="s">
        <v>1430</v>
      </c>
      <c r="L411" s="629" t="n">
        <v>42104</v>
      </c>
      <c r="M411" s="590" t="s">
        <v>1431</v>
      </c>
      <c r="N411" s="590" t="n">
        <v>513</v>
      </c>
    </row>
    <row r="412" customFormat="false" ht="23.25" hidden="false" customHeight="true" outlineLevel="0" collapsed="false">
      <c r="A412" s="592" t="n">
        <v>4084</v>
      </c>
      <c r="B412" s="617" t="s">
        <v>880</v>
      </c>
      <c r="C412" s="615" t="s">
        <v>639</v>
      </c>
      <c r="D412" s="135" t="s">
        <v>8</v>
      </c>
      <c r="E412" s="622" t="n">
        <v>39735</v>
      </c>
      <c r="F412" s="700" t="s">
        <v>143</v>
      </c>
    </row>
    <row r="413" customFormat="false" ht="23.25" hidden="false" customHeight="true" outlineLevel="0" collapsed="false">
      <c r="A413" s="592" t="n">
        <v>2119</v>
      </c>
      <c r="B413" s="647" t="s">
        <v>883</v>
      </c>
      <c r="C413" s="648" t="s">
        <v>884</v>
      </c>
      <c r="D413" s="685" t="s">
        <v>8</v>
      </c>
      <c r="E413" s="628" t="n">
        <v>41859</v>
      </c>
      <c r="F413" s="137" t="s">
        <v>17</v>
      </c>
    </row>
    <row r="414" customFormat="false" ht="13.5" hidden="false" customHeight="true" outlineLevel="0" collapsed="false">
      <c r="A414" s="592" t="n">
        <v>2120</v>
      </c>
      <c r="B414" s="669" t="s">
        <v>889</v>
      </c>
      <c r="C414" s="669" t="s">
        <v>228</v>
      </c>
      <c r="D414" s="604" t="s">
        <v>8</v>
      </c>
      <c r="E414" s="638" t="n">
        <v>42134</v>
      </c>
      <c r="F414" s="137" t="s">
        <v>29</v>
      </c>
    </row>
    <row r="415" customFormat="false" ht="13.5" hidden="false" customHeight="true" outlineLevel="0" collapsed="false">
      <c r="A415" s="592" t="n">
        <v>4085</v>
      </c>
      <c r="B415" s="659" t="s">
        <v>889</v>
      </c>
      <c r="C415" s="659" t="s">
        <v>16</v>
      </c>
      <c r="D415" s="604" t="s">
        <v>8</v>
      </c>
      <c r="E415" s="701" t="n">
        <v>40518</v>
      </c>
      <c r="F415" s="684" t="s">
        <v>29</v>
      </c>
    </row>
    <row r="416" customFormat="false" ht="12.75" hidden="false" customHeight="true" outlineLevel="0" collapsed="false">
      <c r="A416" s="592" t="n">
        <v>3103</v>
      </c>
      <c r="B416" s="594" t="s">
        <v>890</v>
      </c>
      <c r="C416" s="594" t="s">
        <v>891</v>
      </c>
      <c r="D416" s="135" t="s">
        <v>8</v>
      </c>
      <c r="E416" s="601" t="n">
        <v>2012</v>
      </c>
      <c r="F416" s="137" t="s">
        <v>9</v>
      </c>
    </row>
    <row r="417" customFormat="false" ht="23.25" hidden="false" customHeight="true" outlineLevel="0" collapsed="false">
      <c r="A417" s="592" t="n">
        <v>1088</v>
      </c>
      <c r="B417" s="647" t="s">
        <v>892</v>
      </c>
      <c r="C417" s="648" t="s">
        <v>893</v>
      </c>
      <c r="D417" s="685" t="s">
        <v>8</v>
      </c>
      <c r="E417" s="599" t="n">
        <v>42449</v>
      </c>
      <c r="F417" s="600" t="s">
        <v>34</v>
      </c>
    </row>
    <row r="418" customFormat="false" ht="23.25" hidden="false" customHeight="true" outlineLevel="0" collapsed="false">
      <c r="A418" s="592" t="n">
        <v>3104</v>
      </c>
      <c r="B418" s="648" t="s">
        <v>896</v>
      </c>
      <c r="C418" s="620" t="s">
        <v>437</v>
      </c>
      <c r="D418" s="135" t="s">
        <v>8</v>
      </c>
      <c r="E418" s="622" t="n">
        <v>41471</v>
      </c>
      <c r="F418" s="137" t="s">
        <v>52</v>
      </c>
    </row>
    <row r="419" customFormat="false" ht="23.25" hidden="false" customHeight="true" outlineLevel="0" collapsed="false">
      <c r="A419" s="592" t="n">
        <v>4086</v>
      </c>
      <c r="B419" s="624" t="s">
        <v>897</v>
      </c>
      <c r="C419" s="625" t="s">
        <v>454</v>
      </c>
      <c r="D419" s="135" t="s">
        <v>8</v>
      </c>
      <c r="E419" s="622" t="n">
        <v>39953</v>
      </c>
      <c r="F419" s="137" t="s">
        <v>12</v>
      </c>
    </row>
    <row r="420" customFormat="false" ht="23.25" hidden="false" customHeight="true" outlineLevel="0" collapsed="false">
      <c r="A420" s="592" t="n">
        <v>3105</v>
      </c>
      <c r="B420" s="615" t="s">
        <v>899</v>
      </c>
      <c r="C420" s="615" t="s">
        <v>900</v>
      </c>
      <c r="D420" s="135" t="s">
        <v>26</v>
      </c>
      <c r="E420" s="622" t="n">
        <v>41135</v>
      </c>
      <c r="F420" s="137" t="s">
        <v>34</v>
      </c>
    </row>
    <row r="421" customFormat="false" ht="23.25" hidden="false" customHeight="true" outlineLevel="0" collapsed="false">
      <c r="A421" s="592" t="n">
        <v>1089</v>
      </c>
      <c r="B421" s="602" t="s">
        <v>901</v>
      </c>
      <c r="C421" s="603" t="s">
        <v>217</v>
      </c>
      <c r="D421" s="604" t="s">
        <v>8</v>
      </c>
      <c r="E421" s="618" t="n">
        <v>42584</v>
      </c>
      <c r="F421" s="606" t="s">
        <v>34</v>
      </c>
    </row>
    <row r="422" customFormat="false" ht="23.25" hidden="false" customHeight="true" outlineLevel="0" collapsed="false">
      <c r="A422" s="592" t="n">
        <v>4087</v>
      </c>
      <c r="B422" s="645" t="s">
        <v>901</v>
      </c>
      <c r="C422" s="621" t="s">
        <v>902</v>
      </c>
      <c r="D422" s="135" t="s">
        <v>8</v>
      </c>
      <c r="E422" s="622" t="n">
        <v>40616</v>
      </c>
      <c r="F422" s="137" t="s">
        <v>34</v>
      </c>
    </row>
    <row r="423" customFormat="false" ht="23.25" hidden="false" customHeight="true" outlineLevel="0" collapsed="false">
      <c r="A423" s="592" t="n">
        <v>2121</v>
      </c>
      <c r="B423" s="610" t="s">
        <v>903</v>
      </c>
      <c r="C423" s="702" t="s">
        <v>904</v>
      </c>
      <c r="D423" s="614" t="s">
        <v>8</v>
      </c>
      <c r="E423" s="642" t="n">
        <v>42125</v>
      </c>
      <c r="F423" s="687" t="s">
        <v>129</v>
      </c>
    </row>
    <row r="424" customFormat="false" ht="23.25" hidden="false" customHeight="true" outlineLevel="0" collapsed="false">
      <c r="A424" s="592" t="n">
        <v>2122</v>
      </c>
      <c r="B424" s="593" t="s">
        <v>903</v>
      </c>
      <c r="C424" s="594" t="s">
        <v>83</v>
      </c>
      <c r="D424" s="137" t="s">
        <v>8</v>
      </c>
      <c r="E424" s="609" t="n">
        <v>42125</v>
      </c>
      <c r="F424" s="703" t="s">
        <v>129</v>
      </c>
    </row>
    <row r="425" customFormat="false" ht="23.25" hidden="false" customHeight="true" outlineLevel="0" collapsed="false">
      <c r="A425" s="592" t="n">
        <v>1090</v>
      </c>
      <c r="B425" s="653" t="s">
        <v>909</v>
      </c>
      <c r="C425" s="704" t="s">
        <v>214</v>
      </c>
      <c r="D425" s="598" t="s">
        <v>8</v>
      </c>
      <c r="E425" s="599" t="n">
        <v>42974</v>
      </c>
      <c r="F425" s="137" t="s">
        <v>29</v>
      </c>
    </row>
    <row r="426" customFormat="false" ht="12.75" hidden="false" customHeight="true" outlineLevel="0" collapsed="false">
      <c r="A426" s="592" t="n">
        <v>3106</v>
      </c>
      <c r="B426" s="653" t="s">
        <v>912</v>
      </c>
      <c r="C426" s="704" t="s">
        <v>303</v>
      </c>
      <c r="D426" s="685" t="s">
        <v>8</v>
      </c>
      <c r="E426" s="705" t="n">
        <v>41182</v>
      </c>
      <c r="F426" s="600" t="s">
        <v>29</v>
      </c>
    </row>
    <row r="427" customFormat="false" ht="23.25" hidden="false" customHeight="true" outlineLevel="0" collapsed="false">
      <c r="A427" s="592" t="n">
        <v>2123</v>
      </c>
      <c r="B427" s="610" t="s">
        <v>913</v>
      </c>
      <c r="C427" s="702" t="s">
        <v>914</v>
      </c>
      <c r="D427" s="606" t="s">
        <v>8</v>
      </c>
      <c r="E427" s="609" t="n">
        <v>41772</v>
      </c>
      <c r="F427" s="228" t="s">
        <v>129</v>
      </c>
    </row>
    <row r="428" customFormat="false" ht="23.25" hidden="false" customHeight="true" outlineLevel="0" collapsed="false">
      <c r="A428" s="592" t="n">
        <v>3107</v>
      </c>
      <c r="B428" s="615" t="s">
        <v>913</v>
      </c>
      <c r="C428" s="615" t="s">
        <v>915</v>
      </c>
      <c r="D428" s="135" t="s">
        <v>26</v>
      </c>
      <c r="E428" s="622" t="n">
        <v>41529</v>
      </c>
      <c r="F428" s="693" t="s">
        <v>34</v>
      </c>
    </row>
    <row r="429" customFormat="false" ht="23.25" hidden="false" customHeight="true" outlineLevel="0" collapsed="false">
      <c r="A429" s="592" t="n">
        <v>4088</v>
      </c>
      <c r="B429" s="624" t="s">
        <v>1458</v>
      </c>
      <c r="C429" s="625" t="s">
        <v>916</v>
      </c>
      <c r="D429" s="135" t="s">
        <v>8</v>
      </c>
      <c r="E429" s="622" t="n">
        <v>40698</v>
      </c>
      <c r="F429" s="693" t="s">
        <v>129</v>
      </c>
    </row>
    <row r="430" customFormat="false" ht="23.25" hidden="false" customHeight="true" outlineLevel="0" collapsed="false">
      <c r="A430" s="592" t="n">
        <v>1092</v>
      </c>
      <c r="B430" s="669" t="s">
        <v>917</v>
      </c>
      <c r="C430" s="690" t="s">
        <v>918</v>
      </c>
      <c r="D430" s="612" t="s">
        <v>26</v>
      </c>
      <c r="E430" s="613" t="n">
        <v>42632</v>
      </c>
      <c r="F430" s="600" t="s">
        <v>29</v>
      </c>
    </row>
    <row r="431" customFormat="false" ht="13.5" hidden="false" customHeight="true" outlineLevel="0" collapsed="false">
      <c r="A431" s="592" t="n">
        <v>2125</v>
      </c>
      <c r="B431" s="245" t="s">
        <v>917</v>
      </c>
      <c r="C431" s="245" t="s">
        <v>919</v>
      </c>
      <c r="D431" s="135" t="s">
        <v>26</v>
      </c>
      <c r="E431" s="636" t="n">
        <v>41697</v>
      </c>
      <c r="F431" s="693" t="s">
        <v>29</v>
      </c>
    </row>
    <row r="432" customFormat="false" ht="23.25" hidden="false" customHeight="true" outlineLevel="0" collapsed="false">
      <c r="A432" s="592" t="n">
        <v>2126</v>
      </c>
      <c r="B432" s="647" t="s">
        <v>921</v>
      </c>
      <c r="C432" s="648" t="s">
        <v>43</v>
      </c>
      <c r="D432" s="598" t="s">
        <v>8</v>
      </c>
      <c r="E432" s="628" t="n">
        <v>41647</v>
      </c>
      <c r="F432" s="693" t="s">
        <v>34</v>
      </c>
    </row>
    <row r="433" customFormat="false" ht="23.25" hidden="false" customHeight="true" outlineLevel="0" collapsed="false">
      <c r="A433" s="592" t="n">
        <v>3108</v>
      </c>
      <c r="B433" s="615" t="s">
        <v>442</v>
      </c>
      <c r="C433" s="615" t="s">
        <v>753</v>
      </c>
      <c r="D433" s="135" t="s">
        <v>8</v>
      </c>
      <c r="E433" s="622" t="n">
        <v>41532</v>
      </c>
      <c r="F433" s="693" t="s">
        <v>52</v>
      </c>
    </row>
    <row r="434" customFormat="false" ht="23.25" hidden="false" customHeight="true" outlineLevel="0" collapsed="false">
      <c r="A434" s="592" t="n">
        <v>2127</v>
      </c>
      <c r="B434" s="245" t="s">
        <v>922</v>
      </c>
      <c r="C434" s="245" t="s">
        <v>923</v>
      </c>
      <c r="D434" s="135" t="s">
        <v>8</v>
      </c>
      <c r="E434" s="622" t="n">
        <v>41650</v>
      </c>
      <c r="F434" s="693" t="s">
        <v>52</v>
      </c>
    </row>
    <row r="435" customFormat="false" ht="23.25" hidden="false" customHeight="true" outlineLevel="0" collapsed="false">
      <c r="A435" s="592" t="n">
        <v>4089</v>
      </c>
      <c r="B435" s="610" t="s">
        <v>925</v>
      </c>
      <c r="C435" s="611" t="s">
        <v>755</v>
      </c>
      <c r="D435" s="694" t="s">
        <v>8</v>
      </c>
      <c r="E435" s="642" t="n">
        <v>39721</v>
      </c>
      <c r="F435" s="606" t="s">
        <v>29</v>
      </c>
    </row>
    <row r="436" customFormat="false" ht="23.25" hidden="false" customHeight="true" outlineLevel="0" collapsed="false">
      <c r="A436" s="592" t="n">
        <v>1093</v>
      </c>
      <c r="B436" s="617" t="s">
        <v>927</v>
      </c>
      <c r="C436" s="615" t="s">
        <v>928</v>
      </c>
      <c r="D436" s="135" t="s">
        <v>8</v>
      </c>
      <c r="E436" s="618" t="n">
        <v>43091</v>
      </c>
      <c r="F436" s="137" t="s">
        <v>52</v>
      </c>
    </row>
    <row r="437" customFormat="false" ht="23.25" hidden="false" customHeight="true" outlineLevel="0" collapsed="false">
      <c r="A437" s="592" t="n">
        <v>4091</v>
      </c>
      <c r="B437" s="619" t="s">
        <v>931</v>
      </c>
      <c r="C437" s="620" t="s">
        <v>932</v>
      </c>
      <c r="D437" s="694" t="s">
        <v>8</v>
      </c>
      <c r="E437" s="642" t="n">
        <v>39191</v>
      </c>
      <c r="F437" s="614" t="s">
        <v>20</v>
      </c>
    </row>
    <row r="438" customFormat="false" ht="23.25" hidden="false" customHeight="true" outlineLevel="0" collapsed="false">
      <c r="A438" s="592" t="n">
        <v>3109</v>
      </c>
      <c r="B438" s="615" t="s">
        <v>933</v>
      </c>
      <c r="C438" s="615" t="s">
        <v>934</v>
      </c>
      <c r="D438" s="135" t="s">
        <v>26</v>
      </c>
      <c r="E438" s="622" t="n">
        <v>41316</v>
      </c>
      <c r="F438" s="137" t="s">
        <v>52</v>
      </c>
    </row>
    <row r="439" customFormat="false" ht="23.25" hidden="false" customHeight="true" outlineLevel="0" collapsed="false">
      <c r="A439" s="592" t="n">
        <v>1094</v>
      </c>
      <c r="B439" s="639" t="s">
        <v>935</v>
      </c>
      <c r="C439" s="640" t="s">
        <v>936</v>
      </c>
      <c r="D439" s="604" t="s">
        <v>8</v>
      </c>
      <c r="E439" s="605" t="n">
        <v>42373</v>
      </c>
      <c r="F439" s="137" t="s">
        <v>29</v>
      </c>
    </row>
    <row r="440" customFormat="false" ht="12.75" hidden="false" customHeight="true" outlineLevel="0" collapsed="false">
      <c r="A440" s="592" t="n">
        <v>4092</v>
      </c>
      <c r="B440" s="639" t="s">
        <v>937</v>
      </c>
      <c r="C440" s="640" t="s">
        <v>127</v>
      </c>
      <c r="D440" s="604" t="s">
        <v>8</v>
      </c>
      <c r="E440" s="641" t="n">
        <v>2007</v>
      </c>
      <c r="F440" s="684" t="s">
        <v>9</v>
      </c>
    </row>
    <row r="441" customFormat="false" ht="12.75" hidden="false" customHeight="true" outlineLevel="0" collapsed="false">
      <c r="A441" s="592" t="n">
        <v>3110</v>
      </c>
      <c r="B441" s="640" t="s">
        <v>940</v>
      </c>
      <c r="C441" s="640" t="s">
        <v>941</v>
      </c>
      <c r="D441" s="604" t="s">
        <v>26</v>
      </c>
      <c r="E441" s="641" t="n">
        <v>2012</v>
      </c>
      <c r="F441" s="606" t="s">
        <v>9</v>
      </c>
    </row>
    <row r="442" customFormat="false" ht="23.25" hidden="false" customHeight="true" outlineLevel="0" collapsed="false">
      <c r="A442" s="592" t="n">
        <v>3111</v>
      </c>
      <c r="B442" s="615" t="s">
        <v>942</v>
      </c>
      <c r="C442" s="615" t="s">
        <v>943</v>
      </c>
      <c r="D442" s="135" t="s">
        <v>8</v>
      </c>
      <c r="E442" s="622" t="n">
        <v>41037</v>
      </c>
      <c r="F442" s="137" t="s">
        <v>17</v>
      </c>
    </row>
    <row r="443" customFormat="false" ht="23.25" hidden="false" customHeight="true" outlineLevel="0" collapsed="false">
      <c r="A443" s="592" t="n">
        <v>1095</v>
      </c>
      <c r="B443" s="647" t="s">
        <v>944</v>
      </c>
      <c r="C443" s="648" t="s">
        <v>337</v>
      </c>
      <c r="D443" s="598" t="s">
        <v>26</v>
      </c>
      <c r="E443" s="599" t="n">
        <v>43237</v>
      </c>
      <c r="F443" s="692" t="s">
        <v>52</v>
      </c>
    </row>
    <row r="444" customFormat="false" ht="23.25" hidden="false" customHeight="true" outlineLevel="0" collapsed="false">
      <c r="A444" s="592" t="n">
        <v>3112</v>
      </c>
      <c r="B444" s="615" t="s">
        <v>944</v>
      </c>
      <c r="C444" s="615" t="s">
        <v>821</v>
      </c>
      <c r="D444" s="135" t="s">
        <v>26</v>
      </c>
      <c r="E444" s="622" t="n">
        <v>41451</v>
      </c>
      <c r="F444" s="693" t="s">
        <v>52</v>
      </c>
    </row>
    <row r="445" customFormat="false" ht="23.25" hidden="false" customHeight="true" outlineLevel="0" collapsed="false">
      <c r="A445" s="592" t="n">
        <v>4093</v>
      </c>
      <c r="B445" s="619" t="s">
        <v>945</v>
      </c>
      <c r="C445" s="620" t="s">
        <v>76</v>
      </c>
      <c r="D445" s="694" t="s">
        <v>8</v>
      </c>
      <c r="E445" s="642" t="n">
        <v>40048</v>
      </c>
      <c r="F445" s="606" t="s">
        <v>34</v>
      </c>
    </row>
    <row r="446" customFormat="false" ht="12.75" hidden="false" customHeight="true" outlineLevel="0" collapsed="false">
      <c r="A446" s="592" t="n">
        <v>1096</v>
      </c>
      <c r="B446" s="593" t="s">
        <v>945</v>
      </c>
      <c r="C446" s="594" t="s">
        <v>947</v>
      </c>
      <c r="D446" s="135" t="s">
        <v>8</v>
      </c>
      <c r="E446" s="601" t="n">
        <v>2017</v>
      </c>
      <c r="F446" s="137" t="s">
        <v>9</v>
      </c>
    </row>
    <row r="447" customFormat="false" ht="23.25" hidden="false" customHeight="true" outlineLevel="0" collapsed="false">
      <c r="A447" s="592" t="n">
        <v>3113</v>
      </c>
      <c r="B447" s="648" t="s">
        <v>948</v>
      </c>
      <c r="C447" s="648" t="s">
        <v>949</v>
      </c>
      <c r="D447" s="598" t="s">
        <v>8</v>
      </c>
      <c r="E447" s="628" t="n">
        <v>41488</v>
      </c>
      <c r="F447" s="692" t="s">
        <v>17</v>
      </c>
    </row>
    <row r="448" customFormat="false" ht="23.25" hidden="false" customHeight="true" outlineLevel="0" collapsed="false">
      <c r="A448" s="592" t="n">
        <v>1097</v>
      </c>
      <c r="B448" s="626" t="s">
        <v>953</v>
      </c>
      <c r="C448" s="627" t="s">
        <v>193</v>
      </c>
      <c r="D448" s="598" t="s">
        <v>8</v>
      </c>
      <c r="E448" s="599" t="n">
        <v>42468</v>
      </c>
      <c r="F448" s="137" t="s">
        <v>20</v>
      </c>
    </row>
    <row r="449" customFormat="false" ht="23.25" hidden="false" customHeight="true" outlineLevel="0" collapsed="false">
      <c r="A449" s="592" t="n">
        <v>2128</v>
      </c>
      <c r="B449" s="593" t="s">
        <v>954</v>
      </c>
      <c r="C449" s="594" t="s">
        <v>955</v>
      </c>
      <c r="D449" s="135" t="s">
        <v>8</v>
      </c>
      <c r="E449" s="622" t="n">
        <v>41875</v>
      </c>
      <c r="F449" s="137" t="s">
        <v>29</v>
      </c>
    </row>
    <row r="450" customFormat="false" ht="23.25" hidden="false" customHeight="true" outlineLevel="0" collapsed="false">
      <c r="A450" s="592" t="n">
        <v>4094</v>
      </c>
      <c r="B450" s="630" t="s">
        <v>957</v>
      </c>
      <c r="C450" s="631" t="s">
        <v>958</v>
      </c>
      <c r="D450" s="694" t="s">
        <v>8</v>
      </c>
      <c r="E450" s="642" t="n">
        <v>40428</v>
      </c>
      <c r="F450" s="606" t="s">
        <v>12</v>
      </c>
    </row>
    <row r="451" customFormat="false" ht="23.25" hidden="false" customHeight="true" outlineLevel="0" collapsed="false">
      <c r="A451" s="592" t="n">
        <v>3114</v>
      </c>
      <c r="B451" s="608" t="s">
        <v>960</v>
      </c>
      <c r="C451" s="608" t="s">
        <v>961</v>
      </c>
      <c r="D451" s="604" t="s">
        <v>26</v>
      </c>
      <c r="E451" s="609" t="n">
        <v>41575</v>
      </c>
      <c r="F451" s="606" t="s">
        <v>20</v>
      </c>
    </row>
    <row r="452" customFormat="false" ht="23.25" hidden="false" customHeight="true" outlineLevel="0" collapsed="false">
      <c r="A452" s="592" t="n">
        <v>2129</v>
      </c>
      <c r="B452" s="602" t="s">
        <v>962</v>
      </c>
      <c r="C452" s="603" t="s">
        <v>963</v>
      </c>
      <c r="D452" s="604" t="s">
        <v>8</v>
      </c>
      <c r="E452" s="609" t="n">
        <v>41853</v>
      </c>
      <c r="F452" s="137" t="s">
        <v>52</v>
      </c>
    </row>
    <row r="453" customFormat="false" ht="23.25" hidden="false" customHeight="true" outlineLevel="0" collapsed="false">
      <c r="A453" s="592" t="n">
        <v>1098</v>
      </c>
      <c r="B453" s="617" t="s">
        <v>962</v>
      </c>
      <c r="C453" s="615" t="s">
        <v>278</v>
      </c>
      <c r="D453" s="135" t="s">
        <v>8</v>
      </c>
      <c r="E453" s="618" t="n">
        <v>42667</v>
      </c>
      <c r="F453" s="693" t="s">
        <v>52</v>
      </c>
    </row>
    <row r="454" customFormat="false" ht="23.25" hidden="false" customHeight="true" outlineLevel="0" collapsed="false">
      <c r="A454" s="592" t="n">
        <v>1099</v>
      </c>
      <c r="B454" s="669" t="s">
        <v>965</v>
      </c>
      <c r="C454" s="669" t="s">
        <v>966</v>
      </c>
      <c r="D454" s="694" t="s">
        <v>8</v>
      </c>
      <c r="E454" s="613" t="n">
        <v>42878</v>
      </c>
      <c r="F454" s="137" t="s">
        <v>29</v>
      </c>
    </row>
    <row r="455" customFormat="false" ht="23.25" hidden="false" customHeight="true" outlineLevel="0" collapsed="false">
      <c r="A455" s="592" t="n">
        <v>4095</v>
      </c>
      <c r="B455" s="645" t="s">
        <v>965</v>
      </c>
      <c r="C455" s="621" t="s">
        <v>214</v>
      </c>
      <c r="D455" s="135" t="s">
        <v>8</v>
      </c>
      <c r="E455" s="622" t="n">
        <v>40605</v>
      </c>
      <c r="F455" s="693" t="s">
        <v>20</v>
      </c>
    </row>
    <row r="456" customFormat="false" ht="23.25" hidden="false" customHeight="true" outlineLevel="0" collapsed="false">
      <c r="A456" s="592" t="n">
        <v>2130</v>
      </c>
      <c r="B456" s="617" t="s">
        <v>968</v>
      </c>
      <c r="C456" s="615" t="s">
        <v>969</v>
      </c>
      <c r="D456" s="135" t="s">
        <v>8</v>
      </c>
      <c r="E456" s="622" t="n">
        <v>42268</v>
      </c>
      <c r="F456" s="693" t="s">
        <v>34</v>
      </c>
    </row>
    <row r="457" customFormat="false" ht="23.25" hidden="false" customHeight="true" outlineLevel="0" collapsed="false">
      <c r="A457" s="592" t="n">
        <v>2131</v>
      </c>
      <c r="B457" s="647" t="s">
        <v>970</v>
      </c>
      <c r="C457" s="648" t="s">
        <v>796</v>
      </c>
      <c r="D457" s="600" t="s">
        <v>8</v>
      </c>
      <c r="E457" s="628" t="n">
        <v>41927</v>
      </c>
      <c r="F457" s="228" t="s">
        <v>129</v>
      </c>
    </row>
    <row r="458" customFormat="false" ht="13.5" hidden="false" customHeight="true" outlineLevel="0" collapsed="false">
      <c r="A458" s="592" t="n">
        <v>4096</v>
      </c>
      <c r="B458" s="690" t="s">
        <v>972</v>
      </c>
      <c r="C458" s="690" t="s">
        <v>16</v>
      </c>
      <c r="D458" s="612" t="s">
        <v>8</v>
      </c>
      <c r="E458" s="706" t="n">
        <v>39619</v>
      </c>
      <c r="F458" s="600" t="s">
        <v>29</v>
      </c>
    </row>
    <row r="459" customFormat="false" ht="23.25" hidden="false" customHeight="true" outlineLevel="0" collapsed="false">
      <c r="A459" s="592" t="n">
        <v>2132</v>
      </c>
      <c r="B459" s="617" t="s">
        <v>973</v>
      </c>
      <c r="C459" s="615" t="s">
        <v>974</v>
      </c>
      <c r="D459" s="135" t="s">
        <v>26</v>
      </c>
      <c r="E459" s="622" t="s">
        <v>1459</v>
      </c>
      <c r="F459" s="693" t="s">
        <v>143</v>
      </c>
    </row>
    <row r="460" customFormat="false" ht="23.25" hidden="false" customHeight="true" outlineLevel="0" collapsed="false">
      <c r="A460" s="592" t="n">
        <v>1103</v>
      </c>
      <c r="B460" s="619" t="s">
        <v>977</v>
      </c>
      <c r="C460" s="620" t="s">
        <v>433</v>
      </c>
      <c r="D460" s="694" t="s">
        <v>26</v>
      </c>
      <c r="E460" s="613" t="n">
        <v>42697</v>
      </c>
      <c r="F460" s="137" t="s">
        <v>34</v>
      </c>
    </row>
    <row r="461" customFormat="false" ht="12.75" hidden="false" customHeight="true" outlineLevel="0" collapsed="false">
      <c r="A461" s="592" t="n">
        <v>3115</v>
      </c>
      <c r="B461" s="594" t="s">
        <v>979</v>
      </c>
      <c r="C461" s="594" t="s">
        <v>980</v>
      </c>
      <c r="D461" s="135" t="s">
        <v>26</v>
      </c>
      <c r="E461" s="601" t="n">
        <v>2013</v>
      </c>
      <c r="F461" s="693" t="s">
        <v>9</v>
      </c>
    </row>
    <row r="462" customFormat="false" ht="12.75" hidden="false" customHeight="true" outlineLevel="0" collapsed="false">
      <c r="A462" s="592" t="n">
        <v>2133</v>
      </c>
      <c r="B462" s="593" t="s">
        <v>979</v>
      </c>
      <c r="C462" s="594" t="s">
        <v>981</v>
      </c>
      <c r="D462" s="135" t="s">
        <v>8</v>
      </c>
      <c r="E462" s="664" t="n">
        <v>41969</v>
      </c>
      <c r="F462" s="693" t="s">
        <v>9</v>
      </c>
    </row>
    <row r="463" customFormat="false" ht="23.25" hidden="false" customHeight="true" outlineLevel="0" collapsed="false">
      <c r="A463" s="592" t="n">
        <v>2134</v>
      </c>
      <c r="B463" s="624" t="s">
        <v>982</v>
      </c>
      <c r="C463" s="625" t="s">
        <v>945</v>
      </c>
      <c r="D463" s="135" t="s">
        <v>8</v>
      </c>
      <c r="E463" s="622" t="n">
        <v>42090</v>
      </c>
      <c r="F463" s="693" t="s">
        <v>12</v>
      </c>
    </row>
    <row r="464" customFormat="false" ht="23.25" hidden="false" customHeight="true" outlineLevel="0" collapsed="false">
      <c r="A464" s="592" t="n">
        <v>1100</v>
      </c>
      <c r="B464" s="630" t="s">
        <v>982</v>
      </c>
      <c r="C464" s="631" t="s">
        <v>983</v>
      </c>
      <c r="D464" s="694" t="s">
        <v>8</v>
      </c>
      <c r="E464" s="613" t="n">
        <v>42538</v>
      </c>
      <c r="F464" s="606" t="s">
        <v>12</v>
      </c>
    </row>
    <row r="465" customFormat="false" ht="23.25" hidden="false" customHeight="true" outlineLevel="0" collapsed="false">
      <c r="A465" s="592" t="n">
        <v>4097</v>
      </c>
      <c r="B465" s="657" t="s">
        <v>982</v>
      </c>
      <c r="C465" s="658" t="s">
        <v>984</v>
      </c>
      <c r="D465" s="604" t="s">
        <v>8</v>
      </c>
      <c r="E465" s="609" t="n">
        <v>40551</v>
      </c>
      <c r="F465" s="137" t="s">
        <v>12</v>
      </c>
    </row>
    <row r="466" customFormat="false" ht="12.75" hidden="false" customHeight="true" outlineLevel="0" collapsed="false">
      <c r="A466" s="592" t="n">
        <v>1101</v>
      </c>
      <c r="B466" s="593" t="s">
        <v>985</v>
      </c>
      <c r="C466" s="594" t="s">
        <v>653</v>
      </c>
      <c r="D466" s="135" t="s">
        <v>26</v>
      </c>
      <c r="E466" s="601" t="n">
        <v>2019</v>
      </c>
      <c r="F466" s="600" t="s">
        <v>9</v>
      </c>
    </row>
    <row r="467" customFormat="false" ht="23.25" hidden="false" customHeight="true" outlineLevel="0" collapsed="false">
      <c r="A467" s="592" t="n">
        <v>2135</v>
      </c>
      <c r="B467" s="602" t="s">
        <v>986</v>
      </c>
      <c r="C467" s="603" t="s">
        <v>838</v>
      </c>
      <c r="D467" s="612" t="s">
        <v>8</v>
      </c>
      <c r="E467" s="609" t="n">
        <v>42157</v>
      </c>
      <c r="F467" s="137" t="s">
        <v>52</v>
      </c>
    </row>
    <row r="468" customFormat="false" ht="12.75" hidden="false" customHeight="true" outlineLevel="0" collapsed="false">
      <c r="A468" s="592" t="n">
        <v>2136</v>
      </c>
      <c r="B468" s="639" t="s">
        <v>986</v>
      </c>
      <c r="C468" s="640" t="s">
        <v>123</v>
      </c>
      <c r="D468" s="604" t="s">
        <v>8</v>
      </c>
      <c r="E468" s="649" t="n">
        <v>41667</v>
      </c>
      <c r="F468" s="684" t="s">
        <v>9</v>
      </c>
    </row>
    <row r="469" customFormat="false" ht="23.25" hidden="false" customHeight="true" outlineLevel="0" collapsed="false">
      <c r="A469" s="592" t="n">
        <v>4098</v>
      </c>
      <c r="B469" s="645" t="s">
        <v>987</v>
      </c>
      <c r="C469" s="621" t="s">
        <v>988</v>
      </c>
      <c r="D469" s="135" t="s">
        <v>8</v>
      </c>
      <c r="E469" s="622" t="n">
        <v>40677</v>
      </c>
      <c r="F469" s="137" t="s">
        <v>52</v>
      </c>
    </row>
    <row r="470" customFormat="false" ht="15" hidden="false" customHeight="true" outlineLevel="0" collapsed="false">
      <c r="A470" s="592" t="n">
        <v>3164</v>
      </c>
      <c r="B470" s="707" t="s">
        <v>990</v>
      </c>
      <c r="C470" s="707" t="s">
        <v>991</v>
      </c>
      <c r="D470" s="598"/>
      <c r="E470" s="708" t="n">
        <v>41275</v>
      </c>
      <c r="F470" s="692" t="s">
        <v>119</v>
      </c>
      <c r="I470" s="290" t="s">
        <v>1456</v>
      </c>
      <c r="J470" s="590" t="s">
        <v>745</v>
      </c>
      <c r="K470" s="590" t="s">
        <v>1430</v>
      </c>
      <c r="L470" s="629" t="n">
        <v>42487</v>
      </c>
      <c r="M470" s="590" t="s">
        <v>1431</v>
      </c>
      <c r="N470" s="590" t="s">
        <v>1432</v>
      </c>
    </row>
    <row r="471" customFormat="false" ht="23.25" hidden="false" customHeight="true" outlineLevel="0" collapsed="false">
      <c r="A471" s="592" t="n">
        <v>3116</v>
      </c>
      <c r="B471" s="709" t="s">
        <v>992</v>
      </c>
      <c r="C471" s="709" t="s">
        <v>993</v>
      </c>
      <c r="D471" s="598" t="s">
        <v>8</v>
      </c>
      <c r="E471" s="628" t="n">
        <v>41415</v>
      </c>
      <c r="F471" s="137" t="s">
        <v>12</v>
      </c>
    </row>
    <row r="472" customFormat="false" ht="12.75" hidden="false" customHeight="true" outlineLevel="0" collapsed="false">
      <c r="A472" s="592" t="n">
        <v>1102</v>
      </c>
      <c r="B472" s="596" t="s">
        <v>996</v>
      </c>
      <c r="C472" s="597" t="s">
        <v>574</v>
      </c>
      <c r="D472" s="685" t="s">
        <v>8</v>
      </c>
      <c r="E472" s="655" t="n">
        <v>2017</v>
      </c>
      <c r="F472" s="600" t="s">
        <v>9</v>
      </c>
    </row>
    <row r="473" customFormat="false" ht="23.25" hidden="false" customHeight="true" outlineLevel="0" collapsed="false">
      <c r="A473" s="592" t="n">
        <v>4099</v>
      </c>
      <c r="B473" s="607" t="s">
        <v>1001</v>
      </c>
      <c r="C473" s="608" t="s">
        <v>112</v>
      </c>
      <c r="D473" s="683" t="s">
        <v>8</v>
      </c>
      <c r="E473" s="609" t="n">
        <v>40543</v>
      </c>
      <c r="F473" s="606" t="s">
        <v>52</v>
      </c>
    </row>
    <row r="474" customFormat="false" ht="23.25" hidden="false" customHeight="true" outlineLevel="0" collapsed="false">
      <c r="A474" s="592" t="n">
        <v>2137</v>
      </c>
      <c r="B474" s="617" t="s">
        <v>1002</v>
      </c>
      <c r="C474" s="615" t="s">
        <v>584</v>
      </c>
      <c r="D474" s="135" t="s">
        <v>8</v>
      </c>
      <c r="E474" s="622" t="n">
        <v>41715</v>
      </c>
      <c r="F474" s="137" t="s">
        <v>17</v>
      </c>
    </row>
    <row r="475" customFormat="false" ht="23.25" hidden="false" customHeight="true" outlineLevel="0" collapsed="false">
      <c r="A475" s="592" t="n">
        <v>1104</v>
      </c>
      <c r="B475" s="626" t="s">
        <v>1004</v>
      </c>
      <c r="C475" s="627" t="s">
        <v>321</v>
      </c>
      <c r="D475" s="598" t="s">
        <v>8</v>
      </c>
      <c r="E475" s="599" t="n">
        <v>43409</v>
      </c>
      <c r="F475" s="600" t="s">
        <v>20</v>
      </c>
    </row>
    <row r="476" customFormat="false" ht="23.25" hidden="false" customHeight="true" outlineLevel="0" collapsed="false">
      <c r="A476" s="592" t="n">
        <v>1105</v>
      </c>
      <c r="B476" s="607" t="s">
        <v>1004</v>
      </c>
      <c r="C476" s="608" t="s">
        <v>214</v>
      </c>
      <c r="D476" s="604" t="s">
        <v>8</v>
      </c>
      <c r="E476" s="605" t="n">
        <v>42688</v>
      </c>
      <c r="F476" s="137" t="s">
        <v>20</v>
      </c>
    </row>
    <row r="477" customFormat="false" ht="23.25" hidden="false" customHeight="true" outlineLevel="0" collapsed="false">
      <c r="A477" s="592" t="n">
        <v>2138</v>
      </c>
      <c r="B477" s="617" t="s">
        <v>1006</v>
      </c>
      <c r="C477" s="615" t="s">
        <v>16</v>
      </c>
      <c r="D477" s="135" t="s">
        <v>8</v>
      </c>
      <c r="E477" s="628" t="n">
        <v>41645</v>
      </c>
      <c r="F477" s="693" t="s">
        <v>17</v>
      </c>
    </row>
    <row r="478" customFormat="false" ht="13.5" hidden="false" customHeight="true" outlineLevel="0" collapsed="false">
      <c r="A478" s="592" t="n">
        <v>2139</v>
      </c>
      <c r="B478" s="669" t="s">
        <v>1007</v>
      </c>
      <c r="C478" s="669" t="s">
        <v>1008</v>
      </c>
      <c r="D478" s="612" t="s">
        <v>26</v>
      </c>
      <c r="E478" s="710" t="n">
        <v>42357</v>
      </c>
      <c r="F478" s="137" t="s">
        <v>29</v>
      </c>
    </row>
    <row r="479" customFormat="false" ht="12.75" hidden="false" customHeight="true" outlineLevel="0" collapsed="false">
      <c r="A479" s="592" t="n">
        <v>3117</v>
      </c>
      <c r="B479" s="637" t="s">
        <v>1010</v>
      </c>
      <c r="C479" s="711" t="s">
        <v>290</v>
      </c>
      <c r="D479" s="604" t="s">
        <v>8</v>
      </c>
      <c r="E479" s="712" t="n">
        <v>41486</v>
      </c>
      <c r="F479" s="614" t="s">
        <v>29</v>
      </c>
    </row>
    <row r="480" customFormat="false" ht="23.25" hidden="false" customHeight="true" outlineLevel="0" collapsed="false">
      <c r="A480" s="592" t="n">
        <v>2140</v>
      </c>
      <c r="B480" s="617" t="s">
        <v>1012</v>
      </c>
      <c r="C480" s="615" t="s">
        <v>250</v>
      </c>
      <c r="D480" s="135" t="s">
        <v>8</v>
      </c>
      <c r="E480" s="622" t="n">
        <v>41711</v>
      </c>
      <c r="F480" s="137" t="s">
        <v>52</v>
      </c>
    </row>
    <row r="481" customFormat="false" ht="12.75" hidden="false" customHeight="true" outlineLevel="0" collapsed="false">
      <c r="A481" s="592" t="n">
        <v>2141</v>
      </c>
      <c r="B481" s="596" t="s">
        <v>1013</v>
      </c>
      <c r="C481" s="597" t="s">
        <v>1014</v>
      </c>
      <c r="D481" s="598" t="s">
        <v>8</v>
      </c>
      <c r="E481" s="713" t="n">
        <v>42048</v>
      </c>
      <c r="F481" s="692" t="s">
        <v>9</v>
      </c>
    </row>
    <row r="482" customFormat="false" ht="12.75" hidden="false" customHeight="true" outlineLevel="0" collapsed="false">
      <c r="A482" s="592" t="n">
        <v>4100</v>
      </c>
      <c r="B482" s="596" t="s">
        <v>1020</v>
      </c>
      <c r="C482" s="597" t="s">
        <v>14</v>
      </c>
      <c r="D482" s="598" t="s">
        <v>8</v>
      </c>
      <c r="E482" s="655" t="n">
        <v>2010</v>
      </c>
      <c r="F482" s="137" t="s">
        <v>9</v>
      </c>
    </row>
    <row r="483" customFormat="false" ht="23.25" hidden="false" customHeight="true" outlineLevel="0" collapsed="false">
      <c r="A483" s="592" t="n">
        <v>3118</v>
      </c>
      <c r="B483" s="615" t="s">
        <v>1021</v>
      </c>
      <c r="C483" s="615" t="s">
        <v>1022</v>
      </c>
      <c r="D483" s="135" t="s">
        <v>8</v>
      </c>
      <c r="E483" s="628" t="n">
        <v>41208</v>
      </c>
      <c r="F483" s="137" t="s">
        <v>52</v>
      </c>
    </row>
    <row r="484" customFormat="false" ht="23.25" hidden="false" customHeight="true" outlineLevel="0" collapsed="false">
      <c r="A484" s="592" t="n">
        <v>1106</v>
      </c>
      <c r="B484" s="669" t="s">
        <v>1024</v>
      </c>
      <c r="C484" s="690" t="s">
        <v>875</v>
      </c>
      <c r="D484" s="612" t="s">
        <v>26</v>
      </c>
      <c r="E484" s="613" t="n">
        <v>42731</v>
      </c>
      <c r="F484" s="600" t="s">
        <v>29</v>
      </c>
    </row>
    <row r="485" customFormat="false" ht="23.25" hidden="false" customHeight="true" outlineLevel="0" collapsed="false">
      <c r="A485" s="592" t="n">
        <v>1107</v>
      </c>
      <c r="B485" s="637" t="s">
        <v>1024</v>
      </c>
      <c r="C485" s="659" t="s">
        <v>1026</v>
      </c>
      <c r="D485" s="604" t="s">
        <v>26</v>
      </c>
      <c r="E485" s="605" t="n">
        <v>43533</v>
      </c>
      <c r="F485" s="684" t="s">
        <v>29</v>
      </c>
    </row>
    <row r="486" customFormat="false" ht="13.5" hidden="false" customHeight="true" outlineLevel="0" collapsed="false">
      <c r="A486" s="592" t="n">
        <v>2142</v>
      </c>
      <c r="B486" s="202" t="s">
        <v>1027</v>
      </c>
      <c r="C486" s="245" t="s">
        <v>711</v>
      </c>
      <c r="D486" s="135" t="s">
        <v>8</v>
      </c>
      <c r="E486" s="636" t="n">
        <v>42018</v>
      </c>
      <c r="F486" s="137" t="s">
        <v>29</v>
      </c>
    </row>
    <row r="487" customFormat="false" ht="23.25" hidden="false" customHeight="true" outlineLevel="0" collapsed="false">
      <c r="A487" s="592" t="n">
        <v>2143</v>
      </c>
      <c r="B487" s="647" t="s">
        <v>1028</v>
      </c>
      <c r="C487" s="648" t="s">
        <v>634</v>
      </c>
      <c r="D487" s="598" t="s">
        <v>8</v>
      </c>
      <c r="E487" s="628" t="s">
        <v>1460</v>
      </c>
      <c r="F487" s="600" t="s">
        <v>143</v>
      </c>
    </row>
    <row r="488" customFormat="false" ht="13.5" hidden="false" customHeight="true" outlineLevel="0" collapsed="false">
      <c r="A488" s="592" t="n">
        <v>4101</v>
      </c>
      <c r="B488" s="245" t="s">
        <v>1033</v>
      </c>
      <c r="C488" s="245" t="s">
        <v>355</v>
      </c>
      <c r="D488" s="135" t="s">
        <v>8</v>
      </c>
      <c r="E488" s="636" t="n">
        <v>39029</v>
      </c>
      <c r="F488" s="137" t="s">
        <v>29</v>
      </c>
    </row>
    <row r="489" customFormat="false" ht="12.75" hidden="false" customHeight="true" outlineLevel="0" collapsed="false">
      <c r="A489" s="592" t="n">
        <v>4102</v>
      </c>
      <c r="B489" s="624" t="s">
        <v>1034</v>
      </c>
      <c r="C489" s="625" t="s">
        <v>61</v>
      </c>
      <c r="D489" s="135" t="s">
        <v>8</v>
      </c>
      <c r="E489" s="601" t="n">
        <v>2008</v>
      </c>
      <c r="F489" s="137" t="s">
        <v>9</v>
      </c>
    </row>
    <row r="490" customFormat="false" ht="23.25" hidden="false" customHeight="true" outlineLevel="0" collapsed="false">
      <c r="A490" s="592" t="n">
        <v>3119</v>
      </c>
      <c r="B490" s="615" t="s">
        <v>1035</v>
      </c>
      <c r="C490" s="615" t="s">
        <v>83</v>
      </c>
      <c r="D490" s="135" t="s">
        <v>8</v>
      </c>
      <c r="E490" s="622" t="s">
        <v>1461</v>
      </c>
      <c r="F490" s="137" t="s">
        <v>143</v>
      </c>
    </row>
    <row r="491" customFormat="false" ht="23.25" hidden="false" customHeight="true" outlineLevel="0" collapsed="false">
      <c r="A491" s="592" t="n">
        <v>2144</v>
      </c>
      <c r="B491" s="617" t="s">
        <v>1037</v>
      </c>
      <c r="C491" s="615" t="s">
        <v>1038</v>
      </c>
      <c r="D491" s="135" t="s">
        <v>26</v>
      </c>
      <c r="E491" s="622" t="n">
        <v>41772</v>
      </c>
      <c r="F491" s="137" t="s">
        <v>52</v>
      </c>
    </row>
    <row r="492" customFormat="false" ht="23.25" hidden="false" customHeight="true" outlineLevel="0" collapsed="false">
      <c r="A492" s="592" t="n">
        <v>2145</v>
      </c>
      <c r="B492" s="617" t="s">
        <v>1039</v>
      </c>
      <c r="C492" s="615" t="s">
        <v>63</v>
      </c>
      <c r="D492" s="135" t="s">
        <v>8</v>
      </c>
      <c r="E492" s="622" t="n">
        <v>41984</v>
      </c>
      <c r="F492" s="137" t="s">
        <v>52</v>
      </c>
    </row>
    <row r="493" customFormat="false" ht="12.75" hidden="false" customHeight="true" outlineLevel="0" collapsed="false">
      <c r="A493" s="592" t="n">
        <v>4103</v>
      </c>
      <c r="B493" s="624" t="s">
        <v>1040</v>
      </c>
      <c r="C493" s="625" t="s">
        <v>267</v>
      </c>
      <c r="D493" s="135" t="s">
        <v>8</v>
      </c>
      <c r="E493" s="601" t="n">
        <v>2011</v>
      </c>
      <c r="F493" s="137" t="s">
        <v>9</v>
      </c>
    </row>
    <row r="494" customFormat="false" ht="12.75" hidden="false" customHeight="true" outlineLevel="0" collapsed="false">
      <c r="A494" s="592" t="n">
        <v>3120</v>
      </c>
      <c r="B494" s="594" t="s">
        <v>1042</v>
      </c>
      <c r="C494" s="594" t="s">
        <v>69</v>
      </c>
      <c r="D494" s="135" t="s">
        <v>26</v>
      </c>
      <c r="E494" s="601" t="n">
        <v>2013</v>
      </c>
      <c r="F494" s="137" t="s">
        <v>9</v>
      </c>
    </row>
    <row r="495" customFormat="false" ht="23.25" hidden="false" customHeight="true" outlineLevel="0" collapsed="false">
      <c r="A495" s="592" t="n">
        <v>2146</v>
      </c>
      <c r="B495" s="617" t="s">
        <v>1045</v>
      </c>
      <c r="C495" s="615" t="s">
        <v>1046</v>
      </c>
      <c r="D495" s="135" t="s">
        <v>8</v>
      </c>
      <c r="E495" s="622" t="n">
        <v>41802</v>
      </c>
      <c r="F495" s="137" t="s">
        <v>52</v>
      </c>
    </row>
    <row r="496" customFormat="false" ht="12.75" hidden="false" customHeight="true" outlineLevel="0" collapsed="false">
      <c r="A496" s="592" t="n">
        <v>2147</v>
      </c>
      <c r="B496" s="593" t="s">
        <v>1050</v>
      </c>
      <c r="C496" s="594" t="s">
        <v>1051</v>
      </c>
      <c r="D496" s="135" t="s">
        <v>8</v>
      </c>
      <c r="E496" s="595" t="n">
        <v>41784</v>
      </c>
      <c r="F496" s="137" t="s">
        <v>9</v>
      </c>
    </row>
    <row r="497" customFormat="false" ht="23.25" hidden="false" customHeight="true" outlineLevel="0" collapsed="false">
      <c r="A497" s="592" t="n">
        <v>2148</v>
      </c>
      <c r="B497" s="617" t="s">
        <v>1052</v>
      </c>
      <c r="C497" s="615" t="s">
        <v>1053</v>
      </c>
      <c r="D497" s="135" t="s">
        <v>26</v>
      </c>
      <c r="E497" s="622" t="s">
        <v>1462</v>
      </c>
      <c r="F497" s="137" t="s">
        <v>143</v>
      </c>
    </row>
    <row r="498" customFormat="false" ht="23.25" hidden="false" customHeight="true" outlineLevel="0" collapsed="false">
      <c r="A498" s="592" t="n">
        <v>2149</v>
      </c>
      <c r="B498" s="617" t="s">
        <v>1055</v>
      </c>
      <c r="C498" s="615" t="s">
        <v>76</v>
      </c>
      <c r="D498" s="135" t="s">
        <v>8</v>
      </c>
      <c r="E498" s="622" t="n">
        <v>42194</v>
      </c>
      <c r="F498" s="137" t="s">
        <v>17</v>
      </c>
    </row>
    <row r="499" customFormat="false" ht="12.75" hidden="false" customHeight="true" outlineLevel="0" collapsed="false">
      <c r="A499" s="592" t="n">
        <v>3121</v>
      </c>
      <c r="B499" s="637" t="s">
        <v>1056</v>
      </c>
      <c r="C499" s="659" t="s">
        <v>1057</v>
      </c>
      <c r="D499" s="604" t="s">
        <v>8</v>
      </c>
      <c r="E499" s="712" t="n">
        <v>41385</v>
      </c>
      <c r="F499" s="606" t="s">
        <v>29</v>
      </c>
    </row>
    <row r="500" customFormat="false" ht="23.25" hidden="false" customHeight="true" outlineLevel="0" collapsed="false">
      <c r="A500" s="592" t="n">
        <v>2150</v>
      </c>
      <c r="B500" s="617" t="s">
        <v>1060</v>
      </c>
      <c r="C500" s="615" t="s">
        <v>393</v>
      </c>
      <c r="D500" s="135" t="s">
        <v>8</v>
      </c>
      <c r="E500" s="622" t="n">
        <v>42249</v>
      </c>
      <c r="F500" s="137" t="s">
        <v>143</v>
      </c>
    </row>
    <row r="501" customFormat="false" ht="23.25" hidden="false" customHeight="true" outlineLevel="0" collapsed="false">
      <c r="A501" s="592" t="n">
        <v>2151</v>
      </c>
      <c r="B501" s="647" t="s">
        <v>1061</v>
      </c>
      <c r="C501" s="648" t="s">
        <v>1062</v>
      </c>
      <c r="D501" s="598" t="s">
        <v>8</v>
      </c>
      <c r="E501" s="628" t="n">
        <v>42154</v>
      </c>
      <c r="F501" s="600" t="s">
        <v>20</v>
      </c>
    </row>
    <row r="502" customFormat="false" ht="23.25" hidden="false" customHeight="true" outlineLevel="0" collapsed="false">
      <c r="A502" s="592" t="n">
        <v>4104</v>
      </c>
      <c r="B502" s="645" t="s">
        <v>1063</v>
      </c>
      <c r="C502" s="621" t="s">
        <v>776</v>
      </c>
      <c r="D502" s="135" t="s">
        <v>8</v>
      </c>
      <c r="E502" s="622" t="n">
        <v>40522</v>
      </c>
      <c r="F502" s="137" t="s">
        <v>52</v>
      </c>
    </row>
    <row r="503" customFormat="false" ht="12.75" hidden="false" customHeight="true" outlineLevel="0" collapsed="false">
      <c r="A503" s="592" t="n">
        <v>4105</v>
      </c>
      <c r="B503" s="593" t="s">
        <v>1064</v>
      </c>
      <c r="C503" s="594" t="s">
        <v>368</v>
      </c>
      <c r="D503" s="135" t="s">
        <v>8</v>
      </c>
      <c r="E503" s="601" t="n">
        <v>2008</v>
      </c>
      <c r="F503" s="137" t="s">
        <v>9</v>
      </c>
    </row>
    <row r="504" customFormat="false" ht="23.25" hidden="false" customHeight="true" outlineLevel="0" collapsed="false">
      <c r="A504" s="592" t="n">
        <v>4106</v>
      </c>
      <c r="B504" s="617" t="s">
        <v>1065</v>
      </c>
      <c r="C504" s="615" t="s">
        <v>406</v>
      </c>
      <c r="D504" s="135" t="s">
        <v>8</v>
      </c>
      <c r="E504" s="622" t="n">
        <v>40005</v>
      </c>
      <c r="F504" s="137" t="s">
        <v>34</v>
      </c>
    </row>
    <row r="505" customFormat="false" ht="12.75" hidden="false" customHeight="true" outlineLevel="0" collapsed="false">
      <c r="A505" s="592" t="n">
        <v>4107</v>
      </c>
      <c r="B505" s="593" t="s">
        <v>1068</v>
      </c>
      <c r="C505" s="594" t="s">
        <v>1067</v>
      </c>
      <c r="D505" s="135" t="s">
        <v>26</v>
      </c>
      <c r="E505" s="595" t="n">
        <v>39279</v>
      </c>
      <c r="F505" s="137" t="s">
        <v>9</v>
      </c>
    </row>
    <row r="506" customFormat="false" ht="23.25" hidden="false" customHeight="true" outlineLevel="0" collapsed="false">
      <c r="A506" s="592" t="n">
        <v>3122</v>
      </c>
      <c r="B506" s="594" t="s">
        <v>1069</v>
      </c>
      <c r="C506" s="594" t="s">
        <v>574</v>
      </c>
      <c r="D506" s="135" t="s">
        <v>8</v>
      </c>
      <c r="E506" s="622" t="n">
        <v>41477</v>
      </c>
      <c r="F506" s="137" t="s">
        <v>29</v>
      </c>
    </row>
    <row r="507" customFormat="false" ht="12.75" hidden="false" customHeight="true" outlineLevel="0" collapsed="false">
      <c r="A507" s="592" t="n">
        <v>3123</v>
      </c>
      <c r="B507" s="594" t="s">
        <v>1070</v>
      </c>
      <c r="C507" s="594" t="s">
        <v>1071</v>
      </c>
      <c r="D507" s="135" t="s">
        <v>8</v>
      </c>
      <c r="E507" s="664" t="n">
        <v>41627</v>
      </c>
      <c r="F507" s="137" t="s">
        <v>9</v>
      </c>
    </row>
    <row r="508" customFormat="false" ht="23.25" hidden="false" customHeight="true" outlineLevel="0" collapsed="false">
      <c r="A508" s="592" t="n">
        <v>1108</v>
      </c>
      <c r="B508" s="617" t="s">
        <v>1072</v>
      </c>
      <c r="C508" s="615" t="s">
        <v>78</v>
      </c>
      <c r="D508" s="135" t="s">
        <v>8</v>
      </c>
      <c r="E508" s="618" t="s">
        <v>1463</v>
      </c>
      <c r="F508" s="137" t="s">
        <v>143</v>
      </c>
    </row>
    <row r="509" customFormat="false" ht="23.25" hidden="false" customHeight="true" outlineLevel="0" collapsed="false">
      <c r="A509" s="592" t="n">
        <v>3124</v>
      </c>
      <c r="B509" s="615" t="s">
        <v>1073</v>
      </c>
      <c r="C509" s="615" t="s">
        <v>662</v>
      </c>
      <c r="D509" s="135" t="s">
        <v>8</v>
      </c>
      <c r="E509" s="622" t="s">
        <v>1464</v>
      </c>
      <c r="F509" s="137" t="s">
        <v>143</v>
      </c>
    </row>
    <row r="510" customFormat="false" ht="23.25" hidden="false" customHeight="true" outlineLevel="0" collapsed="false">
      <c r="A510" s="592" t="n">
        <v>3125</v>
      </c>
      <c r="B510" s="625" t="s">
        <v>1074</v>
      </c>
      <c r="C510" s="625" t="s">
        <v>1075</v>
      </c>
      <c r="D510" s="135" t="s">
        <v>8</v>
      </c>
      <c r="E510" s="622" t="n">
        <v>41273</v>
      </c>
      <c r="F510" s="137" t="s">
        <v>12</v>
      </c>
    </row>
    <row r="511" customFormat="false" ht="23.25" hidden="false" customHeight="true" outlineLevel="0" collapsed="false">
      <c r="A511" s="592" t="n">
        <v>3126</v>
      </c>
      <c r="B511" s="625" t="s">
        <v>1076</v>
      </c>
      <c r="C511" s="625" t="s">
        <v>114</v>
      </c>
      <c r="D511" s="135" t="s">
        <v>8</v>
      </c>
      <c r="E511" s="622" t="n">
        <v>41435</v>
      </c>
      <c r="F511" s="137" t="s">
        <v>12</v>
      </c>
    </row>
    <row r="512" customFormat="false" ht="23.25" hidden="false" customHeight="true" outlineLevel="0" collapsed="false">
      <c r="A512" s="592" t="n">
        <v>1109</v>
      </c>
      <c r="B512" s="624" t="s">
        <v>1076</v>
      </c>
      <c r="C512" s="625" t="s">
        <v>1077</v>
      </c>
      <c r="D512" s="135" t="s">
        <v>8</v>
      </c>
      <c r="E512" s="618" t="n">
        <v>42720</v>
      </c>
      <c r="F512" s="137" t="s">
        <v>12</v>
      </c>
    </row>
    <row r="513" customFormat="false" ht="12.75" hidden="false" customHeight="true" outlineLevel="0" collapsed="false">
      <c r="A513" s="592" t="n">
        <v>2152</v>
      </c>
      <c r="B513" s="639" t="s">
        <v>1078</v>
      </c>
      <c r="C513" s="640" t="s">
        <v>437</v>
      </c>
      <c r="D513" s="135" t="s">
        <v>8</v>
      </c>
      <c r="E513" s="601" t="n">
        <v>2014</v>
      </c>
      <c r="F513" s="137" t="s">
        <v>9</v>
      </c>
      <c r="I513" s="656"/>
      <c r="J513" s="656"/>
      <c r="K513" s="656"/>
      <c r="L513" s="656"/>
      <c r="M513" s="656"/>
      <c r="N513" s="656"/>
    </row>
    <row r="514" customFormat="false" ht="12.75" hidden="false" customHeight="true" outlineLevel="0" collapsed="false">
      <c r="A514" s="498" t="n">
        <v>4108</v>
      </c>
      <c r="B514" s="593" t="s">
        <v>1079</v>
      </c>
      <c r="C514" s="594" t="s">
        <v>1080</v>
      </c>
      <c r="D514" s="135" t="s">
        <v>8</v>
      </c>
      <c r="E514" s="227" t="n">
        <v>2011</v>
      </c>
      <c r="F514" s="678" t="s">
        <v>9</v>
      </c>
      <c r="I514" s="656"/>
      <c r="J514" s="656"/>
      <c r="K514" s="656"/>
      <c r="L514" s="656"/>
      <c r="M514" s="656"/>
      <c r="N514" s="656"/>
    </row>
    <row r="515" customFormat="false" ht="23.25" hidden="false" customHeight="true" outlineLevel="0" collapsed="false">
      <c r="A515" s="498" t="n">
        <v>1110</v>
      </c>
      <c r="B515" s="617" t="s">
        <v>1081</v>
      </c>
      <c r="C515" s="615" t="s">
        <v>406</v>
      </c>
      <c r="D515" s="135" t="s">
        <v>8</v>
      </c>
      <c r="E515" s="714" t="s">
        <v>1465</v>
      </c>
      <c r="F515" s="678" t="s">
        <v>143</v>
      </c>
      <c r="J515" s="656"/>
      <c r="K515" s="656"/>
      <c r="L515" s="656"/>
      <c r="M515" s="656"/>
      <c r="N515" s="656"/>
    </row>
    <row r="516" customFormat="false" ht="12.75" hidden="false" customHeight="true" outlineLevel="0" collapsed="false">
      <c r="A516" s="592" t="n">
        <v>1111</v>
      </c>
      <c r="B516" s="593" t="s">
        <v>1084</v>
      </c>
      <c r="C516" s="594" t="s">
        <v>121</v>
      </c>
      <c r="D516" s="135" t="s">
        <v>8</v>
      </c>
      <c r="E516" s="601" t="n">
        <v>2017</v>
      </c>
      <c r="F516" s="678" t="s">
        <v>9</v>
      </c>
      <c r="J516" s="656"/>
      <c r="K516" s="656"/>
      <c r="L516" s="656"/>
      <c r="M516" s="656"/>
      <c r="N516" s="656"/>
    </row>
    <row r="517" customFormat="false" ht="12.75" hidden="false" customHeight="true" outlineLevel="0" collapsed="false">
      <c r="A517" s="592" t="n">
        <v>2153</v>
      </c>
      <c r="B517" s="593" t="s">
        <v>1084</v>
      </c>
      <c r="C517" s="594" t="s">
        <v>246</v>
      </c>
      <c r="D517" s="135" t="s">
        <v>8</v>
      </c>
      <c r="E517" s="595" t="n">
        <v>42072</v>
      </c>
      <c r="F517" s="678" t="s">
        <v>9</v>
      </c>
      <c r="J517" s="656"/>
      <c r="K517" s="656"/>
      <c r="L517" s="656"/>
      <c r="M517" s="656"/>
      <c r="N517" s="656"/>
    </row>
    <row r="518" customFormat="false" ht="13.5" hidden="false" customHeight="true" outlineLevel="0" collapsed="false">
      <c r="A518" s="592" t="n">
        <v>2154</v>
      </c>
      <c r="B518" s="704" t="s">
        <v>1086</v>
      </c>
      <c r="C518" s="653" t="s">
        <v>75</v>
      </c>
      <c r="D518" s="135" t="s">
        <v>8</v>
      </c>
      <c r="E518" s="715" t="n">
        <v>42351</v>
      </c>
      <c r="F518" s="137" t="s">
        <v>29</v>
      </c>
      <c r="I518" s="656"/>
      <c r="J518" s="656"/>
      <c r="K518" s="656"/>
      <c r="L518" s="656"/>
      <c r="M518" s="656"/>
      <c r="N518" s="656"/>
    </row>
    <row r="519" customFormat="false" ht="23.25" hidden="false" customHeight="true" outlineLevel="0" collapsed="false">
      <c r="A519" s="592" t="n">
        <v>2155</v>
      </c>
      <c r="B519" s="617" t="s">
        <v>1088</v>
      </c>
      <c r="C519" s="615" t="s">
        <v>1089</v>
      </c>
      <c r="D519" s="135" t="s">
        <v>8</v>
      </c>
      <c r="E519" s="682" t="n">
        <v>41652</v>
      </c>
      <c r="F519" s="137" t="s">
        <v>52</v>
      </c>
      <c r="I519" s="656"/>
      <c r="J519" s="656"/>
      <c r="K519" s="656"/>
      <c r="L519" s="656"/>
      <c r="M519" s="656"/>
      <c r="N519" s="656"/>
    </row>
    <row r="520" customFormat="false" ht="23.25" hidden="false" customHeight="true" outlineLevel="0" collapsed="false">
      <c r="A520" s="592" t="n">
        <v>3127</v>
      </c>
      <c r="B520" s="615" t="s">
        <v>1090</v>
      </c>
      <c r="C520" s="615" t="s">
        <v>1091</v>
      </c>
      <c r="D520" s="135" t="s">
        <v>8</v>
      </c>
      <c r="E520" s="622" t="n">
        <v>41009</v>
      </c>
      <c r="F520" s="137" t="s">
        <v>52</v>
      </c>
      <c r="I520" s="656"/>
      <c r="J520" s="656"/>
      <c r="K520" s="656"/>
      <c r="L520" s="656"/>
      <c r="M520" s="656"/>
      <c r="N520" s="656"/>
    </row>
    <row r="521" customFormat="false" ht="23.25" hidden="false" customHeight="true" outlineLevel="0" collapsed="false">
      <c r="A521" s="592" t="n">
        <v>1112</v>
      </c>
      <c r="B521" s="617" t="s">
        <v>1092</v>
      </c>
      <c r="C521" s="615" t="s">
        <v>1093</v>
      </c>
      <c r="D521" s="135" t="s">
        <v>8</v>
      </c>
      <c r="E521" s="618" t="n">
        <v>43713</v>
      </c>
      <c r="F521" s="137" t="s">
        <v>52</v>
      </c>
    </row>
    <row r="522" customFormat="false" ht="23.25" hidden="false" customHeight="true" outlineLevel="0" collapsed="false">
      <c r="A522" s="592" t="n">
        <v>1113</v>
      </c>
      <c r="B522" s="617" t="s">
        <v>1092</v>
      </c>
      <c r="C522" s="615" t="s">
        <v>14</v>
      </c>
      <c r="D522" s="135" t="s">
        <v>8</v>
      </c>
      <c r="E522" s="618" t="n">
        <v>43091</v>
      </c>
      <c r="F522" s="137" t="s">
        <v>52</v>
      </c>
    </row>
    <row r="523" customFormat="false" ht="13.5" hidden="false" customHeight="true" outlineLevel="0" collapsed="false">
      <c r="A523" s="592" t="n">
        <v>2156</v>
      </c>
      <c r="B523" s="245" t="s">
        <v>1094</v>
      </c>
      <c r="C523" s="245" t="s">
        <v>1095</v>
      </c>
      <c r="D523" s="135" t="s">
        <v>8</v>
      </c>
      <c r="E523" s="636" t="n">
        <v>42270</v>
      </c>
      <c r="F523" s="137" t="s">
        <v>29</v>
      </c>
    </row>
    <row r="524" customFormat="false" ht="23.25" hidden="false" customHeight="true" outlineLevel="0" collapsed="false">
      <c r="A524" s="592" t="n">
        <v>3128</v>
      </c>
      <c r="B524" s="615" t="s">
        <v>1096</v>
      </c>
      <c r="C524" s="615" t="s">
        <v>1097</v>
      </c>
      <c r="D524" s="135" t="s">
        <v>8</v>
      </c>
      <c r="E524" s="622" t="n">
        <v>40909</v>
      </c>
      <c r="F524" s="137" t="s">
        <v>34</v>
      </c>
    </row>
    <row r="525" customFormat="false" ht="23.25" hidden="false" customHeight="true" outlineLevel="0" collapsed="false">
      <c r="A525" s="592" t="n">
        <v>2157</v>
      </c>
      <c r="B525" s="617" t="s">
        <v>1096</v>
      </c>
      <c r="C525" s="615" t="s">
        <v>214</v>
      </c>
      <c r="D525" s="135" t="s">
        <v>8</v>
      </c>
      <c r="E525" s="622" t="n">
        <v>42256</v>
      </c>
      <c r="F525" s="137" t="s">
        <v>34</v>
      </c>
    </row>
    <row r="526" customFormat="false" ht="23.25" hidden="false" customHeight="true" outlineLevel="0" collapsed="false">
      <c r="A526" s="592" t="n">
        <v>2158</v>
      </c>
      <c r="B526" s="617" t="s">
        <v>1098</v>
      </c>
      <c r="C526" s="615" t="s">
        <v>1099</v>
      </c>
      <c r="D526" s="135" t="s">
        <v>8</v>
      </c>
      <c r="E526" s="622" t="n">
        <v>41855</v>
      </c>
      <c r="F526" s="137" t="s">
        <v>17</v>
      </c>
    </row>
    <row r="527" customFormat="false" ht="23.25" hidden="false" customHeight="true" outlineLevel="0" collapsed="false">
      <c r="A527" s="592" t="n">
        <v>1114</v>
      </c>
      <c r="B527" s="617" t="s">
        <v>1104</v>
      </c>
      <c r="C527" s="615" t="s">
        <v>69</v>
      </c>
      <c r="D527" s="135" t="s">
        <v>26</v>
      </c>
      <c r="E527" s="618" t="n">
        <v>43645</v>
      </c>
      <c r="F527" s="137" t="s">
        <v>52</v>
      </c>
    </row>
    <row r="528" customFormat="false" ht="12.75" hidden="false" customHeight="true" outlineLevel="0" collapsed="false">
      <c r="A528" s="592" t="n">
        <v>3129</v>
      </c>
      <c r="B528" s="594" t="s">
        <v>1107</v>
      </c>
      <c r="C528" s="594" t="s">
        <v>1108</v>
      </c>
      <c r="D528" s="135" t="s">
        <v>8</v>
      </c>
      <c r="E528" s="664" t="n">
        <v>41592</v>
      </c>
      <c r="F528" s="137" t="s">
        <v>9</v>
      </c>
    </row>
    <row r="529" customFormat="false" ht="23.25" hidden="false" customHeight="true" outlineLevel="0" collapsed="false">
      <c r="A529" s="592" t="n">
        <v>4113</v>
      </c>
      <c r="B529" s="617" t="s">
        <v>1109</v>
      </c>
      <c r="C529" s="615" t="s">
        <v>391</v>
      </c>
      <c r="D529" s="135" t="s">
        <v>8</v>
      </c>
      <c r="E529" s="622" t="n">
        <v>40844</v>
      </c>
      <c r="F529" s="137" t="s">
        <v>34</v>
      </c>
    </row>
    <row r="530" customFormat="false" ht="23.25" hidden="false" customHeight="true" outlineLevel="0" collapsed="false">
      <c r="A530" s="592" t="n">
        <v>2159</v>
      </c>
      <c r="B530" s="624" t="s">
        <v>1110</v>
      </c>
      <c r="C530" s="625" t="s">
        <v>99</v>
      </c>
      <c r="D530" s="135" t="s">
        <v>8</v>
      </c>
      <c r="E530" s="622" t="n">
        <v>41745</v>
      </c>
      <c r="F530" s="137" t="s">
        <v>12</v>
      </c>
    </row>
    <row r="531" customFormat="false" ht="12.75" hidden="false" customHeight="true" outlineLevel="0" collapsed="false">
      <c r="A531" s="592" t="n">
        <v>1115</v>
      </c>
      <c r="B531" s="593" t="s">
        <v>1111</v>
      </c>
      <c r="C531" s="594" t="s">
        <v>215</v>
      </c>
      <c r="D531" s="135" t="s">
        <v>8</v>
      </c>
      <c r="E531" s="601" t="n">
        <v>2016</v>
      </c>
      <c r="F531" s="137" t="s">
        <v>9</v>
      </c>
    </row>
    <row r="532" customFormat="false" ht="23.25" hidden="false" customHeight="true" outlineLevel="0" collapsed="false">
      <c r="A532" s="592" t="n">
        <v>1116</v>
      </c>
      <c r="B532" s="245" t="s">
        <v>1115</v>
      </c>
      <c r="C532" s="202" t="s">
        <v>531</v>
      </c>
      <c r="D532" s="135" t="s">
        <v>26</v>
      </c>
      <c r="E532" s="618" t="n">
        <v>44096</v>
      </c>
      <c r="F532" s="137" t="s">
        <v>29</v>
      </c>
    </row>
    <row r="533" customFormat="false" ht="13.5" hidden="false" customHeight="true" outlineLevel="0" collapsed="false">
      <c r="A533" s="592" t="n">
        <v>2160</v>
      </c>
      <c r="B533" s="245" t="s">
        <v>1115</v>
      </c>
      <c r="C533" s="134" t="s">
        <v>406</v>
      </c>
      <c r="D533" s="135" t="s">
        <v>8</v>
      </c>
      <c r="E533" s="636" t="n">
        <v>41823</v>
      </c>
      <c r="F533" s="137" t="s">
        <v>29</v>
      </c>
    </row>
    <row r="534" customFormat="false" ht="23.25" hidden="false" customHeight="true" outlineLevel="0" collapsed="false">
      <c r="A534" s="592" t="n">
        <v>2161</v>
      </c>
      <c r="B534" s="617" t="s">
        <v>1118</v>
      </c>
      <c r="C534" s="615" t="s">
        <v>1119</v>
      </c>
      <c r="D534" s="135" t="s">
        <v>26</v>
      </c>
      <c r="E534" s="622" t="n">
        <v>42306</v>
      </c>
      <c r="F534" s="137" t="s">
        <v>143</v>
      </c>
    </row>
    <row r="535" customFormat="false" ht="23.25" hidden="false" customHeight="true" outlineLevel="0" collapsed="false">
      <c r="A535" s="592" t="n">
        <v>4110</v>
      </c>
      <c r="B535" s="617" t="s">
        <v>1120</v>
      </c>
      <c r="C535" s="615" t="s">
        <v>1121</v>
      </c>
      <c r="D535" s="135" t="s">
        <v>8</v>
      </c>
      <c r="E535" s="622" t="n">
        <v>38807</v>
      </c>
      <c r="F535" s="137" t="s">
        <v>52</v>
      </c>
    </row>
    <row r="536" customFormat="false" ht="12.75" hidden="false" customHeight="true" outlineLevel="0" collapsed="false">
      <c r="A536" s="592" t="n">
        <v>3130</v>
      </c>
      <c r="B536" s="594" t="s">
        <v>1123</v>
      </c>
      <c r="C536" s="594" t="s">
        <v>455</v>
      </c>
      <c r="D536" s="135" t="s">
        <v>8</v>
      </c>
      <c r="E536" s="601" t="n">
        <v>2012</v>
      </c>
      <c r="F536" s="137" t="s">
        <v>9</v>
      </c>
    </row>
    <row r="537" customFormat="false" ht="12.75" hidden="false" customHeight="true" outlineLevel="0" collapsed="false">
      <c r="A537" s="592" t="n">
        <v>4111</v>
      </c>
      <c r="B537" s="593" t="s">
        <v>1124</v>
      </c>
      <c r="C537" s="594" t="s">
        <v>1125</v>
      </c>
      <c r="D537" s="135" t="s">
        <v>8</v>
      </c>
      <c r="E537" s="595" t="n">
        <v>40801</v>
      </c>
      <c r="F537" s="137" t="s">
        <v>9</v>
      </c>
    </row>
    <row r="538" customFormat="false" ht="12.75" hidden="false" customHeight="true" outlineLevel="0" collapsed="false">
      <c r="A538" s="592" t="n">
        <v>2162</v>
      </c>
      <c r="B538" s="134" t="s">
        <v>1126</v>
      </c>
      <c r="C538" s="134" t="s">
        <v>368</v>
      </c>
      <c r="D538" s="137" t="s">
        <v>8</v>
      </c>
      <c r="E538" s="716" t="s">
        <v>1466</v>
      </c>
      <c r="F538" s="228" t="s">
        <v>129</v>
      </c>
    </row>
    <row r="539" customFormat="false" ht="23.25" hidden="false" customHeight="true" outlineLevel="0" collapsed="false">
      <c r="A539" s="592" t="n">
        <v>2163</v>
      </c>
      <c r="B539" s="624" t="s">
        <v>1127</v>
      </c>
      <c r="C539" s="625" t="s">
        <v>484</v>
      </c>
      <c r="D539" s="135" t="s">
        <v>8</v>
      </c>
      <c r="E539" s="622" t="n">
        <v>41662</v>
      </c>
      <c r="F539" s="137" t="s">
        <v>12</v>
      </c>
    </row>
    <row r="540" customFormat="false" ht="23.25" hidden="false" customHeight="true" outlineLevel="0" collapsed="false">
      <c r="A540" s="592" t="n">
        <v>4112</v>
      </c>
      <c r="B540" s="593" t="s">
        <v>1127</v>
      </c>
      <c r="C540" s="594" t="s">
        <v>1128</v>
      </c>
      <c r="D540" s="135" t="s">
        <v>8</v>
      </c>
      <c r="E540" s="622" t="n">
        <v>40440</v>
      </c>
      <c r="F540" s="137" t="s">
        <v>12</v>
      </c>
    </row>
    <row r="541" customFormat="false" ht="23.25" hidden="false" customHeight="true" outlineLevel="0" collapsed="false">
      <c r="A541" s="592" t="n">
        <v>4041</v>
      </c>
      <c r="B541" s="617" t="s">
        <v>1129</v>
      </c>
      <c r="C541" s="615" t="s">
        <v>817</v>
      </c>
      <c r="D541" s="135" t="s">
        <v>8</v>
      </c>
      <c r="E541" s="622" t="n">
        <v>40830</v>
      </c>
      <c r="F541" s="137" t="s">
        <v>34</v>
      </c>
    </row>
    <row r="542" customFormat="false" ht="23.25" hidden="false" customHeight="true" outlineLevel="0" collapsed="false">
      <c r="A542" s="592" t="n">
        <v>2164</v>
      </c>
      <c r="B542" s="617" t="s">
        <v>1131</v>
      </c>
      <c r="C542" s="615" t="s">
        <v>127</v>
      </c>
      <c r="D542" s="135" t="s">
        <v>8</v>
      </c>
      <c r="E542" s="622" t="n">
        <v>41794</v>
      </c>
      <c r="F542" s="137" t="s">
        <v>34</v>
      </c>
    </row>
    <row r="543" customFormat="false" ht="12.75" hidden="false" customHeight="true" outlineLevel="0" collapsed="false">
      <c r="A543" s="592" t="n">
        <v>3131</v>
      </c>
      <c r="B543" s="594" t="s">
        <v>1132</v>
      </c>
      <c r="C543" s="594" t="s">
        <v>246</v>
      </c>
      <c r="D543" s="135" t="s">
        <v>8</v>
      </c>
      <c r="E543" s="601" t="n">
        <v>2012</v>
      </c>
      <c r="F543" s="137" t="s">
        <v>9</v>
      </c>
    </row>
    <row r="544" customFormat="false" ht="23.25" hidden="false" customHeight="true" outlineLevel="0" collapsed="false">
      <c r="A544" s="592" t="n">
        <v>4114</v>
      </c>
      <c r="B544" s="617" t="s">
        <v>1133</v>
      </c>
      <c r="C544" s="615" t="s">
        <v>541</v>
      </c>
      <c r="D544" s="135" t="s">
        <v>8</v>
      </c>
      <c r="E544" s="618" t="n">
        <v>39896</v>
      </c>
      <c r="F544" s="137" t="s">
        <v>34</v>
      </c>
    </row>
    <row r="545" customFormat="false" ht="23.25" hidden="false" customHeight="true" outlineLevel="0" collapsed="false">
      <c r="A545" s="592" t="n">
        <v>4115</v>
      </c>
      <c r="B545" s="617" t="s">
        <v>1133</v>
      </c>
      <c r="C545" s="615" t="s">
        <v>1134</v>
      </c>
      <c r="D545" s="135" t="s">
        <v>8</v>
      </c>
      <c r="E545" s="622" t="n">
        <v>40652</v>
      </c>
      <c r="F545" s="137" t="s">
        <v>34</v>
      </c>
    </row>
    <row r="546" customFormat="false" ht="23.25" hidden="false" customHeight="true" outlineLevel="0" collapsed="false">
      <c r="A546" s="592" t="n">
        <v>2165</v>
      </c>
      <c r="B546" s="617" t="s">
        <v>1133</v>
      </c>
      <c r="C546" s="615" t="s">
        <v>1135</v>
      </c>
      <c r="D546" s="135" t="s">
        <v>26</v>
      </c>
      <c r="E546" s="622" t="n">
        <v>42288</v>
      </c>
      <c r="F546" s="137" t="s">
        <v>34</v>
      </c>
    </row>
    <row r="547" customFormat="false" ht="13.5" hidden="false" customHeight="true" outlineLevel="0" collapsed="false">
      <c r="A547" s="592" t="n">
        <v>4116</v>
      </c>
      <c r="B547" s="202" t="s">
        <v>1136</v>
      </c>
      <c r="C547" s="202" t="s">
        <v>278</v>
      </c>
      <c r="D547" s="135" t="s">
        <v>8</v>
      </c>
      <c r="E547" s="646" t="n">
        <v>39030</v>
      </c>
      <c r="F547" s="137" t="s">
        <v>29</v>
      </c>
    </row>
    <row r="548" customFormat="false" ht="23.25" hidden="false" customHeight="true" outlineLevel="0" collapsed="false">
      <c r="A548" s="592" t="n">
        <v>1117</v>
      </c>
      <c r="B548" s="617" t="s">
        <v>1137</v>
      </c>
      <c r="C548" s="615" t="s">
        <v>1071</v>
      </c>
      <c r="D548" s="135" t="s">
        <v>8</v>
      </c>
      <c r="E548" s="618" t="n">
        <v>43371</v>
      </c>
      <c r="F548" s="137" t="s">
        <v>34</v>
      </c>
    </row>
    <row r="549" customFormat="false" ht="23.25" hidden="false" customHeight="true" outlineLevel="0" collapsed="false">
      <c r="A549" s="592" t="n">
        <v>4122</v>
      </c>
      <c r="B549" s="645" t="s">
        <v>1140</v>
      </c>
      <c r="C549" s="717" t="s">
        <v>214</v>
      </c>
      <c r="D549" s="135" t="s">
        <v>8</v>
      </c>
      <c r="E549" s="718" t="s">
        <v>1467</v>
      </c>
      <c r="F549" s="598" t="s">
        <v>143</v>
      </c>
    </row>
    <row r="550" customFormat="false" ht="23.25" hidden="false" customHeight="true" outlineLevel="0" collapsed="false">
      <c r="A550" s="592" t="n">
        <v>2166</v>
      </c>
      <c r="B550" s="245" t="s">
        <v>1141</v>
      </c>
      <c r="C550" s="245" t="s">
        <v>132</v>
      </c>
      <c r="D550" s="135" t="s">
        <v>8</v>
      </c>
      <c r="E550" s="622" t="n">
        <v>41765</v>
      </c>
      <c r="F550" s="137" t="s">
        <v>52</v>
      </c>
    </row>
    <row r="551" customFormat="false" ht="23.25" hidden="false" customHeight="true" outlineLevel="0" collapsed="false">
      <c r="A551" s="592" t="n">
        <v>2167</v>
      </c>
      <c r="B551" s="624" t="s">
        <v>1142</v>
      </c>
      <c r="C551" s="625" t="s">
        <v>1143</v>
      </c>
      <c r="D551" s="135" t="s">
        <v>8</v>
      </c>
      <c r="E551" s="622" t="n">
        <v>41822</v>
      </c>
      <c r="F551" s="137" t="s">
        <v>12</v>
      </c>
    </row>
    <row r="552" customFormat="false" ht="12.75" hidden="false" customHeight="true" outlineLevel="0" collapsed="false">
      <c r="A552" s="592" t="n">
        <v>3132</v>
      </c>
      <c r="B552" s="594" t="s">
        <v>1144</v>
      </c>
      <c r="C552" s="594" t="s">
        <v>1145</v>
      </c>
      <c r="D552" s="135" t="s">
        <v>8</v>
      </c>
      <c r="E552" s="601" t="n">
        <v>2013</v>
      </c>
      <c r="F552" s="137" t="s">
        <v>9</v>
      </c>
    </row>
    <row r="553" customFormat="false" ht="23.25" hidden="false" customHeight="true" outlineLevel="0" collapsed="false">
      <c r="A553" s="592" t="n">
        <v>4118</v>
      </c>
      <c r="B553" s="645" t="s">
        <v>1147</v>
      </c>
      <c r="C553" s="621" t="s">
        <v>1148</v>
      </c>
      <c r="D553" s="135" t="s">
        <v>8</v>
      </c>
      <c r="E553" s="718" t="n">
        <v>40207</v>
      </c>
      <c r="F553" s="137" t="s">
        <v>34</v>
      </c>
    </row>
    <row r="554" customFormat="false" ht="23.25" hidden="false" customHeight="true" outlineLevel="0" collapsed="false">
      <c r="A554" s="592" t="n">
        <v>1118</v>
      </c>
      <c r="B554" s="617" t="s">
        <v>1149</v>
      </c>
      <c r="C554" s="615" t="s">
        <v>215</v>
      </c>
      <c r="D554" s="135" t="s">
        <v>8</v>
      </c>
      <c r="E554" s="618" t="n">
        <v>42371</v>
      </c>
      <c r="F554" s="600" t="s">
        <v>129</v>
      </c>
    </row>
    <row r="555" customFormat="false" ht="12.75" hidden="false" customHeight="true" outlineLevel="0" collapsed="false">
      <c r="A555" s="592" t="n">
        <v>2168</v>
      </c>
      <c r="B555" s="134" t="s">
        <v>1150</v>
      </c>
      <c r="C555" s="134" t="s">
        <v>127</v>
      </c>
      <c r="D555" s="137" t="s">
        <v>8</v>
      </c>
      <c r="E555" s="716" t="n">
        <v>41660</v>
      </c>
      <c r="F555" s="228" t="s">
        <v>129</v>
      </c>
    </row>
    <row r="556" customFormat="false" ht="12.75" hidden="false" customHeight="true" outlineLevel="0" collapsed="false">
      <c r="A556" s="592" t="n">
        <v>1119</v>
      </c>
      <c r="B556" s="134" t="s">
        <v>1151</v>
      </c>
      <c r="C556" s="134" t="s">
        <v>43</v>
      </c>
      <c r="D556" s="135" t="s">
        <v>8</v>
      </c>
      <c r="E556" s="661" t="n">
        <v>42669</v>
      </c>
      <c r="F556" s="137" t="s">
        <v>129</v>
      </c>
    </row>
    <row r="557" customFormat="false" ht="12.75" hidden="false" customHeight="true" outlineLevel="0" collapsed="false">
      <c r="A557" s="592" t="n">
        <v>4119</v>
      </c>
      <c r="B557" s="624" t="s">
        <v>1152</v>
      </c>
      <c r="C557" s="625" t="s">
        <v>355</v>
      </c>
      <c r="D557" s="135" t="s">
        <v>8</v>
      </c>
      <c r="E557" s="137" t="n">
        <v>2011</v>
      </c>
      <c r="F557" s="137" t="s">
        <v>9</v>
      </c>
    </row>
    <row r="558" customFormat="false" ht="23.25" hidden="false" customHeight="true" outlineLevel="0" collapsed="false">
      <c r="A558" s="592" t="n">
        <v>3133</v>
      </c>
      <c r="B558" s="615" t="s">
        <v>1153</v>
      </c>
      <c r="C558" s="615" t="s">
        <v>417</v>
      </c>
      <c r="D558" s="135" t="s">
        <v>8</v>
      </c>
      <c r="E558" s="622" t="n">
        <v>41313</v>
      </c>
      <c r="F558" s="137" t="s">
        <v>17</v>
      </c>
    </row>
    <row r="559" customFormat="false" ht="23.25" hidden="false" customHeight="true" outlineLevel="0" collapsed="false">
      <c r="A559" s="592" t="n">
        <v>3134</v>
      </c>
      <c r="B559" s="615" t="s">
        <v>1154</v>
      </c>
      <c r="C559" s="615" t="s">
        <v>311</v>
      </c>
      <c r="D559" s="135" t="s">
        <v>8</v>
      </c>
      <c r="E559" s="622" t="n">
        <v>40952</v>
      </c>
      <c r="F559" s="137" t="s">
        <v>34</v>
      </c>
    </row>
    <row r="560" customFormat="false" ht="12.75" hidden="false" customHeight="true" outlineLevel="0" collapsed="false">
      <c r="A560" s="592" t="n">
        <v>3135</v>
      </c>
      <c r="B560" s="594" t="s">
        <v>1155</v>
      </c>
      <c r="C560" s="594" t="s">
        <v>1156</v>
      </c>
      <c r="D560" s="135" t="s">
        <v>8</v>
      </c>
      <c r="E560" s="601" t="n">
        <v>2013</v>
      </c>
      <c r="F560" s="137" t="s">
        <v>9</v>
      </c>
    </row>
    <row r="561" customFormat="false" ht="13.5" hidden="false" customHeight="true" outlineLevel="0" collapsed="false">
      <c r="A561" s="592" t="n">
        <v>2169</v>
      </c>
      <c r="B561" s="202" t="s">
        <v>1158</v>
      </c>
      <c r="C561" s="245" t="s">
        <v>1159</v>
      </c>
      <c r="D561" s="135" t="s">
        <v>8</v>
      </c>
      <c r="E561" s="636" t="n">
        <v>41949</v>
      </c>
      <c r="F561" s="137" t="s">
        <v>29</v>
      </c>
    </row>
    <row r="562" customFormat="false" ht="23.25" hidden="false" customHeight="true" outlineLevel="0" collapsed="false">
      <c r="A562" s="592" t="n">
        <v>3136</v>
      </c>
      <c r="B562" s="615" t="s">
        <v>1160</v>
      </c>
      <c r="C562" s="615" t="s">
        <v>1161</v>
      </c>
      <c r="D562" s="135" t="s">
        <v>8</v>
      </c>
      <c r="E562" s="622" t="n">
        <v>41136</v>
      </c>
      <c r="F562" s="137" t="s">
        <v>52</v>
      </c>
    </row>
    <row r="563" customFormat="false" ht="23.25" hidden="false" customHeight="true" outlineLevel="0" collapsed="false">
      <c r="A563" s="592" t="n">
        <v>2170</v>
      </c>
      <c r="B563" s="593" t="s">
        <v>1164</v>
      </c>
      <c r="C563" s="594" t="s">
        <v>193</v>
      </c>
      <c r="D563" s="135" t="s">
        <v>8</v>
      </c>
      <c r="E563" s="622" t="n">
        <v>42304</v>
      </c>
      <c r="F563" s="137" t="s">
        <v>29</v>
      </c>
    </row>
    <row r="564" customFormat="false" ht="23.25" hidden="false" customHeight="true" outlineLevel="0" collapsed="false">
      <c r="A564" s="592" t="n">
        <v>1120</v>
      </c>
      <c r="B564" s="645" t="s">
        <v>1169</v>
      </c>
      <c r="C564" s="621" t="s">
        <v>1170</v>
      </c>
      <c r="D564" s="135" t="s">
        <v>8</v>
      </c>
      <c r="E564" s="618" t="n">
        <v>42455</v>
      </c>
      <c r="F564" s="137" t="s">
        <v>20</v>
      </c>
    </row>
    <row r="565" customFormat="false" ht="23.25" hidden="false" customHeight="true" outlineLevel="0" collapsed="false">
      <c r="A565" s="592" t="n">
        <v>3137</v>
      </c>
      <c r="B565" s="621" t="s">
        <v>1169</v>
      </c>
      <c r="C565" s="621" t="s">
        <v>222</v>
      </c>
      <c r="D565" s="135" t="s">
        <v>8</v>
      </c>
      <c r="E565" s="622" t="n">
        <v>41297</v>
      </c>
      <c r="F565" s="137" t="s">
        <v>20</v>
      </c>
    </row>
    <row r="566" customFormat="false" ht="23.25" hidden="false" customHeight="true" outlineLevel="0" collapsed="false">
      <c r="A566" s="592" t="n">
        <v>4120</v>
      </c>
      <c r="B566" s="645" t="s">
        <v>1169</v>
      </c>
      <c r="C566" s="621" t="s">
        <v>311</v>
      </c>
      <c r="D566" s="135" t="s">
        <v>8</v>
      </c>
      <c r="E566" s="718" t="n">
        <v>40661</v>
      </c>
      <c r="F566" s="137" t="s">
        <v>20</v>
      </c>
    </row>
    <row r="567" customFormat="false" ht="23.25" hidden="false" customHeight="true" outlineLevel="0" collapsed="false">
      <c r="A567" s="592" t="n">
        <v>2171</v>
      </c>
      <c r="B567" s="617" t="s">
        <v>1171</v>
      </c>
      <c r="C567" s="615" t="s">
        <v>459</v>
      </c>
      <c r="D567" s="137" t="s">
        <v>8</v>
      </c>
      <c r="E567" s="622" t="n">
        <v>42141</v>
      </c>
      <c r="F567" s="228" t="s">
        <v>129</v>
      </c>
    </row>
    <row r="568" customFormat="false" ht="23.25" hidden="false" customHeight="true" outlineLevel="0" collapsed="false">
      <c r="A568" s="592" t="n">
        <v>3138</v>
      </c>
      <c r="B568" s="625" t="s">
        <v>1173</v>
      </c>
      <c r="C568" s="625" t="s">
        <v>790</v>
      </c>
      <c r="D568" s="135" t="s">
        <v>8</v>
      </c>
      <c r="E568" s="622" t="n">
        <v>41244</v>
      </c>
      <c r="F568" s="137" t="s">
        <v>12</v>
      </c>
    </row>
    <row r="569" customFormat="false" ht="23.25" hidden="false" customHeight="true" outlineLevel="0" collapsed="false">
      <c r="A569" s="592" t="n">
        <v>2172</v>
      </c>
      <c r="B569" s="645" t="s">
        <v>1175</v>
      </c>
      <c r="C569" s="621" t="s">
        <v>1176</v>
      </c>
      <c r="D569" s="135" t="s">
        <v>8</v>
      </c>
      <c r="E569" s="622" t="n">
        <v>41930</v>
      </c>
      <c r="F569" s="137" t="s">
        <v>20</v>
      </c>
    </row>
    <row r="570" customFormat="false" ht="13.5" hidden="false" customHeight="true" outlineLevel="0" collapsed="false">
      <c r="A570" s="592" t="n">
        <v>2173</v>
      </c>
      <c r="B570" s="245" t="s">
        <v>1177</v>
      </c>
      <c r="C570" s="134" t="s">
        <v>1178</v>
      </c>
      <c r="D570" s="135" t="s">
        <v>26</v>
      </c>
      <c r="E570" s="636" t="n">
        <v>41657</v>
      </c>
      <c r="F570" s="137" t="s">
        <v>29</v>
      </c>
    </row>
    <row r="571" customFormat="false" ht="23.25" hidden="false" customHeight="true" outlineLevel="0" collapsed="false">
      <c r="A571" s="592" t="n">
        <v>1121</v>
      </c>
      <c r="B571" s="617" t="s">
        <v>1180</v>
      </c>
      <c r="C571" s="615" t="s">
        <v>1181</v>
      </c>
      <c r="D571" s="135" t="s">
        <v>8</v>
      </c>
      <c r="E571" s="618" t="n">
        <v>42528</v>
      </c>
      <c r="F571" s="137" t="s">
        <v>34</v>
      </c>
    </row>
    <row r="572" customFormat="false" ht="23.25" hidden="false" customHeight="true" outlineLevel="0" collapsed="false">
      <c r="A572" s="592" t="n">
        <v>3139</v>
      </c>
      <c r="B572" s="615" t="s">
        <v>1182</v>
      </c>
      <c r="C572" s="615" t="s">
        <v>1183</v>
      </c>
      <c r="D572" s="135" t="s">
        <v>8</v>
      </c>
      <c r="E572" s="622" t="n">
        <v>41509</v>
      </c>
      <c r="F572" s="137" t="s">
        <v>34</v>
      </c>
    </row>
    <row r="573" customFormat="false" ht="23.25" hidden="false" customHeight="true" outlineLevel="0" collapsed="false">
      <c r="A573" s="592" t="n">
        <v>2174</v>
      </c>
      <c r="B573" s="617" t="s">
        <v>1184</v>
      </c>
      <c r="C573" s="615" t="s">
        <v>1185</v>
      </c>
      <c r="D573" s="135" t="s">
        <v>8</v>
      </c>
      <c r="E573" s="622" t="n">
        <v>41824</v>
      </c>
      <c r="F573" s="137" t="s">
        <v>52</v>
      </c>
    </row>
    <row r="574" customFormat="false" ht="23.25" hidden="false" customHeight="true" outlineLevel="0" collapsed="false">
      <c r="A574" s="592" t="n">
        <v>2175</v>
      </c>
      <c r="B574" s="617" t="s">
        <v>1184</v>
      </c>
      <c r="C574" s="615" t="s">
        <v>736</v>
      </c>
      <c r="D574" s="135" t="s">
        <v>8</v>
      </c>
      <c r="E574" s="622" t="s">
        <v>1468</v>
      </c>
      <c r="F574" s="137" t="s">
        <v>143</v>
      </c>
    </row>
    <row r="575" customFormat="false" ht="12.75" hidden="false" customHeight="true" outlineLevel="0" collapsed="false">
      <c r="A575" s="592" t="n">
        <v>3140</v>
      </c>
      <c r="B575" s="594" t="s">
        <v>1187</v>
      </c>
      <c r="C575" s="594" t="s">
        <v>31</v>
      </c>
      <c r="D575" s="135" t="s">
        <v>8</v>
      </c>
      <c r="E575" s="601" t="n">
        <v>2013</v>
      </c>
      <c r="F575" s="600" t="s">
        <v>9</v>
      </c>
    </row>
    <row r="576" customFormat="false" ht="23.25" hidden="false" customHeight="true" outlineLevel="0" collapsed="false">
      <c r="A576" s="592" t="n">
        <v>4121</v>
      </c>
      <c r="B576" s="645" t="s">
        <v>1188</v>
      </c>
      <c r="C576" s="621" t="s">
        <v>1189</v>
      </c>
      <c r="D576" s="135" t="s">
        <v>8</v>
      </c>
      <c r="E576" s="718" t="n">
        <v>40297</v>
      </c>
      <c r="F576" s="137" t="s">
        <v>34</v>
      </c>
    </row>
    <row r="577" customFormat="false" ht="23.25" hidden="false" customHeight="true" outlineLevel="0" collapsed="false">
      <c r="A577" s="592" t="n">
        <v>1122</v>
      </c>
      <c r="B577" s="617" t="s">
        <v>1190</v>
      </c>
      <c r="C577" s="615" t="s">
        <v>406</v>
      </c>
      <c r="D577" s="135" t="s">
        <v>8</v>
      </c>
      <c r="E577" s="618" t="n">
        <v>42382</v>
      </c>
      <c r="F577" s="137" t="s">
        <v>52</v>
      </c>
    </row>
    <row r="578" customFormat="false" ht="23.25" hidden="false" customHeight="true" outlineLevel="0" collapsed="false">
      <c r="A578" s="592" t="n">
        <v>2176</v>
      </c>
      <c r="B578" s="617" t="s">
        <v>1192</v>
      </c>
      <c r="C578" s="615" t="s">
        <v>493</v>
      </c>
      <c r="D578" s="135" t="s">
        <v>8</v>
      </c>
      <c r="E578" s="622" t="n">
        <v>41964</v>
      </c>
      <c r="F578" s="600" t="s">
        <v>17</v>
      </c>
    </row>
    <row r="579" customFormat="false" ht="23.25" hidden="false" customHeight="true" outlineLevel="0" collapsed="false">
      <c r="A579" s="592" t="n">
        <v>1123</v>
      </c>
      <c r="B579" s="617" t="s">
        <v>1194</v>
      </c>
      <c r="C579" s="615" t="s">
        <v>1195</v>
      </c>
      <c r="D579" s="135" t="s">
        <v>8</v>
      </c>
      <c r="E579" s="618" t="n">
        <v>43965</v>
      </c>
      <c r="F579" s="137" t="s">
        <v>52</v>
      </c>
    </row>
    <row r="580" customFormat="false" ht="23.25" hidden="false" customHeight="true" outlineLevel="0" collapsed="false">
      <c r="A580" s="592" t="n">
        <v>3141</v>
      </c>
      <c r="B580" s="615" t="s">
        <v>1196</v>
      </c>
      <c r="C580" s="615" t="s">
        <v>515</v>
      </c>
      <c r="D580" s="135" t="s">
        <v>8</v>
      </c>
      <c r="E580" s="622" t="n">
        <v>41250</v>
      </c>
      <c r="F580" s="137" t="s">
        <v>34</v>
      </c>
    </row>
    <row r="581" customFormat="false" ht="23.25" hidden="false" customHeight="true" outlineLevel="0" collapsed="false">
      <c r="A581" s="592" t="n">
        <v>2177</v>
      </c>
      <c r="B581" s="617" t="s">
        <v>1197</v>
      </c>
      <c r="C581" s="615" t="s">
        <v>1198</v>
      </c>
      <c r="D581" s="135" t="s">
        <v>8</v>
      </c>
      <c r="E581" s="622" t="n">
        <v>42229</v>
      </c>
      <c r="F581" s="137" t="s">
        <v>52</v>
      </c>
    </row>
    <row r="582" customFormat="false" ht="23.25" hidden="false" customHeight="true" outlineLevel="0" collapsed="false">
      <c r="A582" s="592" t="n">
        <v>1124</v>
      </c>
      <c r="B582" s="617" t="s">
        <v>1197</v>
      </c>
      <c r="C582" s="615" t="s">
        <v>1199</v>
      </c>
      <c r="D582" s="135" t="s">
        <v>8</v>
      </c>
      <c r="E582" s="618" t="n">
        <v>43218</v>
      </c>
      <c r="F582" s="137" t="s">
        <v>52</v>
      </c>
    </row>
    <row r="583" customFormat="false" ht="12.75" hidden="false" customHeight="true" outlineLevel="0" collapsed="false">
      <c r="A583" s="592" t="n">
        <v>3142</v>
      </c>
      <c r="B583" s="245" t="s">
        <v>1200</v>
      </c>
      <c r="C583" s="202" t="s">
        <v>1201</v>
      </c>
      <c r="D583" s="135" t="s">
        <v>8</v>
      </c>
      <c r="E583" s="616" t="n">
        <v>41579</v>
      </c>
      <c r="F583" s="137" t="s">
        <v>29</v>
      </c>
    </row>
    <row r="584" customFormat="false" ht="13.5" hidden="false" customHeight="true" outlineLevel="0" collapsed="false">
      <c r="A584" s="592" t="n">
        <v>2178</v>
      </c>
      <c r="B584" s="202" t="s">
        <v>1202</v>
      </c>
      <c r="C584" s="245" t="s">
        <v>37</v>
      </c>
      <c r="D584" s="135" t="s">
        <v>8</v>
      </c>
      <c r="E584" s="636" t="n">
        <v>42220</v>
      </c>
      <c r="F584" s="137" t="s">
        <v>29</v>
      </c>
    </row>
    <row r="585" customFormat="false" ht="23.25" hidden="false" customHeight="true" outlineLevel="0" collapsed="false">
      <c r="A585" s="592" t="n">
        <v>4117</v>
      </c>
      <c r="B585" s="645" t="s">
        <v>1202</v>
      </c>
      <c r="C585" s="621" t="s">
        <v>437</v>
      </c>
      <c r="D585" s="135" t="s">
        <v>8</v>
      </c>
      <c r="E585" s="718" t="n">
        <v>40890</v>
      </c>
      <c r="F585" s="137" t="s">
        <v>52</v>
      </c>
    </row>
    <row r="586" customFormat="false" ht="23.25" hidden="false" customHeight="true" outlineLevel="0" collapsed="false">
      <c r="A586" s="592" t="n">
        <v>1125</v>
      </c>
      <c r="B586" s="645" t="s">
        <v>1203</v>
      </c>
      <c r="C586" s="621" t="s">
        <v>574</v>
      </c>
      <c r="D586" s="135" t="s">
        <v>8</v>
      </c>
      <c r="E586" s="618" t="n">
        <v>42688</v>
      </c>
      <c r="F586" s="137" t="s">
        <v>20</v>
      </c>
    </row>
    <row r="587" customFormat="false" ht="23.25" hidden="false" customHeight="true" outlineLevel="0" collapsed="false">
      <c r="A587" s="592" t="n">
        <v>2179</v>
      </c>
      <c r="B587" s="624" t="s">
        <v>1204</v>
      </c>
      <c r="C587" s="625" t="s">
        <v>796</v>
      </c>
      <c r="D587" s="135" t="s">
        <v>8</v>
      </c>
      <c r="E587" s="622" t="n">
        <v>42050</v>
      </c>
      <c r="F587" s="137" t="s">
        <v>12</v>
      </c>
    </row>
    <row r="588" customFormat="false" ht="23.25" hidden="false" customHeight="true" outlineLevel="0" collapsed="false">
      <c r="A588" s="592" t="n">
        <v>2180</v>
      </c>
      <c r="B588" s="617" t="s">
        <v>1205</v>
      </c>
      <c r="C588" s="615" t="s">
        <v>1206</v>
      </c>
      <c r="D588" s="135" t="s">
        <v>26</v>
      </c>
      <c r="E588" s="622" t="n">
        <v>41809</v>
      </c>
      <c r="F588" s="137" t="s">
        <v>34</v>
      </c>
    </row>
    <row r="589" customFormat="false" ht="23.25" hidden="false" customHeight="true" outlineLevel="0" collapsed="false">
      <c r="A589" s="592" t="n">
        <v>1126</v>
      </c>
      <c r="B589" s="617" t="s">
        <v>1205</v>
      </c>
      <c r="C589" s="615" t="s">
        <v>214</v>
      </c>
      <c r="D589" s="135" t="s">
        <v>8</v>
      </c>
      <c r="E589" s="618" t="n">
        <v>42820</v>
      </c>
      <c r="F589" s="137" t="s">
        <v>34</v>
      </c>
    </row>
    <row r="590" customFormat="false" ht="23.25" hidden="false" customHeight="true" outlineLevel="0" collapsed="false">
      <c r="A590" s="592" t="n">
        <v>1127</v>
      </c>
      <c r="B590" s="593" t="s">
        <v>1208</v>
      </c>
      <c r="C590" s="594" t="s">
        <v>776</v>
      </c>
      <c r="D590" s="135" t="s">
        <v>8</v>
      </c>
      <c r="E590" s="618" t="n">
        <v>43037</v>
      </c>
      <c r="F590" s="137" t="s">
        <v>29</v>
      </c>
    </row>
    <row r="591" customFormat="false" ht="23.25" hidden="false" customHeight="true" outlineLevel="0" collapsed="false">
      <c r="A591" s="592" t="n">
        <v>4023</v>
      </c>
      <c r="B591" s="645" t="s">
        <v>1209</v>
      </c>
      <c r="C591" s="621" t="s">
        <v>400</v>
      </c>
      <c r="D591" s="135" t="s">
        <v>8</v>
      </c>
      <c r="E591" s="718" t="s">
        <v>1469</v>
      </c>
      <c r="F591" s="135" t="s">
        <v>143</v>
      </c>
    </row>
    <row r="592" customFormat="false" ht="23.25" hidden="false" customHeight="true" outlineLevel="0" collapsed="false">
      <c r="A592" s="592" t="n">
        <v>1128</v>
      </c>
      <c r="B592" s="617" t="s">
        <v>1211</v>
      </c>
      <c r="C592" s="615" t="s">
        <v>759</v>
      </c>
      <c r="D592" s="135" t="s">
        <v>8</v>
      </c>
      <c r="E592" s="618" t="n">
        <v>43081</v>
      </c>
      <c r="F592" s="600" t="s">
        <v>20</v>
      </c>
    </row>
    <row r="593" customFormat="false" ht="23.25" hidden="false" customHeight="true" outlineLevel="0" collapsed="false">
      <c r="A593" s="592" t="n">
        <v>3143</v>
      </c>
      <c r="B593" s="615" t="s">
        <v>1213</v>
      </c>
      <c r="C593" s="615" t="s">
        <v>593</v>
      </c>
      <c r="D593" s="135" t="s">
        <v>8</v>
      </c>
      <c r="E593" s="622" t="n">
        <v>41422</v>
      </c>
      <c r="F593" s="600" t="s">
        <v>52</v>
      </c>
    </row>
    <row r="594" customFormat="false" ht="23.25" hidden="false" customHeight="true" outlineLevel="0" collapsed="false">
      <c r="A594" s="592" t="n">
        <v>1129</v>
      </c>
      <c r="B594" s="617" t="s">
        <v>1213</v>
      </c>
      <c r="C594" s="615" t="s">
        <v>1214</v>
      </c>
      <c r="D594" s="135" t="s">
        <v>8</v>
      </c>
      <c r="E594" s="618" t="n">
        <v>42570</v>
      </c>
      <c r="F594" s="600" t="s">
        <v>52</v>
      </c>
    </row>
    <row r="595" customFormat="false" ht="13.5" hidden="false" customHeight="true" outlineLevel="0" collapsed="false">
      <c r="A595" s="592" t="n">
        <v>4124</v>
      </c>
      <c r="B595" s="245" t="s">
        <v>1216</v>
      </c>
      <c r="C595" s="245" t="s">
        <v>107</v>
      </c>
      <c r="D595" s="135" t="s">
        <v>8</v>
      </c>
      <c r="E595" s="636" t="n">
        <v>40479</v>
      </c>
      <c r="F595" s="137" t="s">
        <v>29</v>
      </c>
    </row>
    <row r="596" customFormat="false" ht="23.25" hidden="false" customHeight="true" outlineLevel="0" collapsed="false">
      <c r="A596" s="592" t="n">
        <v>2181</v>
      </c>
      <c r="B596" s="617" t="s">
        <v>1220</v>
      </c>
      <c r="C596" s="615" t="s">
        <v>723</v>
      </c>
      <c r="D596" s="135" t="s">
        <v>8</v>
      </c>
      <c r="E596" s="622" t="n">
        <v>41936</v>
      </c>
      <c r="F596" s="600" t="s">
        <v>52</v>
      </c>
    </row>
    <row r="597" customFormat="false" ht="12.75" hidden="false" customHeight="true" outlineLevel="0" collapsed="false">
      <c r="A597" s="592" t="n">
        <v>3144</v>
      </c>
      <c r="B597" s="594" t="s">
        <v>1221</v>
      </c>
      <c r="C597" s="594" t="s">
        <v>1156</v>
      </c>
      <c r="D597" s="135" t="s">
        <v>8</v>
      </c>
      <c r="E597" s="601" t="n">
        <v>2013</v>
      </c>
      <c r="F597" s="137" t="s">
        <v>9</v>
      </c>
    </row>
    <row r="598" customFormat="false" ht="23.25" hidden="false" customHeight="true" outlineLevel="0" collapsed="false">
      <c r="A598" s="592" t="n">
        <v>2182</v>
      </c>
      <c r="B598" s="617" t="s">
        <v>1222</v>
      </c>
      <c r="C598" s="615" t="s">
        <v>822</v>
      </c>
      <c r="D598" s="137" t="s">
        <v>8</v>
      </c>
      <c r="E598" s="622" t="n">
        <v>41986</v>
      </c>
      <c r="F598" s="228" t="s">
        <v>129</v>
      </c>
    </row>
    <row r="599" customFormat="false" ht="23.25" hidden="false" customHeight="true" outlineLevel="0" collapsed="false">
      <c r="A599" s="592" t="n">
        <v>4125</v>
      </c>
      <c r="B599" s="645" t="s">
        <v>1223</v>
      </c>
      <c r="C599" s="621" t="s">
        <v>23</v>
      </c>
      <c r="D599" s="135" t="s">
        <v>8</v>
      </c>
      <c r="E599" s="718" t="n">
        <v>40050</v>
      </c>
      <c r="F599" s="137" t="s">
        <v>52</v>
      </c>
    </row>
    <row r="600" customFormat="false" ht="23.25" hidden="false" customHeight="true" outlineLevel="0" collapsed="false">
      <c r="A600" s="592" t="n">
        <v>4126</v>
      </c>
      <c r="B600" s="617" t="s">
        <v>1225</v>
      </c>
      <c r="C600" s="615" t="s">
        <v>1226</v>
      </c>
      <c r="D600" s="135" t="s">
        <v>8</v>
      </c>
      <c r="E600" s="622" t="n">
        <v>39199</v>
      </c>
      <c r="F600" s="137" t="s">
        <v>129</v>
      </c>
    </row>
    <row r="601" customFormat="false" ht="23.25" hidden="false" customHeight="true" outlineLevel="0" collapsed="false">
      <c r="A601" s="592" t="n">
        <v>2209</v>
      </c>
      <c r="B601" s="593" t="s">
        <v>1227</v>
      </c>
      <c r="C601" s="594" t="s">
        <v>1228</v>
      </c>
      <c r="D601" s="135" t="s">
        <v>8</v>
      </c>
      <c r="E601" s="652" t="n">
        <v>42334</v>
      </c>
      <c r="F601" s="228" t="s">
        <v>20</v>
      </c>
    </row>
    <row r="602" customFormat="false" ht="12.75" hidden="false" customHeight="true" outlineLevel="0" collapsed="false">
      <c r="A602" s="592" t="n">
        <v>2183</v>
      </c>
      <c r="B602" s="593" t="s">
        <v>1470</v>
      </c>
      <c r="C602" s="594" t="s">
        <v>250</v>
      </c>
      <c r="D602" s="135" t="s">
        <v>8</v>
      </c>
      <c r="E602" s="595" t="n">
        <v>42095</v>
      </c>
      <c r="F602" s="137" t="s">
        <v>9</v>
      </c>
    </row>
    <row r="603" customFormat="false" ht="23.25" hidden="false" customHeight="true" outlineLevel="0" collapsed="false">
      <c r="A603" s="592" t="n">
        <v>2184</v>
      </c>
      <c r="B603" s="617" t="s">
        <v>1233</v>
      </c>
      <c r="C603" s="615" t="s">
        <v>908</v>
      </c>
      <c r="D603" s="135" t="s">
        <v>8</v>
      </c>
      <c r="E603" s="622" t="n">
        <v>41762</v>
      </c>
      <c r="F603" s="600" t="s">
        <v>52</v>
      </c>
    </row>
    <row r="604" customFormat="false" ht="23.25" hidden="false" customHeight="true" outlineLevel="0" collapsed="false">
      <c r="A604" s="592" t="n">
        <v>3145</v>
      </c>
      <c r="B604" s="594" t="s">
        <v>1234</v>
      </c>
      <c r="C604" s="594" t="s">
        <v>181</v>
      </c>
      <c r="D604" s="135" t="s">
        <v>8</v>
      </c>
      <c r="E604" s="622" t="n">
        <v>41005</v>
      </c>
      <c r="F604" s="137" t="s">
        <v>12</v>
      </c>
    </row>
    <row r="605" customFormat="false" ht="23.25" hidden="false" customHeight="true" outlineLevel="0" collapsed="false">
      <c r="A605" s="592" t="n">
        <v>4127</v>
      </c>
      <c r="B605" s="645" t="s">
        <v>1237</v>
      </c>
      <c r="C605" s="621" t="s">
        <v>915</v>
      </c>
      <c r="D605" s="135" t="s">
        <v>26</v>
      </c>
      <c r="E605" s="718" t="n">
        <v>40185</v>
      </c>
      <c r="F605" s="137" t="s">
        <v>17</v>
      </c>
    </row>
    <row r="606" customFormat="false" ht="13.5" hidden="false" customHeight="true" outlineLevel="0" collapsed="false">
      <c r="A606" s="592" t="n">
        <v>2185</v>
      </c>
      <c r="B606" s="202" t="s">
        <v>1238</v>
      </c>
      <c r="C606" s="245" t="s">
        <v>79</v>
      </c>
      <c r="D606" s="135" t="s">
        <v>8</v>
      </c>
      <c r="E606" s="636" t="n">
        <v>41937</v>
      </c>
      <c r="F606" s="600" t="s">
        <v>29</v>
      </c>
    </row>
    <row r="607" customFormat="false" ht="23.25" hidden="false" customHeight="true" outlineLevel="0" collapsed="false">
      <c r="A607" s="592" t="n">
        <v>3146</v>
      </c>
      <c r="B607" s="615" t="s">
        <v>1239</v>
      </c>
      <c r="C607" s="615" t="s">
        <v>31</v>
      </c>
      <c r="D607" s="135" t="s">
        <v>8</v>
      </c>
      <c r="E607" s="622" t="s">
        <v>1471</v>
      </c>
      <c r="F607" s="600" t="s">
        <v>143</v>
      </c>
    </row>
    <row r="608" customFormat="false" ht="12.75" hidden="false" customHeight="true" outlineLevel="0" collapsed="false">
      <c r="A608" s="592" t="n">
        <v>3147</v>
      </c>
      <c r="B608" s="719" t="s">
        <v>1240</v>
      </c>
      <c r="C608" s="134" t="s">
        <v>1241</v>
      </c>
      <c r="D608" s="135" t="s">
        <v>8</v>
      </c>
      <c r="E608" s="720" t="n">
        <v>41345</v>
      </c>
      <c r="F608" s="600" t="s">
        <v>12</v>
      </c>
    </row>
    <row r="609" customFormat="false" ht="12.75" hidden="false" customHeight="true" outlineLevel="0" collapsed="false">
      <c r="A609" s="592" t="n">
        <v>2186</v>
      </c>
      <c r="B609" s="593" t="s">
        <v>1242</v>
      </c>
      <c r="C609" s="594" t="s">
        <v>777</v>
      </c>
      <c r="D609" s="135" t="s">
        <v>26</v>
      </c>
      <c r="E609" s="601" t="n">
        <v>2015</v>
      </c>
      <c r="F609" s="137" t="s">
        <v>9</v>
      </c>
    </row>
    <row r="610" customFormat="false" ht="12.75" hidden="false" customHeight="true" outlineLevel="0" collapsed="false">
      <c r="A610" s="592" t="n">
        <v>2187</v>
      </c>
      <c r="B610" s="593" t="s">
        <v>1244</v>
      </c>
      <c r="C610" s="594" t="s">
        <v>1245</v>
      </c>
      <c r="D610" s="135" t="s">
        <v>8</v>
      </c>
      <c r="E610" s="595" t="n">
        <v>41906</v>
      </c>
      <c r="F610" s="137" t="s">
        <v>9</v>
      </c>
    </row>
    <row r="611" customFormat="false" ht="12.75" hidden="false" customHeight="true" outlineLevel="0" collapsed="false">
      <c r="A611" s="592" t="n">
        <v>3148</v>
      </c>
      <c r="B611" s="594" t="s">
        <v>1244</v>
      </c>
      <c r="C611" s="594" t="s">
        <v>1246</v>
      </c>
      <c r="D611" s="135" t="s">
        <v>8</v>
      </c>
      <c r="E611" s="664" t="n">
        <v>41207</v>
      </c>
      <c r="F611" s="600" t="s">
        <v>9</v>
      </c>
    </row>
    <row r="612" customFormat="false" ht="23.25" hidden="false" customHeight="true" outlineLevel="0" collapsed="false">
      <c r="A612" s="592" t="n">
        <v>1130</v>
      </c>
      <c r="B612" s="617" t="s">
        <v>1248</v>
      </c>
      <c r="C612" s="615" t="s">
        <v>1249</v>
      </c>
      <c r="D612" s="135" t="s">
        <v>8</v>
      </c>
      <c r="E612" s="618" t="n">
        <v>42664</v>
      </c>
      <c r="F612" s="600" t="s">
        <v>52</v>
      </c>
    </row>
    <row r="613" customFormat="false" ht="23.25" hidden="false" customHeight="true" outlineLevel="0" collapsed="false">
      <c r="A613" s="592" t="n">
        <v>3149</v>
      </c>
      <c r="B613" s="615" t="s">
        <v>1251</v>
      </c>
      <c r="C613" s="615" t="s">
        <v>406</v>
      </c>
      <c r="D613" s="135" t="s">
        <v>8</v>
      </c>
      <c r="E613" s="622" t="n">
        <v>41191</v>
      </c>
      <c r="F613" s="600" t="s">
        <v>52</v>
      </c>
    </row>
    <row r="614" customFormat="false" ht="13.5" hidden="false" customHeight="true" outlineLevel="0" collapsed="false">
      <c r="A614" s="592" t="n">
        <v>2188</v>
      </c>
      <c r="B614" s="245" t="s">
        <v>1252</v>
      </c>
      <c r="C614" s="245" t="s">
        <v>1000</v>
      </c>
      <c r="D614" s="135" t="s">
        <v>8</v>
      </c>
      <c r="E614" s="636" t="n">
        <v>42000</v>
      </c>
      <c r="F614" s="137" t="s">
        <v>29</v>
      </c>
    </row>
    <row r="615" customFormat="false" ht="12.75" hidden="false" customHeight="true" outlineLevel="0" collapsed="false">
      <c r="A615" s="592" t="n">
        <v>2189</v>
      </c>
      <c r="B615" s="593" t="s">
        <v>1253</v>
      </c>
      <c r="C615" s="594" t="s">
        <v>1254</v>
      </c>
      <c r="D615" s="135" t="s">
        <v>8</v>
      </c>
      <c r="E615" s="601" t="n">
        <v>2014</v>
      </c>
      <c r="F615" s="137" t="s">
        <v>9</v>
      </c>
    </row>
    <row r="616" customFormat="false" ht="23.25" hidden="false" customHeight="true" outlineLevel="0" collapsed="false">
      <c r="A616" s="592" t="n">
        <v>2190</v>
      </c>
      <c r="B616" s="617" t="s">
        <v>1257</v>
      </c>
      <c r="C616" s="615" t="s">
        <v>250</v>
      </c>
      <c r="D616" s="135" t="s">
        <v>8</v>
      </c>
      <c r="E616" s="622" t="n">
        <v>41967</v>
      </c>
      <c r="F616" s="137" t="s">
        <v>34</v>
      </c>
    </row>
    <row r="617" customFormat="false" ht="12.75" hidden="false" customHeight="true" outlineLevel="0" collapsed="false">
      <c r="A617" s="592" t="n">
        <v>3150</v>
      </c>
      <c r="B617" s="594" t="s">
        <v>1258</v>
      </c>
      <c r="C617" s="594" t="s">
        <v>215</v>
      </c>
      <c r="D617" s="135" t="s">
        <v>8</v>
      </c>
      <c r="E617" s="601" t="n">
        <v>2013</v>
      </c>
      <c r="F617" s="137" t="s">
        <v>9</v>
      </c>
    </row>
    <row r="618" customFormat="false" ht="12.75" hidden="false" customHeight="true" outlineLevel="0" collapsed="false">
      <c r="A618" s="592" t="n">
        <v>3151</v>
      </c>
      <c r="B618" s="594" t="s">
        <v>1259</v>
      </c>
      <c r="C618" s="594" t="s">
        <v>440</v>
      </c>
      <c r="D618" s="135" t="s">
        <v>26</v>
      </c>
      <c r="E618" s="601" t="n">
        <v>2012</v>
      </c>
      <c r="F618" s="137" t="s">
        <v>9</v>
      </c>
    </row>
    <row r="619" customFormat="false" ht="12.75" hidden="false" customHeight="true" outlineLevel="0" collapsed="false">
      <c r="A619" s="592" t="n">
        <v>3152</v>
      </c>
      <c r="B619" s="594" t="s">
        <v>1259</v>
      </c>
      <c r="C619" s="594" t="s">
        <v>123</v>
      </c>
      <c r="D619" s="135" t="s">
        <v>8</v>
      </c>
      <c r="E619" s="601" t="n">
        <v>2013</v>
      </c>
      <c r="F619" s="137" t="s">
        <v>9</v>
      </c>
    </row>
    <row r="620" customFormat="false" ht="23.25" hidden="false" customHeight="true" outlineLevel="0" collapsed="false">
      <c r="A620" s="592" t="n">
        <v>2191</v>
      </c>
      <c r="B620" s="617" t="s">
        <v>1263</v>
      </c>
      <c r="C620" s="615" t="s">
        <v>1264</v>
      </c>
      <c r="D620" s="135" t="s">
        <v>8</v>
      </c>
      <c r="E620" s="622" t="n">
        <v>42065</v>
      </c>
      <c r="F620" s="137" t="s">
        <v>52</v>
      </c>
    </row>
    <row r="621" customFormat="false" ht="13.5" hidden="false" customHeight="true" outlineLevel="0" collapsed="false">
      <c r="A621" s="592" t="n">
        <v>2192</v>
      </c>
      <c r="B621" s="245" t="s">
        <v>1472</v>
      </c>
      <c r="C621" s="245" t="s">
        <v>165</v>
      </c>
      <c r="D621" s="135" t="s">
        <v>8</v>
      </c>
      <c r="E621" s="636" t="n">
        <v>41651</v>
      </c>
      <c r="F621" s="137" t="s">
        <v>29</v>
      </c>
    </row>
    <row r="622" customFormat="false" ht="23.25" hidden="false" customHeight="true" outlineLevel="0" collapsed="false">
      <c r="A622" s="592" t="n">
        <v>2193</v>
      </c>
      <c r="B622" s="617" t="s">
        <v>1266</v>
      </c>
      <c r="C622" s="615" t="s">
        <v>1267</v>
      </c>
      <c r="D622" s="135" t="s">
        <v>8</v>
      </c>
      <c r="E622" s="622" t="n">
        <v>41975</v>
      </c>
      <c r="F622" s="137" t="s">
        <v>34</v>
      </c>
    </row>
    <row r="623" customFormat="false" ht="23.25" hidden="false" customHeight="true" outlineLevel="0" collapsed="false">
      <c r="A623" s="592" t="n">
        <v>4029</v>
      </c>
      <c r="B623" s="645" t="s">
        <v>1268</v>
      </c>
      <c r="C623" s="621" t="s">
        <v>112</v>
      </c>
      <c r="D623" s="135" t="s">
        <v>8</v>
      </c>
      <c r="E623" s="718" t="n">
        <v>40870</v>
      </c>
      <c r="F623" s="137" t="s">
        <v>34</v>
      </c>
    </row>
    <row r="624" customFormat="false" ht="23.25" hidden="false" customHeight="true" outlineLevel="0" collapsed="false">
      <c r="A624" s="592" t="n">
        <v>4129</v>
      </c>
      <c r="B624" s="645" t="s">
        <v>1269</v>
      </c>
      <c r="C624" s="621" t="s">
        <v>1270</v>
      </c>
      <c r="D624" s="135" t="s">
        <v>26</v>
      </c>
      <c r="E624" s="718" t="n">
        <v>40658</v>
      </c>
      <c r="F624" s="600" t="s">
        <v>20</v>
      </c>
    </row>
    <row r="625" customFormat="false" ht="23.25" hidden="false" customHeight="true" outlineLevel="0" collapsed="false">
      <c r="A625" s="592" t="n">
        <v>4130</v>
      </c>
      <c r="B625" s="645" t="s">
        <v>1271</v>
      </c>
      <c r="C625" s="621" t="s">
        <v>1272</v>
      </c>
      <c r="D625" s="135" t="s">
        <v>8</v>
      </c>
      <c r="E625" s="718" t="n">
        <v>40290</v>
      </c>
      <c r="F625" s="137" t="s">
        <v>20</v>
      </c>
    </row>
    <row r="626" customFormat="false" ht="23.25" hidden="false" customHeight="true" outlineLevel="0" collapsed="false">
      <c r="A626" s="592" t="n">
        <v>2194</v>
      </c>
      <c r="B626" s="617" t="s">
        <v>1273</v>
      </c>
      <c r="C626" s="615" t="s">
        <v>112</v>
      </c>
      <c r="D626" s="135" t="s">
        <v>8</v>
      </c>
      <c r="E626" s="618" t="n">
        <v>41696</v>
      </c>
      <c r="F626" s="600" t="s">
        <v>34</v>
      </c>
    </row>
    <row r="627" customFormat="false" ht="12.75" hidden="false" customHeight="true" outlineLevel="0" collapsed="false">
      <c r="A627" s="592" t="n">
        <v>1072</v>
      </c>
      <c r="B627" s="633" t="s">
        <v>1274</v>
      </c>
      <c r="C627" s="633" t="s">
        <v>988</v>
      </c>
      <c r="D627" s="135" t="s">
        <v>8</v>
      </c>
      <c r="E627" s="634" t="n">
        <v>42898</v>
      </c>
      <c r="F627" s="228" t="s">
        <v>52</v>
      </c>
    </row>
    <row r="628" customFormat="false" ht="23.25" hidden="false" customHeight="true" outlineLevel="0" collapsed="false">
      <c r="A628" s="592" t="n">
        <v>4131</v>
      </c>
      <c r="B628" s="645" t="s">
        <v>1275</v>
      </c>
      <c r="C628" s="621" t="s">
        <v>711</v>
      </c>
      <c r="D628" s="135" t="s">
        <v>8</v>
      </c>
      <c r="E628" s="718" t="n">
        <v>40501</v>
      </c>
      <c r="F628" s="137" t="s">
        <v>34</v>
      </c>
    </row>
    <row r="629" customFormat="false" ht="13.5" hidden="false" customHeight="true" outlineLevel="0" collapsed="false">
      <c r="A629" s="592" t="n">
        <v>4132</v>
      </c>
      <c r="B629" s="245" t="s">
        <v>1277</v>
      </c>
      <c r="C629" s="245" t="s">
        <v>574</v>
      </c>
      <c r="D629" s="135" t="s">
        <v>8</v>
      </c>
      <c r="E629" s="636" t="n">
        <v>39145</v>
      </c>
      <c r="F629" s="137" t="s">
        <v>29</v>
      </c>
    </row>
    <row r="630" customFormat="false" ht="23.25" hidden="false" customHeight="true" outlineLevel="0" collapsed="false">
      <c r="A630" s="592" t="n">
        <v>2195</v>
      </c>
      <c r="B630" s="645" t="s">
        <v>1278</v>
      </c>
      <c r="C630" s="621" t="s">
        <v>821</v>
      </c>
      <c r="D630" s="135" t="s">
        <v>26</v>
      </c>
      <c r="E630" s="622" t="n">
        <v>41881</v>
      </c>
      <c r="F630" s="137" t="s">
        <v>20</v>
      </c>
    </row>
    <row r="631" customFormat="false" ht="23.25" hidden="false" customHeight="true" outlineLevel="0" collapsed="false">
      <c r="A631" s="592" t="n">
        <v>3153</v>
      </c>
      <c r="B631" s="615" t="s">
        <v>1279</v>
      </c>
      <c r="C631" s="615" t="s">
        <v>1280</v>
      </c>
      <c r="D631" s="135" t="s">
        <v>26</v>
      </c>
      <c r="E631" s="622" t="n">
        <v>41590</v>
      </c>
      <c r="F631" s="137" t="s">
        <v>17</v>
      </c>
    </row>
    <row r="632" customFormat="false" ht="12.75" hidden="false" customHeight="true" outlineLevel="0" collapsed="false">
      <c r="A632" s="592" t="n">
        <v>4133</v>
      </c>
      <c r="B632" s="657" t="s">
        <v>1281</v>
      </c>
      <c r="C632" s="658" t="s">
        <v>1038</v>
      </c>
      <c r="D632" s="135" t="s">
        <v>26</v>
      </c>
      <c r="E632" s="606" t="n">
        <v>2010</v>
      </c>
      <c r="F632" s="600" t="s">
        <v>9</v>
      </c>
    </row>
    <row r="633" customFormat="false" ht="12.75" hidden="false" customHeight="true" outlineLevel="0" collapsed="false">
      <c r="A633" s="592" t="n">
        <v>3154</v>
      </c>
      <c r="B633" s="594" t="s">
        <v>1285</v>
      </c>
      <c r="C633" s="594" t="s">
        <v>241</v>
      </c>
      <c r="D633" s="135" t="s">
        <v>8</v>
      </c>
      <c r="E633" s="228" t="s">
        <v>1473</v>
      </c>
      <c r="F633" s="600" t="s">
        <v>9</v>
      </c>
    </row>
    <row r="634" customFormat="false" ht="12.75" hidden="false" customHeight="true" outlineLevel="0" collapsed="false">
      <c r="A634" s="592" t="n">
        <v>2196</v>
      </c>
      <c r="B634" s="593" t="s">
        <v>1285</v>
      </c>
      <c r="C634" s="594" t="s">
        <v>136</v>
      </c>
      <c r="D634" s="135" t="s">
        <v>8</v>
      </c>
      <c r="E634" s="595" t="n">
        <v>42217</v>
      </c>
      <c r="F634" s="137" t="s">
        <v>9</v>
      </c>
    </row>
    <row r="635" customFormat="false" ht="23.25" hidden="false" customHeight="true" outlineLevel="0" collapsed="false">
      <c r="A635" s="592" t="n">
        <v>2197</v>
      </c>
      <c r="B635" s="617" t="s">
        <v>1286</v>
      </c>
      <c r="C635" s="615" t="s">
        <v>214</v>
      </c>
      <c r="D635" s="135" t="s">
        <v>8</v>
      </c>
      <c r="E635" s="618" t="n">
        <v>42358</v>
      </c>
      <c r="F635" s="137" t="s">
        <v>52</v>
      </c>
    </row>
    <row r="636" customFormat="false" ht="23.25" hidden="false" customHeight="true" outlineLevel="0" collapsed="false">
      <c r="A636" s="592" t="n">
        <v>4134</v>
      </c>
      <c r="B636" s="617" t="s">
        <v>1286</v>
      </c>
      <c r="C636" s="615" t="s">
        <v>391</v>
      </c>
      <c r="D636" s="135" t="s">
        <v>8</v>
      </c>
      <c r="E636" s="622" t="n">
        <v>40654</v>
      </c>
      <c r="F636" s="137" t="s">
        <v>52</v>
      </c>
    </row>
    <row r="637" customFormat="false" ht="23.25" hidden="false" customHeight="true" outlineLevel="0" collapsed="false">
      <c r="A637" s="592" t="n">
        <v>2198</v>
      </c>
      <c r="B637" s="617" t="s">
        <v>1290</v>
      </c>
      <c r="C637" s="615" t="s">
        <v>1291</v>
      </c>
      <c r="D637" s="135" t="s">
        <v>8</v>
      </c>
      <c r="E637" s="622" t="n">
        <v>42196</v>
      </c>
      <c r="F637" s="137" t="s">
        <v>34</v>
      </c>
    </row>
    <row r="638" customFormat="false" ht="23.25" hidden="false" customHeight="true" outlineLevel="0" collapsed="false">
      <c r="A638" s="592" t="n">
        <v>3155</v>
      </c>
      <c r="B638" s="594" t="s">
        <v>1294</v>
      </c>
      <c r="C638" s="594" t="s">
        <v>693</v>
      </c>
      <c r="D638" s="135" t="s">
        <v>8</v>
      </c>
      <c r="E638" s="622" t="n">
        <v>41577</v>
      </c>
      <c r="F638" s="137" t="s">
        <v>29</v>
      </c>
    </row>
    <row r="639" customFormat="false" ht="23.25" hidden="false" customHeight="true" outlineLevel="0" collapsed="false">
      <c r="A639" s="592" t="n">
        <v>4135</v>
      </c>
      <c r="B639" s="617" t="s">
        <v>1297</v>
      </c>
      <c r="C639" s="615" t="s">
        <v>565</v>
      </c>
      <c r="D639" s="135" t="s">
        <v>8</v>
      </c>
      <c r="E639" s="622" t="n">
        <v>40154</v>
      </c>
      <c r="F639" s="137" t="s">
        <v>52</v>
      </c>
    </row>
    <row r="640" customFormat="false" ht="23.25" hidden="false" customHeight="true" outlineLevel="0" collapsed="false">
      <c r="A640" s="592" t="n">
        <v>4136</v>
      </c>
      <c r="B640" s="645" t="s">
        <v>1299</v>
      </c>
      <c r="C640" s="621" t="s">
        <v>1300</v>
      </c>
      <c r="D640" s="135" t="s">
        <v>26</v>
      </c>
      <c r="E640" s="721" t="n">
        <v>40216</v>
      </c>
      <c r="F640" s="137" t="s">
        <v>34</v>
      </c>
    </row>
    <row r="641" customFormat="false" ht="12.75" hidden="false" customHeight="true" outlineLevel="0" collapsed="false">
      <c r="A641" s="592" t="n">
        <v>3156</v>
      </c>
      <c r="B641" s="245" t="s">
        <v>1303</v>
      </c>
      <c r="C641" s="202" t="s">
        <v>1304</v>
      </c>
      <c r="D641" s="135" t="s">
        <v>26</v>
      </c>
      <c r="E641" s="616" t="n">
        <v>41286</v>
      </c>
      <c r="F641" s="137" t="s">
        <v>29</v>
      </c>
    </row>
    <row r="642" customFormat="false" ht="13.5" hidden="false" customHeight="true" outlineLevel="0" collapsed="false">
      <c r="A642" s="592" t="n">
        <v>2199</v>
      </c>
      <c r="B642" s="245" t="s">
        <v>1303</v>
      </c>
      <c r="C642" s="202" t="s">
        <v>355</v>
      </c>
      <c r="D642" s="135" t="s">
        <v>8</v>
      </c>
      <c r="E642" s="636" t="n">
        <v>42366</v>
      </c>
      <c r="F642" s="600" t="s">
        <v>29</v>
      </c>
    </row>
    <row r="643" customFormat="false" ht="23.25" hidden="false" customHeight="true" outlineLevel="0" collapsed="false">
      <c r="A643" s="592" t="n">
        <v>4137</v>
      </c>
      <c r="B643" s="624" t="s">
        <v>1306</v>
      </c>
      <c r="C643" s="625" t="s">
        <v>1307</v>
      </c>
      <c r="D643" s="135" t="s">
        <v>8</v>
      </c>
      <c r="E643" s="622" t="n">
        <v>40763</v>
      </c>
      <c r="F643" s="600" t="s">
        <v>12</v>
      </c>
    </row>
    <row r="644" customFormat="false" ht="23.25" hidden="false" customHeight="true" outlineLevel="0" collapsed="false">
      <c r="A644" s="592" t="n">
        <v>2200</v>
      </c>
      <c r="B644" s="617" t="s">
        <v>1311</v>
      </c>
      <c r="C644" s="615" t="s">
        <v>1312</v>
      </c>
      <c r="D644" s="135" t="s">
        <v>8</v>
      </c>
      <c r="E644" s="622" t="n">
        <v>42354</v>
      </c>
      <c r="F644" s="137" t="s">
        <v>17</v>
      </c>
    </row>
    <row r="645" customFormat="false" ht="23.25" hidden="false" customHeight="true" outlineLevel="0" collapsed="false">
      <c r="A645" s="592" t="n">
        <v>2201</v>
      </c>
      <c r="B645" s="617" t="s">
        <v>1311</v>
      </c>
      <c r="C645" s="615" t="s">
        <v>1313</v>
      </c>
      <c r="D645" s="135" t="s">
        <v>8</v>
      </c>
      <c r="E645" s="622" t="n">
        <v>41878</v>
      </c>
      <c r="F645" s="137" t="s">
        <v>17</v>
      </c>
    </row>
    <row r="646" customFormat="false" ht="23.25" hidden="false" customHeight="true" outlineLevel="0" collapsed="false">
      <c r="A646" s="592" t="n">
        <v>3157</v>
      </c>
      <c r="B646" s="615" t="s">
        <v>1316</v>
      </c>
      <c r="C646" s="615" t="s">
        <v>616</v>
      </c>
      <c r="D646" s="135" t="s">
        <v>8</v>
      </c>
      <c r="E646" s="622" t="s">
        <v>1474</v>
      </c>
      <c r="F646" s="137" t="s">
        <v>143</v>
      </c>
    </row>
    <row r="647" customFormat="false" ht="12.75" hidden="false" customHeight="true" outlineLevel="0" collapsed="false">
      <c r="A647" s="592" t="n">
        <v>3158</v>
      </c>
      <c r="B647" s="134" t="s">
        <v>1317</v>
      </c>
      <c r="C647" s="134" t="s">
        <v>1475</v>
      </c>
      <c r="D647" s="722" t="s">
        <v>8</v>
      </c>
      <c r="E647" s="661" t="n">
        <v>40716</v>
      </c>
      <c r="F647" s="137" t="s">
        <v>20</v>
      </c>
    </row>
    <row r="648" customFormat="false" ht="23.25" hidden="false" customHeight="true" outlineLevel="0" collapsed="false">
      <c r="A648" s="592" t="n">
        <v>4138</v>
      </c>
      <c r="B648" s="645" t="s">
        <v>1317</v>
      </c>
      <c r="C648" s="621" t="s">
        <v>1318</v>
      </c>
      <c r="D648" s="135" t="s">
        <v>8</v>
      </c>
      <c r="E648" s="721" t="n">
        <v>40716</v>
      </c>
      <c r="F648" s="137" t="s">
        <v>20</v>
      </c>
    </row>
    <row r="649" customFormat="false" ht="23.25" hidden="false" customHeight="true" outlineLevel="0" collapsed="false">
      <c r="A649" s="592" t="n">
        <v>1131</v>
      </c>
      <c r="B649" s="617" t="s">
        <v>1319</v>
      </c>
      <c r="C649" s="615" t="s">
        <v>1320</v>
      </c>
      <c r="D649" s="135" t="s">
        <v>8</v>
      </c>
      <c r="E649" s="618" t="n">
        <v>42625</v>
      </c>
      <c r="F649" s="600" t="s">
        <v>52</v>
      </c>
    </row>
    <row r="650" customFormat="false" ht="23.25" hidden="false" customHeight="true" outlineLevel="0" collapsed="false">
      <c r="A650" s="592" t="n">
        <v>1132</v>
      </c>
      <c r="B650" s="617" t="s">
        <v>1321</v>
      </c>
      <c r="C650" s="615" t="s">
        <v>1322</v>
      </c>
      <c r="D650" s="135" t="s">
        <v>26</v>
      </c>
      <c r="E650" s="618" t="n">
        <v>42406</v>
      </c>
      <c r="F650" s="137" t="s">
        <v>34</v>
      </c>
    </row>
    <row r="651" customFormat="false" ht="12.75" hidden="false" customHeight="true" outlineLevel="0" collapsed="false">
      <c r="A651" s="592" t="n">
        <v>3159</v>
      </c>
      <c r="B651" s="594" t="s">
        <v>1323</v>
      </c>
      <c r="C651" s="594" t="s">
        <v>1324</v>
      </c>
      <c r="D651" s="135" t="s">
        <v>8</v>
      </c>
      <c r="E651" s="601" t="n">
        <v>2012</v>
      </c>
      <c r="F651" s="137" t="s">
        <v>9</v>
      </c>
    </row>
    <row r="652" customFormat="false" ht="23.25" hidden="false" customHeight="true" outlineLevel="0" collapsed="false">
      <c r="A652" s="592" t="n">
        <v>1133</v>
      </c>
      <c r="B652" s="617" t="s">
        <v>1323</v>
      </c>
      <c r="C652" s="615" t="s">
        <v>1325</v>
      </c>
      <c r="D652" s="135" t="s">
        <v>26</v>
      </c>
      <c r="E652" s="618" t="n">
        <v>43983</v>
      </c>
      <c r="F652" s="137" t="s">
        <v>52</v>
      </c>
    </row>
    <row r="653" customFormat="false" ht="23.25" hidden="false" customHeight="true" outlineLevel="0" collapsed="false">
      <c r="A653" s="592" t="n">
        <v>1134</v>
      </c>
      <c r="B653" s="617" t="s">
        <v>1323</v>
      </c>
      <c r="C653" s="615" t="s">
        <v>1326</v>
      </c>
      <c r="D653" s="135" t="s">
        <v>26</v>
      </c>
      <c r="E653" s="618" t="n">
        <v>43226</v>
      </c>
      <c r="F653" s="137" t="s">
        <v>52</v>
      </c>
    </row>
  </sheetData>
  <autoFilter ref="A1:F653">
    <sortState ref="A2:F653">
      <sortCondition ref="A2:A653" customList=""/>
    </sortState>
  </autoFilter>
  <conditionalFormatting sqref="A2:A653">
    <cfRule type="duplicateValues" priority="2" aboveAverage="0" equalAverage="0" bottom="0" percent="0" rank="0" text="" dxfId="26"/>
  </conditionalFormatting>
  <conditionalFormatting sqref="D347:D349">
    <cfRule type="expression" priority="3" aboveAverage="0" equalAverage="0" bottom="0" percent="0" rank="0" text="" dxfId="18">
      <formula>$F347=$E$5</formula>
    </cfRule>
    <cfRule type="expression" priority="4" aboveAverage="0" equalAverage="0" bottom="0" percent="0" rank="0" text="" dxfId="18">
      <formula>#ref!=$E$5</formula>
    </cfRule>
  </conditionalFormatting>
  <conditionalFormatting sqref="H515">
    <cfRule type="duplicateValues" priority="5" aboveAverage="0" equalAverage="0" bottom="0" percent="0" rank="0" text="" dxfId="16"/>
  </conditionalFormatting>
  <conditionalFormatting sqref="H518:H519">
    <cfRule type="duplicateValues" priority="6" aboveAverage="0" equalAverage="0" bottom="0" percent="0" rank="0" text="" dxfId="16"/>
    <cfRule type="duplicateValues" priority="7" aboveAverage="0" equalAverage="0" bottom="0" percent="0" rank="0" text="" dxfId="16"/>
  </conditionalFormatting>
  <conditionalFormatting sqref="B350:B515">
    <cfRule type="duplicateValues" priority="8" aboveAverage="0" equalAverage="0" bottom="0" percent="0" rank="0" text="" dxfId="16"/>
    <cfRule type="duplicateValues" priority="9" aboveAverage="0" equalAverage="0" bottom="0" percent="0" rank="0" text="" dxfId="16"/>
  </conditionalFormatting>
  <conditionalFormatting sqref="A518:A652">
    <cfRule type="duplicateValues" priority="10" aboveAverage="0" equalAverage="0" bottom="0" percent="0" rank="0" text="" dxfId="16"/>
  </conditionalFormatting>
  <conditionalFormatting sqref="B518:B652">
    <cfRule type="duplicateValues" priority="11" aboveAverage="0" equalAverage="0" bottom="0" percent="0" rank="0" text="" dxfId="16"/>
    <cfRule type="duplicateValues" priority="12" aboveAverage="0" equalAverage="0" bottom="0" percent="0" rank="0" text="" dxfId="16"/>
  </conditionalFormatting>
  <conditionalFormatting sqref="D591 D598 D605 D621 D633">
    <cfRule type="cellIs" priority="13" operator="equal" aboveAverage="0" equalAverage="0" bottom="0" percent="0" rank="0" text="" dxfId="19">
      <formula>"F"</formula>
    </cfRule>
    <cfRule type="expression" priority="14" aboveAverage="0" equalAverage="0" bottom="0" percent="0" rank="0" text="" dxfId="18">
      <formula>#ref!=$E$5</formula>
    </cfRule>
  </conditionalFormatting>
  <conditionalFormatting sqref="D591:D605 D621 D633">
    <cfRule type="expression" priority="15" aboveAverage="0" equalAverage="0" bottom="0" percent="0" rank="0" text="" dxfId="18">
      <formula>$F591=$E$5</formula>
    </cfRule>
  </conditionalFormatting>
  <conditionalFormatting sqref="D581">
    <cfRule type="expression" priority="16" aboveAverage="0" equalAverage="0" bottom="0" percent="0" rank="0" text="" dxfId="18">
      <formula>$F581=$E$5</formula>
    </cfRule>
  </conditionalFormatting>
  <conditionalFormatting sqref="F581">
    <cfRule type="expression" priority="17" aboveAverage="0" equalAverage="0" bottom="0" percent="0" rank="0" text="" dxfId="18">
      <formula>$F581=$E$5</formula>
    </cfRule>
  </conditionalFormatting>
  <conditionalFormatting sqref="D540">
    <cfRule type="cellIs" priority="18" operator="equal" aboveAverage="0" equalAverage="0" bottom="0" percent="0" rank="0" text="" dxfId="19">
      <formula>"F"</formula>
    </cfRule>
    <cfRule type="expression" priority="19" aboveAverage="0" equalAverage="0" bottom="0" percent="0" rank="0" text="" dxfId="18">
      <formula>#ref!=$E$5</formula>
    </cfRule>
    <cfRule type="expression" priority="20" aboveAverage="0" equalAverage="0" bottom="0" percent="0" rank="0" text="" dxfId="18">
      <formula>$F540=$E$5</formula>
    </cfRule>
  </conditionalFormatting>
  <conditionalFormatting sqref="D538">
    <cfRule type="cellIs" priority="21" operator="equal" aboveAverage="0" equalAverage="0" bottom="0" percent="0" rank="0" text="" dxfId="19">
      <formula>"F"</formula>
    </cfRule>
    <cfRule type="expression" priority="22" aboveAverage="0" equalAverage="0" bottom="0" percent="0" rank="0" text="" dxfId="18">
      <formula>#ref!=$E$5</formula>
    </cfRule>
    <cfRule type="expression" priority="23" aboveAverage="0" equalAverage="0" bottom="0" percent="0" rank="0" text="" dxfId="18">
      <formula>$F538=$E$5</formula>
    </cfRule>
  </conditionalFormatting>
  <conditionalFormatting sqref="D529">
    <cfRule type="cellIs" priority="24" operator="equal" aboveAverage="0" equalAverage="0" bottom="0" percent="0" rank="0" text="" dxfId="19">
      <formula>"F"</formula>
    </cfRule>
    <cfRule type="expression" priority="25" aboveAverage="0" equalAverage="0" bottom="0" percent="0" rank="0" text="" dxfId="18">
      <formula>#ref!=$E$5</formula>
    </cfRule>
    <cfRule type="expression" priority="26" aboveAverage="0" equalAverage="0" bottom="0" percent="0" rank="0" text="" dxfId="18">
      <formula>$F529=$E$5</formula>
    </cfRule>
  </conditionalFormatting>
  <conditionalFormatting sqref="D518">
    <cfRule type="cellIs" priority="27" operator="equal" aboveAverage="0" equalAverage="0" bottom="0" percent="0" rank="0" text="" dxfId="19">
      <formula>"F"</formula>
    </cfRule>
    <cfRule type="expression" priority="28" aboveAverage="0" equalAverage="0" bottom="0" percent="0" rank="0" text="" dxfId="18">
      <formula>#ref!=$E$5</formula>
    </cfRule>
    <cfRule type="expression" priority="29" aboveAverage="0" equalAverage="0" bottom="0" percent="0" rank="0" text="" dxfId="18">
      <formula>$F518=$E$5</formula>
    </cfRule>
  </conditionalFormatting>
  <conditionalFormatting sqref="F522:F527 F530">
    <cfRule type="expression" priority="30" aboveAverage="0" equalAverage="0" bottom="0" percent="0" rank="0" text="" dxfId="18">
      <formula>$F522=$E$5</formula>
    </cfRule>
  </conditionalFormatting>
  <conditionalFormatting sqref="B518:B524 B526:B548 B550:B575 B577:B592 B595 B597:B602 B604:B606 B609:B610 B613:B623 B625 B627:B631 B634:B641 B644:B648 B650:B652">
    <cfRule type="duplicateValues" priority="31" aboveAverage="0" equalAverage="0" bottom="0" percent="0" rank="0" text="" dxfId="17"/>
  </conditionalFormatting>
  <conditionalFormatting sqref="D546 D551 D557:D558 D568 D571 D579 D583:D584 D609:D610 D623 D639 D641 D643:D644 D646:D647 D650:D651">
    <cfRule type="cellIs" priority="32" operator="equal" aboveAverage="0" equalAverage="0" bottom="0" percent="0" rank="0" text="" dxfId="19">
      <formula>"F"</formula>
    </cfRule>
    <cfRule type="expression" priority="33" aboveAverage="0" equalAverage="0" bottom="0" percent="0" rank="0" text="" dxfId="18">
      <formula>#ref!=$E$5</formula>
    </cfRule>
  </conditionalFormatting>
  <conditionalFormatting sqref="D541:D580 D582:D590 D606:D620 D622:D632 D634:D653">
    <cfRule type="expression" priority="34" aboveAverage="0" equalAverage="0" bottom="0" percent="0" rank="0" text="" dxfId="18">
      <formula>$F541=$E$5</formula>
    </cfRule>
  </conditionalFormatting>
  <conditionalFormatting sqref="F516:F520 F532:F534 F536:F537 F539:F541 F543:F580 F582:F653">
    <cfRule type="expression" priority="35" aboveAverage="0" equalAverage="0" bottom="0" percent="0" rank="0" text="" dxfId="18">
      <formula>$F516=$E$5</formula>
    </cfRule>
  </conditionalFormatting>
  <conditionalFormatting sqref="B518:C519 D519:D528 D530:D537 D539 E518:E519">
    <cfRule type="expression" priority="36" aboveAverage="0" equalAverage="0" bottom="0" percent="0" rank="0" text="" dxfId="18">
      <formula>$F518=$E$5</formula>
    </cfRule>
  </conditionalFormatting>
  <conditionalFormatting sqref="A350:A517">
    <cfRule type="duplicateValues" priority="37" aboveAverage="0" equalAverage="0" bottom="0" percent="0" rank="0" text="" dxfId="16"/>
    <cfRule type="duplicateValues" priority="38" aboveAverage="0" equalAverage="0" bottom="0" percent="0" rank="0" text="" dxfId="16"/>
  </conditionalFormatting>
  <conditionalFormatting sqref="D450">
    <cfRule type="expression" priority="39" aboveAverage="0" equalAverage="0" bottom="0" percent="0" rank="0" text="" dxfId="18">
      <formula>$F450=$E$5</formula>
    </cfRule>
    <cfRule type="expression" priority="40" aboveAverage="0" equalAverage="0" bottom="0" percent="0" rank="0" text="" dxfId="18">
      <formula>#ref!=$E$5</formula>
    </cfRule>
  </conditionalFormatting>
  <conditionalFormatting sqref="D450:D517">
    <cfRule type="cellIs" priority="41" operator="equal" aboveAverage="0" equalAverage="0" bottom="0" percent="0" rank="0" text="" dxfId="19">
      <formula>"F"</formula>
    </cfRule>
  </conditionalFormatting>
  <conditionalFormatting sqref="D401">
    <cfRule type="expression" priority="42" aboveAverage="0" equalAverage="0" bottom="0" percent="0" rank="0" text="" dxfId="18">
      <formula>$F401=$E$5</formula>
    </cfRule>
    <cfRule type="expression" priority="43" aboveAverage="0" equalAverage="0" bottom="0" percent="0" rank="0" text="" dxfId="18">
      <formula>#ref!=$E$5</formula>
    </cfRule>
  </conditionalFormatting>
  <conditionalFormatting sqref="D401:D449">
    <cfRule type="cellIs" priority="44" operator="equal" aboveAverage="0" equalAverage="0" bottom="0" percent="0" rank="0" text="" dxfId="19">
      <formula>"F"</formula>
    </cfRule>
  </conditionalFormatting>
  <conditionalFormatting sqref="D391 F391">
    <cfRule type="expression" priority="45" aboveAverage="0" equalAverage="0" bottom="0" percent="0" rank="0" text="" dxfId="18">
      <formula>$F391=$E$5</formula>
    </cfRule>
  </conditionalFormatting>
  <conditionalFormatting sqref="D391:D400">
    <cfRule type="cellIs" priority="46" operator="equal" aboveAverage="0" equalAverage="0" bottom="0" percent="0" rank="0" text="" dxfId="19">
      <formula>"F"</formula>
    </cfRule>
  </conditionalFormatting>
  <conditionalFormatting sqref="D391">
    <cfRule type="expression" priority="47" aboveAverage="0" equalAverage="0" bottom="0" percent="0" rank="0" text="" dxfId="18">
      <formula>#ref!=$E$5</formula>
    </cfRule>
  </conditionalFormatting>
  <conditionalFormatting sqref="D369 F369">
    <cfRule type="expression" priority="48" aboveAverage="0" equalAverage="0" bottom="0" percent="0" rank="0" text="" dxfId="18">
      <formula>$F369=$E$5</formula>
    </cfRule>
  </conditionalFormatting>
  <conditionalFormatting sqref="D345:D390">
    <cfRule type="cellIs" priority="49" operator="equal" aboveAverage="0" equalAverage="0" bottom="0" percent="0" rank="0" text="" dxfId="19">
      <formula>"F"</formula>
    </cfRule>
  </conditionalFormatting>
  <conditionalFormatting sqref="D369">
    <cfRule type="expression" priority="50" aboveAverage="0" equalAverage="0" bottom="0" percent="0" rank="0" text="" dxfId="18">
      <formula>#ref!=$E$5</formula>
    </cfRule>
  </conditionalFormatting>
  <conditionalFormatting sqref="B350:B368 B370:B390 B392:B400 B402:B449 B451:B515">
    <cfRule type="duplicateValues" priority="51" aboveAverage="0" equalAverage="0" bottom="0" percent="0" rank="0" text="" dxfId="17"/>
  </conditionalFormatting>
  <conditionalFormatting sqref="D350:D368 D370:D390 D392:D400 D402:D449 D451:D517">
    <cfRule type="expression" priority="52" aboveAverage="0" equalAverage="0" bottom="0" percent="0" rank="0" text="" dxfId="18">
      <formula>#ref!=$E$5</formula>
    </cfRule>
  </conditionalFormatting>
  <conditionalFormatting sqref="B350:C350 B513:C515 D350:D368 D370:D390 D392:D400 D402:D449 D451:D517 E350:F350 E513:E514 E515:F515 F351:F368 F370:F390 F392:F514">
    <cfRule type="expression" priority="53" aboveAverage="0" equalAverage="0" bottom="0" percent="0" rank="0" text="" dxfId="18">
      <formula>$F350=$E$5</formula>
    </cfRule>
  </conditionalFormatting>
  <conditionalFormatting sqref="B354:B368 B370:B390 B392:B400 B402:B449 B451:B504">
    <cfRule type="duplicateValues" priority="54" aboveAverage="0" equalAverage="0" bottom="0" percent="0" rank="0" text="" dxfId="21"/>
  </conditionalFormatting>
  <conditionalFormatting sqref="A139:A349">
    <cfRule type="duplicateValues" priority="55" aboveAverage="0" equalAverage="0" bottom="0" percent="0" rank="0" text="" dxfId="16"/>
  </conditionalFormatting>
  <conditionalFormatting sqref="B139:B346">
    <cfRule type="duplicateValues" priority="56" aboveAverage="0" equalAverage="0" bottom="0" percent="0" rank="0" text="" dxfId="16"/>
  </conditionalFormatting>
  <conditionalFormatting sqref="D327 F327">
    <cfRule type="expression" priority="57" aboveAverage="0" equalAverage="0" bottom="0" percent="0" rank="0" text="" dxfId="18">
      <formula>$F327=$E$5</formula>
    </cfRule>
  </conditionalFormatting>
  <conditionalFormatting sqref="D327:D342">
    <cfRule type="cellIs" priority="58" operator="equal" aboveAverage="0" equalAverage="0" bottom="0" percent="0" rank="0" text="" dxfId="19">
      <formula>"F"</formula>
    </cfRule>
  </conditionalFormatting>
  <conditionalFormatting sqref="D327">
    <cfRule type="expression" priority="59" aboveAverage="0" equalAverage="0" bottom="0" percent="0" rank="0" text="" dxfId="18">
      <formula>#ref!=$E$5</formula>
    </cfRule>
  </conditionalFormatting>
  <conditionalFormatting sqref="D262">
    <cfRule type="expression" priority="60" aboveAverage="0" equalAverage="0" bottom="0" percent="0" rank="0" text="" dxfId="18">
      <formula>$F262=$E$5</formula>
    </cfRule>
    <cfRule type="expression" priority="61" aboveAverage="0" equalAverage="0" bottom="0" percent="0" rank="0" text="" dxfId="18">
      <formula>#ref!=$E$5</formula>
    </cfRule>
  </conditionalFormatting>
  <conditionalFormatting sqref="D262:D326">
    <cfRule type="cellIs" priority="62" operator="equal" aboveAverage="0" equalAverage="0" bottom="0" percent="0" rank="0" text="" dxfId="19">
      <formula>"F"</formula>
    </cfRule>
  </conditionalFormatting>
  <conditionalFormatting sqref="D249">
    <cfRule type="expression" priority="63" aboveAverage="0" equalAverage="0" bottom="0" percent="0" rank="0" text="" dxfId="18">
      <formula>$F249=$E$5</formula>
    </cfRule>
    <cfRule type="expression" priority="64" aboveAverage="0" equalAverage="0" bottom="0" percent="0" rank="0" text="" dxfId="18">
      <formula>#ref!=$E$5</formula>
    </cfRule>
  </conditionalFormatting>
  <conditionalFormatting sqref="D249:D261">
    <cfRule type="cellIs" priority="65" operator="equal" aboveAverage="0" equalAverage="0" bottom="0" percent="0" rank="0" text="" dxfId="19">
      <formula>"F"</formula>
    </cfRule>
  </conditionalFormatting>
  <conditionalFormatting sqref="D206 F206">
    <cfRule type="expression" priority="66" aboveAverage="0" equalAverage="0" bottom="0" percent="0" rank="0" text="" dxfId="18">
      <formula>$F206=$E$5</formula>
    </cfRule>
  </conditionalFormatting>
  <conditionalFormatting sqref="D206:D248">
    <cfRule type="cellIs" priority="67" operator="equal" aboveAverage="0" equalAverage="0" bottom="0" percent="0" rank="0" text="" dxfId="19">
      <formula>"F"</formula>
    </cfRule>
  </conditionalFormatting>
  <conditionalFormatting sqref="D206">
    <cfRule type="expression" priority="68" aboveAverage="0" equalAverage="0" bottom="0" percent="0" rank="0" text="" dxfId="18">
      <formula>#ref!=$E$5</formula>
    </cfRule>
  </conditionalFormatting>
  <conditionalFormatting sqref="D174 F174">
    <cfRule type="expression" priority="69" aboveAverage="0" equalAverage="0" bottom="0" percent="0" rank="0" text="" dxfId="18">
      <formula>$F174=$E$5</formula>
    </cfRule>
  </conditionalFormatting>
  <conditionalFormatting sqref="D174:D205">
    <cfRule type="cellIs" priority="70" operator="equal" aboveAverage="0" equalAverage="0" bottom="0" percent="0" rank="0" text="" dxfId="19">
      <formula>"F"</formula>
    </cfRule>
  </conditionalFormatting>
  <conditionalFormatting sqref="D174">
    <cfRule type="expression" priority="71" aboveAverage="0" equalAverage="0" bottom="0" percent="0" rank="0" text="" dxfId="18">
      <formula>#ref!=$E$5</formula>
    </cfRule>
  </conditionalFormatting>
  <conditionalFormatting sqref="D162 F162">
    <cfRule type="expression" priority="72" aboveAverage="0" equalAverage="0" bottom="0" percent="0" rank="0" text="" dxfId="18">
      <formula>$F162=$E$5</formula>
    </cfRule>
  </conditionalFormatting>
  <conditionalFormatting sqref="D162">
    <cfRule type="cellIs" priority="73" operator="equal" aboveAverage="0" equalAverage="0" bottom="0" percent="0" rank="0" text="" dxfId="19">
      <formula>"F"</formula>
    </cfRule>
    <cfRule type="expression" priority="74" aboveAverage="0" equalAverage="0" bottom="0" percent="0" rank="0" text="" dxfId="18">
      <formula>#ref!=$E$5</formula>
    </cfRule>
  </conditionalFormatting>
  <conditionalFormatting sqref="D166 F166">
    <cfRule type="expression" priority="75" aboveAverage="0" equalAverage="0" bottom="0" percent="0" rank="0" text="" dxfId="18">
      <formula>$F166=$E$5</formula>
    </cfRule>
  </conditionalFormatting>
  <conditionalFormatting sqref="D163:D173">
    <cfRule type="cellIs" priority="76" operator="equal" aboveAverage="0" equalAverage="0" bottom="0" percent="0" rank="0" text="" dxfId="19">
      <formula>"F"</formula>
    </cfRule>
  </conditionalFormatting>
  <conditionalFormatting sqref="D166">
    <cfRule type="expression" priority="77" aboveAverage="0" equalAverage="0" bottom="0" percent="0" rank="0" text="" dxfId="18">
      <formula>#ref!=$E$5</formula>
    </cfRule>
  </conditionalFormatting>
  <conditionalFormatting sqref="D144">
    <cfRule type="expression" priority="78" aboveAverage="0" equalAverage="0" bottom="0" percent="0" rank="0" text="" dxfId="18">
      <formula>$F144=$E$5</formula>
    </cfRule>
    <cfRule type="expression" priority="79" aboveAverage="0" equalAverage="0" bottom="0" percent="0" rank="0" text="" dxfId="18">
      <formula>#ref!=$E$5</formula>
    </cfRule>
  </conditionalFormatting>
  <conditionalFormatting sqref="D2:D161">
    <cfRule type="cellIs" priority="80" operator="equal" aboveAverage="0" equalAverage="0" bottom="0" percent="0" rank="0" text="" dxfId="19">
      <formula>"F"</formula>
    </cfRule>
  </conditionalFormatting>
  <conditionalFormatting sqref="F141:F161 F163:F165 F167:F173 F175:F205">
    <cfRule type="expression" priority="81" aboveAverage="0" equalAverage="0" bottom="0" percent="0" rank="0" text="" dxfId="18">
      <formula>$F141=$E$5</formula>
    </cfRule>
  </conditionalFormatting>
  <conditionalFormatting sqref="D345">
    <cfRule type="expression" priority="82" aboveAverage="0" equalAverage="0" bottom="0" percent="0" rank="0" text="" dxfId="18">
      <formula>#ref!=$E$5</formula>
    </cfRule>
  </conditionalFormatting>
  <conditionalFormatting sqref="D346:D349">
    <cfRule type="expression" priority="83" aboveAverage="0" equalAverage="0" bottom="0" percent="0" rank="0" text="" dxfId="18">
      <formula>#ref!=$E$5</formula>
    </cfRule>
  </conditionalFormatting>
  <conditionalFormatting sqref="D134:D143 D145:D161 D163:D165 D167:D173 D175:D205 D207:D248 D250:D261 D263:D326 D328:D342">
    <cfRule type="expression" priority="84" aboveAverage="0" equalAverage="0" bottom="0" percent="0" rank="0" text="" dxfId="18">
      <formula>#ref!=$E$5</formula>
    </cfRule>
  </conditionalFormatting>
  <conditionalFormatting sqref="B139:C140 B345:E346 D134:D143 D145:D161 D163:D165 D167:D173 D175:D205 D207:D248 D250:D261 D263:D326 D328:D342 E139:F140 F207:F326 F328:F349">
    <cfRule type="expression" priority="85" aboveAverage="0" equalAverage="0" bottom="0" percent="0" rank="0" text="" dxfId="18">
      <formula>$F119=$E$5</formula>
    </cfRule>
  </conditionalFormatting>
  <conditionalFormatting sqref="B139:C140 B345:D346">
    <cfRule type="expression" priority="86" aboveAverage="0" equalAverage="0" bottom="0" percent="0" rank="0" text="" dxfId="18">
      <formula>#ref!=$E$5</formula>
    </cfRule>
  </conditionalFormatting>
  <conditionalFormatting sqref="B139:B143 B145:B161 B163:B165 B167:B173 B175:B205 B207:B248 B250:B261 B263:B326 B328:B346">
    <cfRule type="duplicateValues" priority="87" aboveAverage="0" equalAverage="0" bottom="0" percent="0" rank="0" text="" dxfId="17"/>
  </conditionalFormatting>
  <conditionalFormatting sqref="A2:A138">
    <cfRule type="duplicateValues" priority="88" aboveAverage="0" equalAverage="0" bottom="0" percent="0" rank="0" text="" dxfId="16"/>
  </conditionalFormatting>
  <conditionalFormatting sqref="B2:B138">
    <cfRule type="duplicateValues" priority="89" aboveAverage="0" equalAverage="0" bottom="0" percent="0" rank="0" text="" dxfId="16"/>
  </conditionalFormatting>
  <conditionalFormatting sqref="F2:F74">
    <cfRule type="expression" priority="90" aboveAverage="0" equalAverage="0" bottom="0" percent="0" rank="0" text="" dxfId="18">
      <formula>$F2=$E$5</formula>
    </cfRule>
  </conditionalFormatting>
  <conditionalFormatting sqref="E2">
    <cfRule type="expression" priority="91" aboveAverage="0" equalAverage="0" bottom="0" percent="0" rank="0" text="" dxfId="18">
      <formula>$F2=$E$5</formula>
    </cfRule>
  </conditionalFormatting>
  <conditionalFormatting sqref="D133">
    <cfRule type="expression" priority="92" aboveAverage="0" equalAverage="0" bottom="0" percent="0" rank="0" text="" dxfId="18">
      <formula>#ref!=$E$5</formula>
    </cfRule>
  </conditionalFormatting>
  <conditionalFormatting sqref="B133:C133">
    <cfRule type="expression" priority="93" aboveAverage="0" equalAverage="0" bottom="0" percent="0" rank="0" text="" dxfId="18">
      <formula>#ref!=$E$5</formula>
    </cfRule>
  </conditionalFormatting>
  <conditionalFormatting sqref="B133:F133">
    <cfRule type="expression" priority="94" aboveAverage="0" equalAverage="0" bottom="0" percent="0" rank="0" text="" dxfId="18">
      <formula>$F133=$E$5</formula>
    </cfRule>
  </conditionalFormatting>
  <conditionalFormatting sqref="D75:D76">
    <cfRule type="expression" priority="95" aboveAverage="0" equalAverage="0" bottom="0" percent="0" rank="0" text="" dxfId="18">
      <formula>#ref!=$E$5</formula>
    </cfRule>
  </conditionalFormatting>
  <conditionalFormatting sqref="D75:D76 F75:F76">
    <cfRule type="expression" priority="96" aboveAverage="0" equalAverage="0" bottom="0" percent="0" rank="0" text="" dxfId="18">
      <formula>$F75=$E$5</formula>
    </cfRule>
  </conditionalFormatting>
  <conditionalFormatting sqref="D17">
    <cfRule type="expression" priority="97" aboveAverage="0" equalAverage="0" bottom="0" percent="0" rank="0" text="" dxfId="18">
      <formula>#ref!=$E$5</formula>
    </cfRule>
    <cfRule type="expression" priority="98" aboveAverage="0" equalAverage="0" bottom="0" percent="0" rank="0" text="" dxfId="18">
      <formula>$F17=$E$5</formula>
    </cfRule>
  </conditionalFormatting>
  <conditionalFormatting sqref="D2:D16 D18:D74 D77:D132">
    <cfRule type="expression" priority="99" aboveAverage="0" equalAverage="0" bottom="0" percent="0" rank="0" text="" dxfId="18">
      <formula>#ref!=$E$5</formula>
    </cfRule>
  </conditionalFormatting>
  <conditionalFormatting sqref="B2:C2">
    <cfRule type="expression" priority="100" aboveAverage="0" equalAverage="0" bottom="0" percent="0" rank="0" text="" dxfId="18">
      <formula>$F2=$E$5</formula>
    </cfRule>
  </conditionalFormatting>
  <conditionalFormatting sqref="B136:C138">
    <cfRule type="expression" priority="101" aboveAverage="0" equalAverage="0" bottom="0" percent="0" rank="0" text="" dxfId="18">
      <formula>#ref!=$E$5</formula>
    </cfRule>
  </conditionalFormatting>
  <conditionalFormatting sqref="B136:C138 D2:D16 D18:D74 D77:D132 E136:E138 F77:F132 F134:F138">
    <cfRule type="expression" priority="102" aboveAverage="0" equalAverage="0" bottom="0" percent="0" rank="0" text="" dxfId="18">
      <formula>#ref!=$E$5</formula>
    </cfRule>
  </conditionalFormatting>
  <conditionalFormatting sqref="B2:B16 B18:B74 B77:B132 B134:B138">
    <cfRule type="duplicateValues" priority="103" aboveAverage="0" equalAverage="0" bottom="0" percent="0" rank="0" text="" dxfId="17"/>
  </conditionalFormatting>
  <conditionalFormatting sqref="B13:B16 B18:B74 B77:B132">
    <cfRule type="duplicateValues" priority="104" aboveAverage="0" equalAverage="0" bottom="0" percent="0" rank="0" text="" dxfId="21"/>
  </conditionalFormatting>
  <dataValidations count="11">
    <dataValidation allowBlank="true" errorStyle="stop" operator="between" showDropDown="false" showErrorMessage="true" showInputMessage="true" sqref="D2:D16 D18:D74 D77:D83 D85:D114 D116:D132 D134:D143 D145:D156 D158 D161 D164:D165 D168 D171 D173 D175 D177:D178 C180 D183:D186 D197 D200:D201 D208:D216 D218 D220:D231 D234 D236 D238:D245 D247:D248 D251:D253 D255:D256 D263 D267 D276 D280:D281 D284 D286 D292:D293 D295 D299 D302 D309:D310 D316 D321 D326 D332:D335 D339 D341:D342 D345:D368 D370:D390 D392:D400 D402:D449 D451:D468 D470:D517 D519:D528 D530:D537 D539 D541:D580 D582:D653" type="list">
      <formula1>"F,M"</formula1>
      <formula2>0</formula2>
    </dataValidation>
    <dataValidation allowBlank="true" errorStyle="stop" operator="between" showDropDown="false" showErrorMessage="true" showInputMessage="false" sqref="D17 D75:D76 D133 D144 D157 D159:D160 D162:D163 D167 D180:D182 D187:D196 D198:D199 D202:D207 D217 D219 D232:D233 D235 D237 D257 D259:D262 D266 D268:D269 D271:D272 D278 D282:D283 D289:D290 D297:D298 D303 D306 D308 D311 D313:D315 D320 D322:D325 D327:D329 D336:D338 D340 D369 D391 D401 D450 D518 D529 D538 D540 D581" type="list">
      <formula1>"F,M"</formula1>
      <formula2>0</formula2>
    </dataValidation>
    <dataValidation allowBlank="false" errorStyle="stop" operator="between" showDropDown="false" showErrorMessage="true" showInputMessage="true" sqref="F4:F5 F140 F142 F155 F159 F167 F180 F194 F202 F205 F217 F219 F232 F357:F361 F363:F364 F370 F380 F395:F398 F403 F405 F407 F414 F416 F418 F421:F423 F425 F436 F438:F439 F442 F446 F448:F449 F451:F452 F457:F458 F465 F467 F469 F471 F474:F476" type="list">
      <formula1>"API,ASM,ASV,BUC,CAO,CC2,COS,COU,USBY,USP,VAU"</formula1>
      <formula2>0</formula2>
    </dataValidation>
    <dataValidation allowBlank="true" errorStyle="stop" operator="between" showDropDown="false" showErrorMessage="true" showInputMessage="false" sqref="F188 F191 F384 F386 F391:F393 F499:F500 F502 F505 F507" type="list">
      <formula1>"API,ASM,ASV,TTJ-BUC,CAO,CC2,COS,COU,JOUY,USBY,USP,VAU"</formula1>
      <formula2>0</formula2>
    </dataValidation>
    <dataValidation allowBlank="true" errorStyle="stop" operator="between" showDropDown="false" showErrorMessage="true" showInputMessage="false" sqref="F369" type="list">
      <formula1>"API,ASM,ASV,BUC,CAO,CC2,COS,COU,USBY,USP,VAU"</formula1>
      <formula2>0</formula2>
    </dataValidation>
    <dataValidation allowBlank="true" errorStyle="stop" operator="between" showDropDown="false" showErrorMessage="true" showInputMessage="true" sqref="F3 F16 F41 F50 F85 F106" type="list">
      <formula1>#ref!</formula1>
      <formula2>0</formula2>
    </dataValidation>
    <dataValidation allowBlank="true" errorStyle="stop" operator="between" showDropDown="false" showErrorMessage="true" showInputMessage="false" sqref="F127 F183 F196 F235 F257 F259 F277 F289:F290 F298 F315 F322:F323 F325 F336 F338 F343:F344" type="list">
      <formula1>#ref!</formula1>
      <formula2>0</formula2>
    </dataValidation>
    <dataValidation allowBlank="false" errorStyle="stop" operator="between" showDropDown="false" showErrorMessage="true" showInputMessage="true" sqref="F2 F6:F15 F17:F40 F42:F49 F51:F74 F77:F84 F86:F105 F107:F126 F128:F132 F134:F139 F141 F143:F154 F156:F158 F160:F161 F163:F165 F168:F173 F175:F179 F181:F182 F184:F187 F189:F190 F192:F193 F195 F197:F201 F203:F204 F207:F216 F218 F220:F231 F233:F234 F236:F256 F258 F260:F276 F278:F288 F291:F297 F299:F314 F316:F321 F324 F326 F328:F335 F337 F339:F342 F345:F351 F355:F356 F362 F367 F372 F374:F375 F377 F379 F381 F385 F388 F400:F401 F413 F417 F419:F420 F426:F427 F435 F437 F445 F450 F454 F460 F464 F472:F473 F484 F488 F492 F497 F503 F512" type="list">
      <formula1>#ref!</formula1>
      <formula2>0</formula2>
    </dataValidation>
    <dataValidation allowBlank="false" errorStyle="stop" operator="between" showDropDown="false" showErrorMessage="true" showInputMessage="true" sqref="F352:F354 F365:F366 F368 F371 F373 F376 F378 F382:F383 F389 F402 F404 F406 F409:F412 F415 F424 F428:F429 F431:F434 F440:F441 F443:F444 F447 F453 F455:F456 F459 F461:F463 F468 F470 F477 F481 F485 F487 F493:F496 F498 F504 F506 F508:F511 F513:F520 F522:F527 F530 F532:F534 F536:F537 F539:F541 F543:F548 F550:F553 F555:F574 F576:F577 F579:F580 F582:F591 F595 F597:F602 F604:F605 F609 F614:F623 F625 F627:F631 F635:F639 F641 F644:F648 F650:F653" type="list">
      <formula1>#ref!</formula1>
      <formula2>0</formula2>
    </dataValidation>
    <dataValidation allowBlank="true" errorStyle="stop" operator="between" showDropDown="false" showErrorMessage="true" showInputMessage="false" sqref="F387 F390 F394 F399 F408 F430 F466 F479 F501 F549 F554 F575 F578 F592:F594 F596 F603 F606:F608 F611:F613 F624 F626 F632:F633 F642:F643 F649" type="list">
      <formula1>#ref!</formula1>
      <formula2>0</formula2>
    </dataValidation>
    <dataValidation allowBlank="true" errorStyle="stop" operator="between" showDropDown="false" showErrorMessage="true" showInputMessage="true" sqref="F521 F528:F529 F531 F535 F538 F542 F610 F634 F640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6796875" defaultRowHeight="12.75" customHeight="true" zeroHeight="false" outlineLevelRow="0" outlineLevelCol="0"/>
  <cols>
    <col collapsed="false" customWidth="true" hidden="false" outlineLevel="0" max="1" min="1" style="2" width="8"/>
    <col collapsed="false" customWidth="true" hidden="false" outlineLevel="0" max="2" min="2" style="2" width="20.16"/>
    <col collapsed="false" customWidth="true" hidden="false" outlineLevel="0" max="3" min="3" style="2" width="9.52"/>
    <col collapsed="false" customWidth="true" hidden="false" outlineLevel="0" max="4" min="4" style="2" width="5.33"/>
    <col collapsed="false" customWidth="true" hidden="false" outlineLevel="0" max="5" min="5" style="2" width="10.51"/>
    <col collapsed="false" customWidth="true" hidden="false" outlineLevel="0" max="6" min="6" style="2" width="8"/>
  </cols>
  <sheetData>
    <row r="1" customFormat="false" ht="12.75" hidden="false" customHeight="true" outlineLevel="0" collapsed="false">
      <c r="A1" s="591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customFormat="false" ht="23.25" hidden="false" customHeight="true" outlineLevel="0" collapsed="false">
      <c r="A2" s="592" t="n">
        <v>1002</v>
      </c>
      <c r="B2" s="617" t="s">
        <v>32</v>
      </c>
      <c r="C2" s="615" t="s">
        <v>33</v>
      </c>
      <c r="D2" s="135" t="s">
        <v>26</v>
      </c>
      <c r="E2" s="618" t="n">
        <v>43191</v>
      </c>
      <c r="F2" s="137" t="s">
        <v>34</v>
      </c>
    </row>
    <row r="3" customFormat="false" ht="23.25" hidden="false" customHeight="true" outlineLevel="0" collapsed="false">
      <c r="A3" s="592" t="n">
        <v>1006</v>
      </c>
      <c r="B3" s="245" t="s">
        <v>71</v>
      </c>
      <c r="C3" s="202" t="s">
        <v>69</v>
      </c>
      <c r="D3" s="135" t="s">
        <v>26</v>
      </c>
      <c r="E3" s="618" t="n">
        <v>42666</v>
      </c>
      <c r="F3" s="137" t="s">
        <v>29</v>
      </c>
    </row>
    <row r="4" customFormat="false" ht="23.25" hidden="false" customHeight="true" outlineLevel="0" collapsed="false">
      <c r="A4" s="592" t="n">
        <v>1018</v>
      </c>
      <c r="B4" s="610" t="s">
        <v>223</v>
      </c>
      <c r="C4" s="611" t="s">
        <v>224</v>
      </c>
      <c r="D4" s="612" t="s">
        <v>26</v>
      </c>
      <c r="E4" s="613" t="n">
        <v>42620</v>
      </c>
      <c r="F4" s="614" t="s">
        <v>29</v>
      </c>
    </row>
    <row r="5" customFormat="false" ht="23.25" hidden="false" customHeight="true" outlineLevel="0" collapsed="false">
      <c r="A5" s="592" t="n">
        <v>1023</v>
      </c>
      <c r="B5" s="245" t="s">
        <v>325</v>
      </c>
      <c r="C5" s="202" t="s">
        <v>326</v>
      </c>
      <c r="D5" s="135" t="s">
        <v>26</v>
      </c>
      <c r="E5" s="618" t="n">
        <v>44097</v>
      </c>
      <c r="F5" s="137" t="s">
        <v>29</v>
      </c>
    </row>
    <row r="6" customFormat="false" ht="23.25" hidden="false" customHeight="true" outlineLevel="0" collapsed="false">
      <c r="A6" s="592" t="n">
        <v>1024</v>
      </c>
      <c r="B6" s="245" t="s">
        <v>325</v>
      </c>
      <c r="C6" s="202" t="s">
        <v>327</v>
      </c>
      <c r="D6" s="135" t="s">
        <v>26</v>
      </c>
      <c r="E6" s="618" t="n">
        <v>42481</v>
      </c>
      <c r="F6" s="137" t="s">
        <v>29</v>
      </c>
    </row>
    <row r="7" customFormat="false" ht="23.25" hidden="false" customHeight="true" outlineLevel="0" collapsed="false">
      <c r="A7" s="592" t="n">
        <v>1029</v>
      </c>
      <c r="B7" s="617" t="s">
        <v>412</v>
      </c>
      <c r="C7" s="615" t="s">
        <v>413</v>
      </c>
      <c r="D7" s="135" t="s">
        <v>26</v>
      </c>
      <c r="E7" s="618" t="n">
        <v>42845</v>
      </c>
      <c r="F7" s="137" t="s">
        <v>34</v>
      </c>
    </row>
    <row r="8" customFormat="false" ht="23.25" hidden="false" customHeight="true" outlineLevel="0" collapsed="false">
      <c r="A8" s="592" t="n">
        <v>1032</v>
      </c>
      <c r="B8" s="245" t="s">
        <v>439</v>
      </c>
      <c r="C8" s="202" t="s">
        <v>440</v>
      </c>
      <c r="D8" s="135" t="s">
        <v>26</v>
      </c>
      <c r="E8" s="618" t="n">
        <v>43780</v>
      </c>
      <c r="F8" s="137" t="s">
        <v>29</v>
      </c>
    </row>
    <row r="9" customFormat="false" ht="23.25" hidden="false" customHeight="true" outlineLevel="0" collapsed="false">
      <c r="A9" s="592" t="n">
        <v>1038</v>
      </c>
      <c r="B9" s="690" t="s">
        <v>473</v>
      </c>
      <c r="C9" s="690" t="s">
        <v>474</v>
      </c>
      <c r="D9" s="612" t="s">
        <v>26</v>
      </c>
      <c r="E9" s="613" t="n">
        <v>43592</v>
      </c>
      <c r="F9" s="614" t="s">
        <v>29</v>
      </c>
    </row>
    <row r="10" customFormat="false" ht="23.25" hidden="false" customHeight="true" outlineLevel="0" collapsed="false">
      <c r="A10" s="592" t="n">
        <v>1044</v>
      </c>
      <c r="B10" s="617" t="s">
        <v>494</v>
      </c>
      <c r="C10" s="615" t="s">
        <v>495</v>
      </c>
      <c r="D10" s="135" t="s">
        <v>26</v>
      </c>
      <c r="E10" s="618" t="n">
        <v>42430</v>
      </c>
      <c r="F10" s="137" t="s">
        <v>34</v>
      </c>
    </row>
    <row r="11" customFormat="false" ht="23.25" hidden="false" customHeight="true" outlineLevel="0" collapsed="false">
      <c r="A11" s="592" t="n">
        <v>1046</v>
      </c>
      <c r="B11" s="617" t="s">
        <v>507</v>
      </c>
      <c r="C11" s="615" t="s">
        <v>508</v>
      </c>
      <c r="D11" s="135" t="s">
        <v>26</v>
      </c>
      <c r="E11" s="618" t="n">
        <v>42540</v>
      </c>
      <c r="F11" s="137" t="s">
        <v>34</v>
      </c>
    </row>
    <row r="12" customFormat="false" ht="23.25" hidden="false" customHeight="true" outlineLevel="0" collapsed="false">
      <c r="A12" s="592" t="n">
        <v>1054</v>
      </c>
      <c r="B12" s="645" t="s">
        <v>599</v>
      </c>
      <c r="C12" s="621" t="s">
        <v>600</v>
      </c>
      <c r="D12" s="135" t="s">
        <v>26</v>
      </c>
      <c r="E12" s="618" t="n">
        <v>42873</v>
      </c>
      <c r="F12" s="137" t="s">
        <v>20</v>
      </c>
    </row>
    <row r="13" customFormat="false" ht="23.25" hidden="false" customHeight="true" outlineLevel="0" collapsed="false">
      <c r="A13" s="592" t="n">
        <v>1058</v>
      </c>
      <c r="B13" s="617" t="s">
        <v>621</v>
      </c>
      <c r="C13" s="615" t="s">
        <v>622</v>
      </c>
      <c r="D13" s="135" t="s">
        <v>26</v>
      </c>
      <c r="E13" s="618" t="n">
        <v>42384</v>
      </c>
      <c r="F13" s="137" t="s">
        <v>52</v>
      </c>
    </row>
    <row r="14" customFormat="false" ht="23.25" hidden="false" customHeight="true" outlineLevel="0" collapsed="false">
      <c r="A14" s="592" t="n">
        <v>1063</v>
      </c>
      <c r="B14" s="602" t="s">
        <v>652</v>
      </c>
      <c r="C14" s="603" t="s">
        <v>653</v>
      </c>
      <c r="D14" s="604" t="s">
        <v>26</v>
      </c>
      <c r="E14" s="605" t="n">
        <v>43694</v>
      </c>
      <c r="F14" s="606" t="s">
        <v>52</v>
      </c>
    </row>
    <row r="15" customFormat="false" ht="12.75" hidden="false" customHeight="true" outlineLevel="0" collapsed="false">
      <c r="A15" s="592" t="n">
        <v>1068</v>
      </c>
      <c r="B15" s="593" t="s">
        <v>707</v>
      </c>
      <c r="C15" s="594" t="s">
        <v>109</v>
      </c>
      <c r="D15" s="135" t="s">
        <v>26</v>
      </c>
      <c r="E15" s="601" t="n">
        <v>2018</v>
      </c>
      <c r="F15" s="137" t="s">
        <v>9</v>
      </c>
    </row>
    <row r="16" customFormat="false" ht="23.25" hidden="false" customHeight="true" outlineLevel="0" collapsed="false">
      <c r="A16" s="592" t="n">
        <v>1073</v>
      </c>
      <c r="B16" s="245" t="s">
        <v>1451</v>
      </c>
      <c r="C16" s="202" t="s">
        <v>742</v>
      </c>
      <c r="D16" s="135" t="s">
        <v>26</v>
      </c>
      <c r="E16" s="618" t="n">
        <v>43121</v>
      </c>
      <c r="F16" s="137" t="s">
        <v>29</v>
      </c>
    </row>
    <row r="17" customFormat="false" ht="23.25" hidden="false" customHeight="true" outlineLevel="0" collapsed="false">
      <c r="A17" s="592" t="n">
        <v>1077</v>
      </c>
      <c r="B17" s="245" t="s">
        <v>781</v>
      </c>
      <c r="C17" s="202" t="s">
        <v>782</v>
      </c>
      <c r="D17" s="135" t="s">
        <v>26</v>
      </c>
      <c r="E17" s="618" t="n">
        <v>42780</v>
      </c>
      <c r="F17" s="137" t="s">
        <v>29</v>
      </c>
    </row>
    <row r="18" customFormat="false" ht="23.25" hidden="false" customHeight="true" outlineLevel="0" collapsed="false">
      <c r="A18" s="592" t="n">
        <v>1078</v>
      </c>
      <c r="B18" s="245" t="s">
        <v>781</v>
      </c>
      <c r="C18" s="202" t="s">
        <v>783</v>
      </c>
      <c r="D18" s="135" t="s">
        <v>26</v>
      </c>
      <c r="E18" s="618" t="n">
        <v>43511</v>
      </c>
      <c r="F18" s="137" t="s">
        <v>29</v>
      </c>
    </row>
    <row r="19" customFormat="false" ht="23.25" hidden="false" customHeight="true" outlineLevel="0" collapsed="false">
      <c r="A19" s="592" t="n">
        <v>1079</v>
      </c>
      <c r="B19" s="596" t="s">
        <v>786</v>
      </c>
      <c r="C19" s="597" t="s">
        <v>787</v>
      </c>
      <c r="D19" s="598" t="s">
        <v>26</v>
      </c>
      <c r="E19" s="599" t="n">
        <v>42820</v>
      </c>
      <c r="F19" s="600" t="s">
        <v>12</v>
      </c>
    </row>
    <row r="20" customFormat="false" ht="23.25" hidden="false" customHeight="true" outlineLevel="0" collapsed="false">
      <c r="A20" s="592" t="n">
        <v>1085</v>
      </c>
      <c r="B20" s="602" t="s">
        <v>874</v>
      </c>
      <c r="C20" s="603" t="s">
        <v>875</v>
      </c>
      <c r="D20" s="604" t="s">
        <v>26</v>
      </c>
      <c r="E20" s="605" t="n">
        <v>42704</v>
      </c>
      <c r="F20" s="606" t="s">
        <v>52</v>
      </c>
    </row>
    <row r="21" customFormat="false" ht="23.25" hidden="false" customHeight="true" outlineLevel="0" collapsed="false">
      <c r="A21" s="592" t="n">
        <v>1086</v>
      </c>
      <c r="B21" s="617" t="s">
        <v>874</v>
      </c>
      <c r="C21" s="615" t="s">
        <v>821</v>
      </c>
      <c r="D21" s="135" t="s">
        <v>26</v>
      </c>
      <c r="E21" s="618" t="n">
        <v>42704</v>
      </c>
      <c r="F21" s="137" t="s">
        <v>52</v>
      </c>
    </row>
    <row r="22" customFormat="false" ht="23.25" hidden="false" customHeight="true" outlineLevel="0" collapsed="false">
      <c r="A22" s="592" t="n">
        <v>1092</v>
      </c>
      <c r="B22" s="637" t="s">
        <v>917</v>
      </c>
      <c r="C22" s="659" t="s">
        <v>918</v>
      </c>
      <c r="D22" s="604" t="s">
        <v>26</v>
      </c>
      <c r="E22" s="605" t="n">
        <v>42632</v>
      </c>
      <c r="F22" s="606" t="s">
        <v>29</v>
      </c>
    </row>
    <row r="23" customFormat="false" ht="23.25" hidden="false" customHeight="true" outlineLevel="0" collapsed="false">
      <c r="A23" s="592" t="n">
        <v>1095</v>
      </c>
      <c r="B23" s="617" t="s">
        <v>944</v>
      </c>
      <c r="C23" s="615" t="s">
        <v>337</v>
      </c>
      <c r="D23" s="135" t="s">
        <v>26</v>
      </c>
      <c r="E23" s="618" t="n">
        <v>43237</v>
      </c>
      <c r="F23" s="137" t="s">
        <v>52</v>
      </c>
    </row>
    <row r="24" customFormat="false" ht="23.25" hidden="false" customHeight="true" outlineLevel="0" collapsed="false">
      <c r="A24" s="592" t="n">
        <v>1103</v>
      </c>
      <c r="B24" s="617" t="s">
        <v>977</v>
      </c>
      <c r="C24" s="615" t="s">
        <v>433</v>
      </c>
      <c r="D24" s="135" t="s">
        <v>26</v>
      </c>
      <c r="E24" s="618" t="n">
        <v>42697</v>
      </c>
      <c r="F24" s="137" t="s">
        <v>34</v>
      </c>
    </row>
    <row r="25" customFormat="false" ht="12.75" hidden="false" customHeight="true" outlineLevel="0" collapsed="false">
      <c r="A25" s="592" t="n">
        <v>1101</v>
      </c>
      <c r="B25" s="593" t="s">
        <v>985</v>
      </c>
      <c r="C25" s="594" t="s">
        <v>653</v>
      </c>
      <c r="D25" s="135" t="s">
        <v>26</v>
      </c>
      <c r="E25" s="601" t="n">
        <v>2019</v>
      </c>
      <c r="F25" s="137" t="s">
        <v>9</v>
      </c>
    </row>
    <row r="26" customFormat="false" ht="23.25" hidden="false" customHeight="true" outlineLevel="0" collapsed="false">
      <c r="A26" s="592" t="n">
        <v>1106</v>
      </c>
      <c r="B26" s="245" t="s">
        <v>1024</v>
      </c>
      <c r="C26" s="202" t="s">
        <v>875</v>
      </c>
      <c r="D26" s="135" t="s">
        <v>26</v>
      </c>
      <c r="E26" s="618" t="n">
        <v>42731</v>
      </c>
      <c r="F26" s="137" t="s">
        <v>29</v>
      </c>
    </row>
    <row r="27" customFormat="false" ht="23.25" hidden="false" customHeight="true" outlineLevel="0" collapsed="false">
      <c r="A27" s="592" t="n">
        <v>1107</v>
      </c>
      <c r="B27" s="245" t="s">
        <v>1024</v>
      </c>
      <c r="C27" s="202" t="s">
        <v>1026</v>
      </c>
      <c r="D27" s="135" t="s">
        <v>26</v>
      </c>
      <c r="E27" s="618" t="n">
        <v>43533</v>
      </c>
      <c r="F27" s="137" t="s">
        <v>29</v>
      </c>
    </row>
    <row r="28" customFormat="false" ht="23.25" hidden="false" customHeight="true" outlineLevel="0" collapsed="false">
      <c r="A28" s="592" t="n">
        <v>1114</v>
      </c>
      <c r="B28" s="619" t="s">
        <v>1104</v>
      </c>
      <c r="C28" s="620" t="s">
        <v>69</v>
      </c>
      <c r="D28" s="612" t="s">
        <v>26</v>
      </c>
      <c r="E28" s="613" t="n">
        <v>43645</v>
      </c>
      <c r="F28" s="614" t="s">
        <v>52</v>
      </c>
    </row>
    <row r="29" customFormat="false" ht="23.25" hidden="false" customHeight="true" outlineLevel="0" collapsed="false">
      <c r="A29" s="592" t="n">
        <v>1116</v>
      </c>
      <c r="B29" s="245" t="s">
        <v>1115</v>
      </c>
      <c r="C29" s="202" t="s">
        <v>531</v>
      </c>
      <c r="D29" s="135" t="s">
        <v>26</v>
      </c>
      <c r="E29" s="618" t="n">
        <v>44096</v>
      </c>
      <c r="F29" s="137" t="s">
        <v>29</v>
      </c>
    </row>
    <row r="30" customFormat="false" ht="23.25" hidden="false" customHeight="true" outlineLevel="0" collapsed="false">
      <c r="A30" s="592" t="n">
        <v>1132</v>
      </c>
      <c r="B30" s="647" t="s">
        <v>1321</v>
      </c>
      <c r="C30" s="648" t="s">
        <v>1322</v>
      </c>
      <c r="D30" s="598" t="s">
        <v>26</v>
      </c>
      <c r="E30" s="599" t="n">
        <v>42406</v>
      </c>
      <c r="F30" s="600" t="s">
        <v>34</v>
      </c>
    </row>
    <row r="31" customFormat="false" ht="23.25" hidden="false" customHeight="true" outlineLevel="0" collapsed="false">
      <c r="A31" s="592" t="n">
        <v>1133</v>
      </c>
      <c r="B31" s="617" t="s">
        <v>1323</v>
      </c>
      <c r="C31" s="615" t="s">
        <v>1325</v>
      </c>
      <c r="D31" s="135" t="s">
        <v>26</v>
      </c>
      <c r="E31" s="618" t="n">
        <v>43983</v>
      </c>
      <c r="F31" s="137" t="s">
        <v>52</v>
      </c>
    </row>
    <row r="32" customFormat="false" ht="23.25" hidden="false" customHeight="true" outlineLevel="0" collapsed="false">
      <c r="A32" s="592" t="n">
        <v>1134</v>
      </c>
      <c r="B32" s="617" t="s">
        <v>1323</v>
      </c>
      <c r="C32" s="615" t="s">
        <v>1326</v>
      </c>
      <c r="D32" s="135" t="s">
        <v>26</v>
      </c>
      <c r="E32" s="618" t="n">
        <v>43226</v>
      </c>
      <c r="F32" s="137" t="s">
        <v>52</v>
      </c>
    </row>
    <row r="33" customFormat="false" ht="23.25" hidden="false" customHeight="true" outlineLevel="0" collapsed="false">
      <c r="A33" s="592" t="n">
        <v>2004</v>
      </c>
      <c r="B33" s="593" t="s">
        <v>24</v>
      </c>
      <c r="C33" s="666" t="s">
        <v>25</v>
      </c>
      <c r="D33" s="135" t="s">
        <v>26</v>
      </c>
      <c r="E33" s="618" t="n">
        <v>41694</v>
      </c>
      <c r="F33" s="137" t="s">
        <v>12</v>
      </c>
    </row>
    <row r="34" customFormat="false" ht="23.25" hidden="false" customHeight="true" outlineLevel="0" collapsed="false">
      <c r="A34" s="592" t="n">
        <v>2015</v>
      </c>
      <c r="B34" s="617" t="s">
        <v>141</v>
      </c>
      <c r="C34" s="615" t="s">
        <v>142</v>
      </c>
      <c r="D34" s="135" t="s">
        <v>26</v>
      </c>
      <c r="E34" s="622" t="s">
        <v>1433</v>
      </c>
      <c r="F34" s="137" t="s">
        <v>143</v>
      </c>
    </row>
    <row r="35" customFormat="false" ht="23.25" hidden="false" customHeight="true" outlineLevel="0" collapsed="false">
      <c r="A35" s="592" t="n">
        <v>2020</v>
      </c>
      <c r="B35" s="617" t="s">
        <v>182</v>
      </c>
      <c r="C35" s="615" t="s">
        <v>183</v>
      </c>
      <c r="D35" s="135" t="s">
        <v>26</v>
      </c>
      <c r="E35" s="622" t="n">
        <v>42119</v>
      </c>
      <c r="F35" s="137" t="s">
        <v>52</v>
      </c>
    </row>
    <row r="36" customFormat="false" ht="23.25" hidden="false" customHeight="true" outlineLevel="0" collapsed="false">
      <c r="A36" s="592" t="n">
        <v>2025</v>
      </c>
      <c r="B36" s="617" t="s">
        <v>256</v>
      </c>
      <c r="C36" s="615" t="s">
        <v>257</v>
      </c>
      <c r="D36" s="135" t="s">
        <v>26</v>
      </c>
      <c r="E36" s="622" t="n">
        <v>42096</v>
      </c>
      <c r="F36" s="137" t="s">
        <v>34</v>
      </c>
    </row>
    <row r="37" customFormat="false" ht="12.75" hidden="false" customHeight="true" outlineLevel="0" collapsed="false">
      <c r="A37" s="592" t="n">
        <v>2026</v>
      </c>
      <c r="B37" s="593" t="s">
        <v>264</v>
      </c>
      <c r="C37" s="594" t="s">
        <v>265</v>
      </c>
      <c r="D37" s="135" t="s">
        <v>26</v>
      </c>
      <c r="E37" s="601" t="n">
        <v>2014</v>
      </c>
      <c r="F37" s="137" t="s">
        <v>9</v>
      </c>
    </row>
    <row r="38" customFormat="false" ht="23.25" hidden="false" customHeight="true" outlineLevel="0" collapsed="false">
      <c r="A38" s="592" t="n">
        <v>2036</v>
      </c>
      <c r="B38" s="617" t="s">
        <v>329</v>
      </c>
      <c r="C38" s="615" t="s">
        <v>330</v>
      </c>
      <c r="D38" s="135" t="s">
        <v>26</v>
      </c>
      <c r="E38" s="622" t="s">
        <v>1441</v>
      </c>
      <c r="F38" s="137" t="s">
        <v>143</v>
      </c>
    </row>
    <row r="39" customFormat="false" ht="12.75" hidden="false" customHeight="true" outlineLevel="0" collapsed="false">
      <c r="A39" s="592" t="n">
        <v>2037</v>
      </c>
      <c r="B39" s="593" t="s">
        <v>342</v>
      </c>
      <c r="C39" s="594" t="s">
        <v>337</v>
      </c>
      <c r="D39" s="135" t="s">
        <v>26</v>
      </c>
      <c r="E39" s="601" t="n">
        <v>2014</v>
      </c>
      <c r="F39" s="137" t="s">
        <v>9</v>
      </c>
    </row>
    <row r="40" customFormat="false" ht="23.25" hidden="false" customHeight="true" outlineLevel="0" collapsed="false">
      <c r="A40" s="592" t="n">
        <v>2039</v>
      </c>
      <c r="B40" s="624" t="s">
        <v>350</v>
      </c>
      <c r="C40" s="625" t="s">
        <v>351</v>
      </c>
      <c r="D40" s="135" t="s">
        <v>26</v>
      </c>
      <c r="E40" s="622" t="n">
        <v>41816</v>
      </c>
      <c r="F40" s="137" t="s">
        <v>12</v>
      </c>
    </row>
    <row r="41" customFormat="false" ht="23.25" hidden="false" customHeight="true" outlineLevel="0" collapsed="false">
      <c r="A41" s="592" t="n">
        <v>2045</v>
      </c>
      <c r="B41" s="617" t="s">
        <v>418</v>
      </c>
      <c r="C41" s="615" t="s">
        <v>420</v>
      </c>
      <c r="D41" s="135" t="s">
        <v>26</v>
      </c>
      <c r="E41" s="622" t="n">
        <v>42185</v>
      </c>
      <c r="F41" s="137" t="s">
        <v>34</v>
      </c>
    </row>
    <row r="42" customFormat="false" ht="12.75" hidden="false" customHeight="true" outlineLevel="0" collapsed="false">
      <c r="A42" s="592" t="n">
        <v>2055</v>
      </c>
      <c r="B42" s="593" t="s">
        <v>470</v>
      </c>
      <c r="C42" s="594" t="s">
        <v>471</v>
      </c>
      <c r="D42" s="135" t="s">
        <v>26</v>
      </c>
      <c r="E42" s="595" t="n">
        <v>41807</v>
      </c>
      <c r="F42" s="137" t="s">
        <v>9</v>
      </c>
    </row>
    <row r="43" customFormat="false" ht="13.5" hidden="false" customHeight="true" outlineLevel="0" collapsed="false">
      <c r="A43" s="592" t="n">
        <v>2059</v>
      </c>
      <c r="B43" s="245" t="s">
        <v>509</v>
      </c>
      <c r="C43" s="245" t="s">
        <v>510</v>
      </c>
      <c r="D43" s="135" t="s">
        <v>26</v>
      </c>
      <c r="E43" s="636" t="n">
        <v>41657</v>
      </c>
      <c r="F43" s="137" t="s">
        <v>29</v>
      </c>
    </row>
    <row r="44" customFormat="false" ht="23.25" hidden="false" customHeight="true" outlineLevel="0" collapsed="false">
      <c r="A44" s="592" t="n">
        <v>2064</v>
      </c>
      <c r="B44" s="617" t="s">
        <v>532</v>
      </c>
      <c r="C44" s="663" t="s">
        <v>533</v>
      </c>
      <c r="D44" s="135" t="s">
        <v>26</v>
      </c>
      <c r="E44" s="622" t="n">
        <v>41910</v>
      </c>
      <c r="F44" s="137" t="s">
        <v>34</v>
      </c>
    </row>
    <row r="45" customFormat="false" ht="12.75" hidden="false" customHeight="true" outlineLevel="0" collapsed="false">
      <c r="A45" s="592" t="n">
        <v>2091</v>
      </c>
      <c r="B45" s="593" t="s">
        <v>692</v>
      </c>
      <c r="C45" s="594" t="s">
        <v>337</v>
      </c>
      <c r="D45" s="135" t="s">
        <v>26</v>
      </c>
      <c r="E45" s="601" t="n">
        <v>2014</v>
      </c>
      <c r="F45" s="137" t="s">
        <v>9</v>
      </c>
    </row>
    <row r="46" customFormat="false" ht="12.75" hidden="false" customHeight="true" outlineLevel="0" collapsed="false">
      <c r="A46" s="592" t="n">
        <v>2110</v>
      </c>
      <c r="B46" s="593" t="s">
        <v>819</v>
      </c>
      <c r="C46" s="594" t="s">
        <v>820</v>
      </c>
      <c r="D46" s="135" t="s">
        <v>26</v>
      </c>
      <c r="E46" s="601" t="n">
        <v>2014</v>
      </c>
      <c r="F46" s="137" t="s">
        <v>9</v>
      </c>
    </row>
    <row r="47" customFormat="false" ht="13.5" hidden="false" customHeight="true" outlineLevel="0" collapsed="false">
      <c r="A47" s="592" t="n">
        <v>2125</v>
      </c>
      <c r="B47" s="245" t="s">
        <v>917</v>
      </c>
      <c r="C47" s="245" t="s">
        <v>919</v>
      </c>
      <c r="D47" s="135" t="s">
        <v>26</v>
      </c>
      <c r="E47" s="636" t="n">
        <v>41697</v>
      </c>
      <c r="F47" s="137" t="s">
        <v>29</v>
      </c>
    </row>
    <row r="48" customFormat="false" ht="23.25" hidden="false" customHeight="true" outlineLevel="0" collapsed="false">
      <c r="A48" s="592" t="n">
        <v>2132</v>
      </c>
      <c r="B48" s="617" t="s">
        <v>973</v>
      </c>
      <c r="C48" s="615" t="s">
        <v>974</v>
      </c>
      <c r="D48" s="135" t="s">
        <v>26</v>
      </c>
      <c r="E48" s="622" t="s">
        <v>1459</v>
      </c>
      <c r="F48" s="137" t="s">
        <v>143</v>
      </c>
    </row>
    <row r="49" customFormat="false" ht="13.5" hidden="false" customHeight="true" outlineLevel="0" collapsed="false">
      <c r="A49" s="592" t="n">
        <v>2139</v>
      </c>
      <c r="B49" s="245" t="s">
        <v>1007</v>
      </c>
      <c r="C49" s="245" t="s">
        <v>1008</v>
      </c>
      <c r="D49" s="135" t="s">
        <v>26</v>
      </c>
      <c r="E49" s="636" t="n">
        <v>42357</v>
      </c>
      <c r="F49" s="137" t="s">
        <v>29</v>
      </c>
    </row>
    <row r="50" customFormat="false" ht="23.25" hidden="false" customHeight="true" outlineLevel="0" collapsed="false">
      <c r="A50" s="592" t="n">
        <v>2144</v>
      </c>
      <c r="B50" s="617" t="s">
        <v>1037</v>
      </c>
      <c r="C50" s="615" t="s">
        <v>1038</v>
      </c>
      <c r="D50" s="135" t="s">
        <v>26</v>
      </c>
      <c r="E50" s="622" t="n">
        <v>41772</v>
      </c>
      <c r="F50" s="137" t="s">
        <v>52</v>
      </c>
    </row>
    <row r="51" customFormat="false" ht="23.25" hidden="false" customHeight="true" outlineLevel="0" collapsed="false">
      <c r="A51" s="592" t="n">
        <v>2148</v>
      </c>
      <c r="B51" s="617" t="s">
        <v>1052</v>
      </c>
      <c r="C51" s="615" t="s">
        <v>1053</v>
      </c>
      <c r="D51" s="135" t="s">
        <v>26</v>
      </c>
      <c r="E51" s="622" t="s">
        <v>1462</v>
      </c>
      <c r="F51" s="137" t="s">
        <v>143</v>
      </c>
    </row>
    <row r="52" customFormat="false" ht="23.25" hidden="false" customHeight="true" outlineLevel="0" collapsed="false">
      <c r="A52" s="592" t="n">
        <v>2161</v>
      </c>
      <c r="B52" s="617" t="s">
        <v>1118</v>
      </c>
      <c r="C52" s="615" t="s">
        <v>1119</v>
      </c>
      <c r="D52" s="135" t="s">
        <v>26</v>
      </c>
      <c r="E52" s="622" t="n">
        <v>42306</v>
      </c>
      <c r="F52" s="137" t="s">
        <v>143</v>
      </c>
    </row>
    <row r="53" customFormat="false" ht="23.25" hidden="false" customHeight="true" outlineLevel="0" collapsed="false">
      <c r="A53" s="592" t="n">
        <v>2165</v>
      </c>
      <c r="B53" s="617" t="s">
        <v>1133</v>
      </c>
      <c r="C53" s="615" t="s">
        <v>1135</v>
      </c>
      <c r="D53" s="135" t="s">
        <v>26</v>
      </c>
      <c r="E53" s="622" t="n">
        <v>42288</v>
      </c>
      <c r="F53" s="137" t="s">
        <v>34</v>
      </c>
    </row>
    <row r="54" customFormat="false" ht="13.5" hidden="false" customHeight="true" outlineLevel="0" collapsed="false">
      <c r="A54" s="592" t="n">
        <v>2173</v>
      </c>
      <c r="B54" s="245" t="s">
        <v>1177</v>
      </c>
      <c r="C54" s="134" t="s">
        <v>1178</v>
      </c>
      <c r="D54" s="135" t="s">
        <v>26</v>
      </c>
      <c r="E54" s="636" t="n">
        <v>41657</v>
      </c>
      <c r="F54" s="137" t="s">
        <v>29</v>
      </c>
    </row>
    <row r="55" customFormat="false" ht="23.25" hidden="false" customHeight="true" outlineLevel="0" collapsed="false">
      <c r="A55" s="592" t="n">
        <v>2180</v>
      </c>
      <c r="B55" s="617" t="s">
        <v>1205</v>
      </c>
      <c r="C55" s="615" t="s">
        <v>1206</v>
      </c>
      <c r="D55" s="135" t="s">
        <v>26</v>
      </c>
      <c r="E55" s="622" t="n">
        <v>41809</v>
      </c>
      <c r="F55" s="137" t="s">
        <v>34</v>
      </c>
    </row>
    <row r="56" customFormat="false" ht="12.75" hidden="false" customHeight="true" outlineLevel="0" collapsed="false">
      <c r="A56" s="592" t="n">
        <v>2186</v>
      </c>
      <c r="B56" s="593" t="s">
        <v>1242</v>
      </c>
      <c r="C56" s="594" t="s">
        <v>777</v>
      </c>
      <c r="D56" s="135" t="s">
        <v>26</v>
      </c>
      <c r="E56" s="601" t="n">
        <v>2015</v>
      </c>
      <c r="F56" s="137" t="s">
        <v>9</v>
      </c>
    </row>
    <row r="57" customFormat="false" ht="23.25" hidden="false" customHeight="true" outlineLevel="0" collapsed="false">
      <c r="A57" s="592" t="n">
        <v>2195</v>
      </c>
      <c r="B57" s="645" t="s">
        <v>1278</v>
      </c>
      <c r="C57" s="621" t="s">
        <v>821</v>
      </c>
      <c r="D57" s="135" t="s">
        <v>26</v>
      </c>
      <c r="E57" s="622" t="n">
        <v>41881</v>
      </c>
      <c r="F57" s="137" t="s">
        <v>20</v>
      </c>
    </row>
    <row r="58" customFormat="false" ht="12.75" hidden="false" customHeight="true" outlineLevel="0" collapsed="false">
      <c r="A58" s="592" t="n">
        <v>3004</v>
      </c>
      <c r="B58" s="594" t="s">
        <v>1429</v>
      </c>
      <c r="C58" s="594" t="s">
        <v>45</v>
      </c>
      <c r="D58" s="135" t="s">
        <v>26</v>
      </c>
      <c r="E58" s="664" t="n">
        <v>41620</v>
      </c>
      <c r="F58" s="137" t="s">
        <v>9</v>
      </c>
    </row>
    <row r="59" customFormat="false" ht="23.25" hidden="false" customHeight="true" outlineLevel="0" collapsed="false">
      <c r="A59" s="592" t="n">
        <v>3005</v>
      </c>
      <c r="B59" s="597" t="s">
        <v>1429</v>
      </c>
      <c r="C59" s="597" t="s">
        <v>46</v>
      </c>
      <c r="D59" s="685" t="s">
        <v>26</v>
      </c>
      <c r="E59" s="713" t="n">
        <v>40917</v>
      </c>
      <c r="F59" s="600" t="s">
        <v>9</v>
      </c>
    </row>
    <row r="60" customFormat="false" ht="23.25" hidden="false" customHeight="true" outlineLevel="0" collapsed="false">
      <c r="A60" s="592" t="n">
        <v>3012</v>
      </c>
      <c r="B60" s="648" t="s">
        <v>108</v>
      </c>
      <c r="C60" s="648" t="s">
        <v>109</v>
      </c>
      <c r="D60" s="685" t="s">
        <v>26</v>
      </c>
      <c r="E60" s="628" t="n">
        <v>41484</v>
      </c>
      <c r="F60" s="600" t="s">
        <v>52</v>
      </c>
    </row>
    <row r="61" customFormat="false" ht="23.25" hidden="false" customHeight="true" outlineLevel="0" collapsed="false">
      <c r="A61" s="592" t="n">
        <v>3017</v>
      </c>
      <c r="B61" s="620" t="s">
        <v>146</v>
      </c>
      <c r="C61" s="620" t="s">
        <v>147</v>
      </c>
      <c r="D61" s="694" t="s">
        <v>26</v>
      </c>
      <c r="E61" s="642" t="n">
        <v>41002</v>
      </c>
      <c r="F61" s="137" t="s">
        <v>34</v>
      </c>
    </row>
    <row r="62" customFormat="false" ht="23.25" hidden="false" customHeight="true" outlineLevel="0" collapsed="false">
      <c r="A62" s="592" t="n">
        <v>3023</v>
      </c>
      <c r="B62" s="620" t="s">
        <v>202</v>
      </c>
      <c r="C62" s="620" t="s">
        <v>203</v>
      </c>
      <c r="D62" s="612" t="s">
        <v>26</v>
      </c>
      <c r="E62" s="642" t="n">
        <v>41283</v>
      </c>
      <c r="F62" s="614" t="s">
        <v>52</v>
      </c>
    </row>
    <row r="63" customFormat="false" ht="23.25" hidden="false" customHeight="true" outlineLevel="0" collapsed="false">
      <c r="A63" s="592" t="n">
        <v>3030</v>
      </c>
      <c r="B63" s="603" t="s">
        <v>298</v>
      </c>
      <c r="C63" s="603" t="s">
        <v>299</v>
      </c>
      <c r="D63" s="604" t="s">
        <v>26</v>
      </c>
      <c r="E63" s="609" t="n">
        <v>41563</v>
      </c>
      <c r="F63" s="137" t="s">
        <v>34</v>
      </c>
    </row>
    <row r="64" customFormat="false" ht="23.25" hidden="false" customHeight="true" outlineLevel="0" collapsed="false">
      <c r="A64" s="592" t="n">
        <v>3031</v>
      </c>
      <c r="B64" s="615" t="s">
        <v>298</v>
      </c>
      <c r="C64" s="615" t="s">
        <v>300</v>
      </c>
      <c r="D64" s="135" t="s">
        <v>26</v>
      </c>
      <c r="E64" s="622" t="n">
        <v>41563</v>
      </c>
      <c r="F64" s="693" t="s">
        <v>34</v>
      </c>
    </row>
    <row r="65" customFormat="false" ht="12.75" hidden="false" customHeight="true" outlineLevel="0" collapsed="false">
      <c r="A65" s="592" t="n">
        <v>3038</v>
      </c>
      <c r="B65" s="594" t="s">
        <v>342</v>
      </c>
      <c r="C65" s="594" t="s">
        <v>343</v>
      </c>
      <c r="D65" s="135" t="s">
        <v>26</v>
      </c>
      <c r="E65" s="601" t="n">
        <v>2012</v>
      </c>
      <c r="F65" s="693" t="s">
        <v>9</v>
      </c>
    </row>
    <row r="66" customFormat="false" ht="12.75" hidden="false" customHeight="true" outlineLevel="0" collapsed="false">
      <c r="A66" s="592" t="n">
        <v>3162</v>
      </c>
      <c r="B66" s="698" t="s">
        <v>356</v>
      </c>
      <c r="C66" s="698" t="s">
        <v>357</v>
      </c>
      <c r="D66" s="135" t="s">
        <v>26</v>
      </c>
      <c r="E66" s="662" t="n">
        <v>41317</v>
      </c>
      <c r="F66" s="687" t="s">
        <v>9</v>
      </c>
    </row>
    <row r="67" customFormat="false" ht="23.25" hidden="false" customHeight="true" outlineLevel="0" collapsed="false">
      <c r="A67" s="592" t="n">
        <v>3048</v>
      </c>
      <c r="B67" s="603" t="s">
        <v>432</v>
      </c>
      <c r="C67" s="603" t="s">
        <v>433</v>
      </c>
      <c r="D67" s="604" t="s">
        <v>26</v>
      </c>
      <c r="E67" s="609" t="n">
        <v>40922</v>
      </c>
      <c r="F67" s="684" t="s">
        <v>34</v>
      </c>
    </row>
    <row r="68" customFormat="false" ht="23.25" hidden="false" customHeight="true" outlineLevel="0" collapsed="false">
      <c r="A68" s="592" t="n">
        <v>3050</v>
      </c>
      <c r="B68" s="709" t="s">
        <v>446</v>
      </c>
      <c r="C68" s="709" t="s">
        <v>448</v>
      </c>
      <c r="D68" s="598" t="s">
        <v>26</v>
      </c>
      <c r="E68" s="628" t="n">
        <v>41013</v>
      </c>
      <c r="F68" s="678" t="s">
        <v>12</v>
      </c>
    </row>
    <row r="69" customFormat="false" ht="23.25" hidden="false" customHeight="true" outlineLevel="0" collapsed="false">
      <c r="A69" s="592" t="n">
        <v>3059</v>
      </c>
      <c r="B69" s="615" t="s">
        <v>535</v>
      </c>
      <c r="C69" s="615" t="s">
        <v>536</v>
      </c>
      <c r="D69" s="135" t="s">
        <v>26</v>
      </c>
      <c r="E69" s="622" t="n">
        <v>41371</v>
      </c>
      <c r="F69" s="693" t="s">
        <v>52</v>
      </c>
    </row>
    <row r="70" customFormat="false" ht="23.25" hidden="false" customHeight="true" outlineLevel="0" collapsed="false">
      <c r="A70" s="592" t="n">
        <v>3095</v>
      </c>
      <c r="B70" s="648" t="s">
        <v>805</v>
      </c>
      <c r="C70" s="648" t="s">
        <v>806</v>
      </c>
      <c r="D70" s="598" t="s">
        <v>26</v>
      </c>
      <c r="E70" s="628" t="n">
        <v>41236</v>
      </c>
      <c r="F70" s="137" t="s">
        <v>52</v>
      </c>
    </row>
    <row r="71" customFormat="false" ht="12.75" hidden="false" customHeight="true" outlineLevel="0" collapsed="false">
      <c r="A71" s="592" t="n">
        <v>3161</v>
      </c>
      <c r="B71" s="723" t="s">
        <v>819</v>
      </c>
      <c r="C71" s="723" t="s">
        <v>821</v>
      </c>
      <c r="D71" s="694" t="s">
        <v>26</v>
      </c>
      <c r="E71" s="724" t="n">
        <v>41115</v>
      </c>
      <c r="F71" s="606" t="s">
        <v>52</v>
      </c>
    </row>
    <row r="72" customFormat="false" ht="23.25" hidden="false" customHeight="true" outlineLevel="0" collapsed="false">
      <c r="A72" s="592" t="n">
        <v>3105</v>
      </c>
      <c r="B72" s="615" t="s">
        <v>899</v>
      </c>
      <c r="C72" s="615" t="s">
        <v>900</v>
      </c>
      <c r="D72" s="135" t="s">
        <v>26</v>
      </c>
      <c r="E72" s="622" t="n">
        <v>41135</v>
      </c>
      <c r="F72" s="693" t="s">
        <v>34</v>
      </c>
    </row>
    <row r="73" customFormat="false" ht="23.25" hidden="false" customHeight="true" outlineLevel="0" collapsed="false">
      <c r="A73" s="592" t="n">
        <v>3107</v>
      </c>
      <c r="B73" s="615" t="s">
        <v>913</v>
      </c>
      <c r="C73" s="615" t="s">
        <v>915</v>
      </c>
      <c r="D73" s="135" t="s">
        <v>26</v>
      </c>
      <c r="E73" s="622" t="n">
        <v>41529</v>
      </c>
      <c r="F73" s="693" t="s">
        <v>34</v>
      </c>
    </row>
    <row r="74" customFormat="false" ht="23.25" hidden="false" customHeight="true" outlineLevel="0" collapsed="false">
      <c r="A74" s="592" t="n">
        <v>3109</v>
      </c>
      <c r="B74" s="615" t="s">
        <v>933</v>
      </c>
      <c r="C74" s="615" t="s">
        <v>934</v>
      </c>
      <c r="D74" s="135" t="s">
        <v>26</v>
      </c>
      <c r="E74" s="622" t="n">
        <v>41316</v>
      </c>
      <c r="F74" s="693" t="s">
        <v>52</v>
      </c>
    </row>
    <row r="75" customFormat="false" ht="12.75" hidden="false" customHeight="true" outlineLevel="0" collapsed="false">
      <c r="A75" s="592" t="n">
        <v>3110</v>
      </c>
      <c r="B75" s="611" t="s">
        <v>940</v>
      </c>
      <c r="C75" s="611" t="s">
        <v>941</v>
      </c>
      <c r="D75" s="694" t="s">
        <v>26</v>
      </c>
      <c r="E75" s="632" t="n">
        <v>2012</v>
      </c>
      <c r="F75" s="606" t="s">
        <v>9</v>
      </c>
    </row>
    <row r="76" customFormat="false" ht="23.25" hidden="false" customHeight="true" outlineLevel="0" collapsed="false">
      <c r="A76" s="592" t="n">
        <v>3112</v>
      </c>
      <c r="B76" s="615" t="s">
        <v>944</v>
      </c>
      <c r="C76" s="615" t="s">
        <v>821</v>
      </c>
      <c r="D76" s="135" t="s">
        <v>26</v>
      </c>
      <c r="E76" s="622" t="n">
        <v>41451</v>
      </c>
      <c r="F76" s="600" t="s">
        <v>52</v>
      </c>
    </row>
    <row r="77" customFormat="false" ht="23.25" hidden="false" customHeight="true" outlineLevel="0" collapsed="false">
      <c r="A77" s="592" t="n">
        <v>3114</v>
      </c>
      <c r="B77" s="608" t="s">
        <v>960</v>
      </c>
      <c r="C77" s="608" t="s">
        <v>961</v>
      </c>
      <c r="D77" s="604" t="s">
        <v>26</v>
      </c>
      <c r="E77" s="609" t="n">
        <v>41575</v>
      </c>
      <c r="F77" s="684" t="s">
        <v>20</v>
      </c>
    </row>
    <row r="78" customFormat="false" ht="12.75" hidden="false" customHeight="true" outlineLevel="0" collapsed="false">
      <c r="A78" s="592" t="n">
        <v>3115</v>
      </c>
      <c r="B78" s="594" t="s">
        <v>979</v>
      </c>
      <c r="C78" s="594" t="s">
        <v>980</v>
      </c>
      <c r="D78" s="135" t="s">
        <v>26</v>
      </c>
      <c r="E78" s="601" t="n">
        <v>2013</v>
      </c>
      <c r="F78" s="137" t="s">
        <v>9</v>
      </c>
    </row>
    <row r="79" customFormat="false" ht="12.75" hidden="false" customHeight="true" outlineLevel="0" collapsed="false">
      <c r="A79" s="592" t="n">
        <v>3120</v>
      </c>
      <c r="B79" s="594" t="s">
        <v>1042</v>
      </c>
      <c r="C79" s="594" t="s">
        <v>69</v>
      </c>
      <c r="D79" s="135" t="s">
        <v>26</v>
      </c>
      <c r="E79" s="601" t="n">
        <v>2013</v>
      </c>
      <c r="F79" s="137" t="s">
        <v>9</v>
      </c>
    </row>
    <row r="80" customFormat="false" ht="12.75" hidden="false" customHeight="true" outlineLevel="0" collapsed="false">
      <c r="A80" s="592" t="n">
        <v>3151</v>
      </c>
      <c r="B80" s="594" t="s">
        <v>1259</v>
      </c>
      <c r="C80" s="594" t="s">
        <v>440</v>
      </c>
      <c r="D80" s="135" t="s">
        <v>26</v>
      </c>
      <c r="E80" s="601" t="n">
        <v>2012</v>
      </c>
      <c r="F80" s="137" t="s">
        <v>9</v>
      </c>
    </row>
    <row r="81" customFormat="false" ht="23.25" hidden="false" customHeight="true" outlineLevel="0" collapsed="false">
      <c r="A81" s="592" t="n">
        <v>3153</v>
      </c>
      <c r="B81" s="615" t="s">
        <v>1279</v>
      </c>
      <c r="C81" s="615" t="s">
        <v>1280</v>
      </c>
      <c r="D81" s="135" t="s">
        <v>26</v>
      </c>
      <c r="E81" s="622" t="n">
        <v>41590</v>
      </c>
      <c r="F81" s="137" t="s">
        <v>17</v>
      </c>
    </row>
    <row r="82" customFormat="false" ht="12.75" hidden="false" customHeight="true" outlineLevel="0" collapsed="false">
      <c r="A82" s="592" t="n">
        <v>3156</v>
      </c>
      <c r="B82" s="245" t="s">
        <v>1303</v>
      </c>
      <c r="C82" s="202" t="s">
        <v>1304</v>
      </c>
      <c r="D82" s="135" t="s">
        <v>26</v>
      </c>
      <c r="E82" s="616" t="n">
        <v>41286</v>
      </c>
      <c r="F82" s="137" t="s">
        <v>29</v>
      </c>
    </row>
    <row r="83" customFormat="false" ht="23.25" hidden="false" customHeight="true" outlineLevel="0" collapsed="false">
      <c r="A83" s="592" t="n">
        <v>4000</v>
      </c>
      <c r="B83" s="645" t="s">
        <v>50</v>
      </c>
      <c r="C83" s="621" t="s">
        <v>51</v>
      </c>
      <c r="D83" s="135" t="s">
        <v>26</v>
      </c>
      <c r="E83" s="682" t="n">
        <v>38929</v>
      </c>
      <c r="F83" s="137" t="s">
        <v>52</v>
      </c>
    </row>
    <row r="84" customFormat="false" ht="23.25" hidden="false" customHeight="true" outlineLevel="0" collapsed="false">
      <c r="A84" s="592" t="n">
        <v>4011</v>
      </c>
      <c r="B84" s="645" t="s">
        <v>196</v>
      </c>
      <c r="C84" s="621" t="s">
        <v>51</v>
      </c>
      <c r="D84" s="135" t="s">
        <v>26</v>
      </c>
      <c r="E84" s="622" t="n">
        <v>40602</v>
      </c>
      <c r="F84" s="137" t="s">
        <v>34</v>
      </c>
    </row>
    <row r="85" customFormat="false" ht="23.25" hidden="false" customHeight="true" outlineLevel="0" collapsed="false">
      <c r="A85" s="592" t="n">
        <v>4021</v>
      </c>
      <c r="B85" s="645" t="s">
        <v>262</v>
      </c>
      <c r="C85" s="621" t="s">
        <v>263</v>
      </c>
      <c r="D85" s="135" t="s">
        <v>26</v>
      </c>
      <c r="E85" s="622" t="n">
        <v>39281</v>
      </c>
      <c r="F85" s="137" t="s">
        <v>17</v>
      </c>
    </row>
    <row r="86" customFormat="false" ht="23.25" hidden="false" customHeight="true" outlineLevel="0" collapsed="false">
      <c r="A86" s="592" t="n">
        <v>4128</v>
      </c>
      <c r="B86" s="645" t="s">
        <v>285</v>
      </c>
      <c r="C86" s="621" t="s">
        <v>286</v>
      </c>
      <c r="D86" s="135" t="s">
        <v>26</v>
      </c>
      <c r="E86" s="622" t="n">
        <v>40888</v>
      </c>
      <c r="F86" s="137" t="s">
        <v>34</v>
      </c>
    </row>
    <row r="87" customFormat="false" ht="23.25" hidden="false" customHeight="true" outlineLevel="0" collapsed="false">
      <c r="A87" s="592" t="n">
        <v>4123</v>
      </c>
      <c r="B87" s="617" t="s">
        <v>650</v>
      </c>
      <c r="C87" s="615" t="s">
        <v>651</v>
      </c>
      <c r="D87" s="135" t="s">
        <v>26</v>
      </c>
      <c r="E87" s="622" t="n">
        <v>40743</v>
      </c>
      <c r="F87" s="137" t="s">
        <v>52</v>
      </c>
    </row>
    <row r="88" customFormat="false" ht="12.75" hidden="false" customHeight="true" outlineLevel="0" collapsed="false">
      <c r="A88" s="592" t="n">
        <v>4083</v>
      </c>
      <c r="B88" s="593" t="s">
        <v>874</v>
      </c>
      <c r="C88" s="594" t="s">
        <v>876</v>
      </c>
      <c r="D88" s="135" t="s">
        <v>26</v>
      </c>
      <c r="E88" s="601" t="n">
        <v>2011</v>
      </c>
      <c r="F88" s="137" t="s">
        <v>9</v>
      </c>
    </row>
    <row r="89" customFormat="false" ht="12.75" hidden="false" customHeight="true" outlineLevel="0" collapsed="false">
      <c r="A89" s="592" t="n">
        <v>4107</v>
      </c>
      <c r="B89" s="593" t="s">
        <v>1068</v>
      </c>
      <c r="C89" s="594" t="s">
        <v>1067</v>
      </c>
      <c r="D89" s="135" t="s">
        <v>26</v>
      </c>
      <c r="E89" s="595" t="n">
        <v>39279</v>
      </c>
      <c r="F89" s="137" t="s">
        <v>9</v>
      </c>
    </row>
    <row r="90" customFormat="false" ht="23.25" hidden="false" customHeight="true" outlineLevel="0" collapsed="false">
      <c r="A90" s="592" t="n">
        <v>4127</v>
      </c>
      <c r="B90" s="645" t="s">
        <v>1237</v>
      </c>
      <c r="C90" s="621" t="s">
        <v>915</v>
      </c>
      <c r="D90" s="135" t="s">
        <v>26</v>
      </c>
      <c r="E90" s="718" t="n">
        <v>40185</v>
      </c>
      <c r="F90" s="137" t="s">
        <v>17</v>
      </c>
    </row>
    <row r="91" customFormat="false" ht="23.25" hidden="false" customHeight="true" outlineLevel="0" collapsed="false">
      <c r="A91" s="592" t="n">
        <v>4129</v>
      </c>
      <c r="B91" s="645" t="s">
        <v>1269</v>
      </c>
      <c r="C91" s="621" t="s">
        <v>1270</v>
      </c>
      <c r="D91" s="135" t="s">
        <v>26</v>
      </c>
      <c r="E91" s="718" t="n">
        <v>40658</v>
      </c>
      <c r="F91" s="600" t="s">
        <v>20</v>
      </c>
    </row>
    <row r="92" customFormat="false" ht="12.75" hidden="false" customHeight="true" outlineLevel="0" collapsed="false">
      <c r="A92" s="592" t="n">
        <v>4133</v>
      </c>
      <c r="B92" s="624" t="s">
        <v>1281</v>
      </c>
      <c r="C92" s="625" t="s">
        <v>1038</v>
      </c>
      <c r="D92" s="135" t="s">
        <v>26</v>
      </c>
      <c r="E92" s="137" t="n">
        <v>2010</v>
      </c>
      <c r="F92" s="137" t="s">
        <v>9</v>
      </c>
    </row>
    <row r="93" customFormat="false" ht="23.25" hidden="false" customHeight="true" outlineLevel="0" collapsed="false">
      <c r="A93" s="592" t="n">
        <v>4136</v>
      </c>
      <c r="B93" s="645" t="s">
        <v>1299</v>
      </c>
      <c r="C93" s="621" t="s">
        <v>1300</v>
      </c>
      <c r="D93" s="135" t="s">
        <v>26</v>
      </c>
      <c r="E93" s="721" t="n">
        <v>40216</v>
      </c>
      <c r="F93" s="137" t="s">
        <v>34</v>
      </c>
    </row>
  </sheetData>
  <conditionalFormatting sqref="D88:D93">
    <cfRule type="cellIs" priority="2" operator="equal" aboveAverage="0" equalAverage="0" bottom="0" percent="0" rank="0" text="" dxfId="19">
      <formula>"F"</formula>
    </cfRule>
    <cfRule type="expression" priority="3" aboveAverage="0" equalAverage="0" bottom="0" percent="0" rank="0" text="" dxfId="18">
      <formula>#ref!=$E$5</formula>
    </cfRule>
  </conditionalFormatting>
  <conditionalFormatting sqref="D87:D93">
    <cfRule type="expression" priority="4" aboveAverage="0" equalAverage="0" bottom="0" percent="0" rank="0" text="" dxfId="18">
      <formula>$F87=$E$5</formula>
    </cfRule>
  </conditionalFormatting>
  <conditionalFormatting sqref="D83:D86">
    <cfRule type="cellIs" priority="5" operator="equal" aboveAverage="0" equalAverage="0" bottom="0" percent="0" rank="0" text="" dxfId="19">
      <formula>"F"</formula>
    </cfRule>
    <cfRule type="expression" priority="6" aboveAverage="0" equalAverage="0" bottom="0" percent="0" rank="0" text="" dxfId="18">
      <formula>$F83=$E$5</formula>
    </cfRule>
  </conditionalFormatting>
  <conditionalFormatting sqref="D85:D86">
    <cfRule type="expression" priority="7" aboveAverage="0" equalAverage="0" bottom="0" percent="0" rank="0" text="" dxfId="18">
      <formula>#ref!=$E$5</formula>
    </cfRule>
  </conditionalFormatting>
  <conditionalFormatting sqref="D84">
    <cfRule type="expression" priority="8" aboveAverage="0" equalAverage="0" bottom="0" percent="0" rank="0" text="" dxfId="18">
      <formula>#ref!=$E$5</formula>
    </cfRule>
  </conditionalFormatting>
  <conditionalFormatting sqref="A83:A93">
    <cfRule type="duplicateValues" priority="9" aboveAverage="0" equalAverage="0" bottom="0" percent="0" rank="0" text="" dxfId="16"/>
  </conditionalFormatting>
  <conditionalFormatting sqref="B83:B93">
    <cfRule type="duplicateValues" priority="10" aboveAverage="0" equalAverage="0" bottom="0" percent="0" rank="0" text="" dxfId="16"/>
    <cfRule type="duplicateValues" priority="11" aboveAverage="0" equalAverage="0" bottom="0" percent="0" rank="0" text="" dxfId="16"/>
  </conditionalFormatting>
  <conditionalFormatting sqref="D83">
    <cfRule type="expression" priority="12" aboveAverage="0" equalAverage="0" bottom="0" percent="0" rank="0" text="" dxfId="18">
      <formula>#ref!=$E$5</formula>
    </cfRule>
  </conditionalFormatting>
  <conditionalFormatting sqref="B83:B90 B92:B93">
    <cfRule type="duplicateValues" priority="13" aboveAverage="0" equalAverage="0" bottom="0" percent="0" rank="0" text="" dxfId="17"/>
  </conditionalFormatting>
  <conditionalFormatting sqref="F67:F83 F86:F93">
    <cfRule type="expression" priority="14" aboveAverage="0" equalAverage="0" bottom="0" percent="0" rank="0" text="" dxfId="18">
      <formula>$F67=$E$5</formula>
    </cfRule>
  </conditionalFormatting>
  <conditionalFormatting sqref="B83:C83 E83">
    <cfRule type="expression" priority="15" aboveAverage="0" equalAverage="0" bottom="0" percent="0" rank="0" text="" dxfId="18">
      <formula>$F83=$E$5</formula>
    </cfRule>
  </conditionalFormatting>
  <conditionalFormatting sqref="D71">
    <cfRule type="expression" priority="16" aboveAverage="0" equalAverage="0" bottom="0" percent="0" rank="0" text="" dxfId="18">
      <formula>$F71=$E$5</formula>
    </cfRule>
    <cfRule type="expression" priority="17" aboveAverage="0" equalAverage="0" bottom="0" percent="0" rank="0" text="" dxfId="18">
      <formula>#ref!=$E$5</formula>
    </cfRule>
  </conditionalFormatting>
  <conditionalFormatting sqref="D71:D82">
    <cfRule type="cellIs" priority="18" operator="equal" aboveAverage="0" equalAverage="0" bottom="0" percent="0" rank="0" text="" dxfId="19">
      <formula>"F"</formula>
    </cfRule>
  </conditionalFormatting>
  <conditionalFormatting sqref="D66 F66">
    <cfRule type="expression" priority="19" aboveAverage="0" equalAverage="0" bottom="0" percent="0" rank="0" text="" dxfId="18">
      <formula>$F66=$E$5</formula>
    </cfRule>
  </conditionalFormatting>
  <conditionalFormatting sqref="D2:D70">
    <cfRule type="cellIs" priority="20" operator="equal" aboveAverage="0" equalAverage="0" bottom="0" percent="0" rank="0" text="" dxfId="19">
      <formula>"F"</formula>
    </cfRule>
  </conditionalFormatting>
  <conditionalFormatting sqref="D66">
    <cfRule type="expression" priority="21" aboveAverage="0" equalAverage="0" bottom="0" percent="0" rank="0" text="" dxfId="18">
      <formula>#ref!=$E$5</formula>
    </cfRule>
  </conditionalFormatting>
  <conditionalFormatting sqref="A58:A82">
    <cfRule type="duplicateValues" priority="22" aboveAverage="0" equalAverage="0" bottom="0" percent="0" rank="0" text="" dxfId="16"/>
    <cfRule type="duplicateValues" priority="23" aboveAverage="0" equalAverage="0" bottom="0" percent="0" rank="0" text="" dxfId="16"/>
  </conditionalFormatting>
  <conditionalFormatting sqref="B58:B82">
    <cfRule type="duplicateValues" priority="24" aboveAverage="0" equalAverage="0" bottom="0" percent="0" rank="0" text="" dxfId="16"/>
  </conditionalFormatting>
  <conditionalFormatting sqref="B58:B65 B67:B70 B72:B82">
    <cfRule type="duplicateValues" priority="25" aboveAverage="0" equalAverage="0" bottom="0" percent="0" rank="0" text="" dxfId="17"/>
  </conditionalFormatting>
  <conditionalFormatting sqref="D2:D65 D67:D70 D72:D82">
    <cfRule type="expression" priority="26" aboveAverage="0" equalAverage="0" bottom="0" percent="0" rank="0" text="" dxfId="18">
      <formula>#ref!=$E$5</formula>
    </cfRule>
  </conditionalFormatting>
  <conditionalFormatting sqref="D2:D65 D67:D70 D72:D82 F2:F65">
    <cfRule type="expression" priority="27" aboveAverage="0" equalAverage="0" bottom="0" percent="0" rank="0" text="" dxfId="18">
      <formula>$F2=$E$5</formula>
    </cfRule>
  </conditionalFormatting>
  <conditionalFormatting sqref="B58:B65 B67:B70 B72:B79">
    <cfRule type="duplicateValues" priority="28" aboveAverage="0" equalAverage="0" bottom="0" percent="0" rank="0" text="" dxfId="21"/>
  </conditionalFormatting>
  <conditionalFormatting sqref="A33:A57">
    <cfRule type="duplicateValues" priority="29" aboveAverage="0" equalAverage="0" bottom="0" percent="0" rank="0" text="" dxfId="16"/>
  </conditionalFormatting>
  <conditionalFormatting sqref="B33:B57">
    <cfRule type="duplicateValues" priority="30" aboveAverage="0" equalAverage="0" bottom="0" percent="0" rank="0" text="" dxfId="16"/>
    <cfRule type="duplicateValues" priority="31" aboveAverage="0" equalAverage="0" bottom="0" percent="0" rank="0" text="" dxfId="17"/>
  </conditionalFormatting>
  <conditionalFormatting sqref="B31:C32">
    <cfRule type="expression" priority="32" aboveAverage="0" equalAverage="0" bottom="0" percent="0" rank="0" text="" dxfId="18">
      <formula>#ref!=$E$5</formula>
    </cfRule>
  </conditionalFormatting>
  <conditionalFormatting sqref="B4:B29">
    <cfRule type="duplicateValues" priority="33" aboveAverage="0" equalAverage="0" bottom="0" percent="0" rank="0" text="" dxfId="21"/>
  </conditionalFormatting>
  <conditionalFormatting sqref="A2:A32">
    <cfRule type="duplicateValues" priority="34" aboveAverage="0" equalAverage="0" bottom="0" percent="0" rank="0" text="" dxfId="16"/>
  </conditionalFormatting>
  <conditionalFormatting sqref="B2:B32">
    <cfRule type="duplicateValues" priority="35" aboveAverage="0" equalAverage="0" bottom="0" percent="0" rank="0" text="" dxfId="16"/>
    <cfRule type="duplicateValues" priority="36" aboveAverage="0" equalAverage="0" bottom="0" percent="0" rank="0" text="" dxfId="17"/>
  </conditionalFormatting>
  <conditionalFormatting sqref="B31:C32 E31:E32">
    <cfRule type="expression" priority="37" aboveAverage="0" equalAverage="0" bottom="0" percent="0" rank="0" text="" dxfId="18">
      <formula>$F31=$E$5</formula>
    </cfRule>
  </conditionalFormatting>
  <dataValidations count="9">
    <dataValidation allowBlank="true" errorStyle="stop" operator="between" showDropDown="false" showErrorMessage="true" showInputMessage="true" sqref="D2:D34 D37 C39 D44:D45 D48 D51 D53 D58:D65 D67:D70 D72:D77 D79:D82 D87:D93" type="list">
      <formula1>"F,M"</formula1>
      <formula2>0</formula2>
    </dataValidation>
    <dataValidation allowBlank="false" errorStyle="stop" operator="between" showDropDown="false" showErrorMessage="true" showInputMessage="true" sqref="F2 F36 F39 F43 F68 F70 F78:F79" type="list">
      <formula1>"API,ASM,ASV,BUC,CAO,CC2,COS,COU,USBY,USP,VAU"</formula1>
      <formula2>0</formula2>
    </dataValidation>
    <dataValidation allowBlank="true" errorStyle="stop" operator="between" showDropDown="false" showErrorMessage="true" showInputMessage="false" sqref="D35:D36 D39:D43 D47 D49 D55 D57 D66 D71 D83:D86" type="list">
      <formula1>"F,M"</formula1>
      <formula2>0</formula2>
    </dataValidation>
    <dataValidation allowBlank="true" errorStyle="stop" operator="between" showDropDown="false" showErrorMessage="true" showInputMessage="false" sqref="F41 F66 F80:F81" type="list">
      <formula1>"API,ASM,ASV,TTJ-BUC,CAO,CC2,COS,COU,JOUY,USBY,USP,VAU"</formula1>
      <formula2>0</formula2>
    </dataValidation>
    <dataValidation allowBlank="false" errorStyle="stop" operator="between" showDropDown="false" showErrorMessage="true" showInputMessage="true" sqref="F3:F8 F10:F35 F37:F38 F40 F42 F44:F57 F59:F63 F67 F71 F75" type="list">
      <formula1>#ref!</formula1>
      <formula2>0</formula2>
    </dataValidation>
    <dataValidation allowBlank="true" errorStyle="stop" operator="between" showDropDown="false" showErrorMessage="true" showInputMessage="true" sqref="F9" type="list">
      <formula1>#ref!</formula1>
      <formula2>0</formula2>
    </dataValidation>
    <dataValidation allowBlank="false" errorStyle="stop" operator="between" showDropDown="false" showErrorMessage="true" showInputMessage="true" sqref="F58 F64:F65 F69 F72:F74 F77 F82:F83 F86:F90 F92:F93" type="list">
      <formula1>#ref!</formula1>
      <formula2>0</formula2>
    </dataValidation>
    <dataValidation allowBlank="true" errorStyle="stop" operator="between" showDropDown="false" showErrorMessage="true" showInputMessage="false" sqref="F76 F91" type="list">
      <formula1>#ref!</formula1>
      <formula2>0</formula2>
    </dataValidation>
    <dataValidation allowBlank="true" errorStyle="stop" operator="between" showDropDown="false" showErrorMessage="true" showInputMessage="true" sqref="F84:F85" type="list">
      <formula1>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96" activeCellId="0" sqref="H9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8" min="8" style="2" width="11.12"/>
  </cols>
  <sheetData>
    <row r="1" customFormat="false" ht="17.25" hidden="false" customHeight="true" outlineLevel="0" collapsed="false">
      <c r="A1" s="725" t="str">
        <f aca="false">Poussins!B1</f>
        <v>TOURNOI DE LA VALLEE DE CHEVREUSE 2025-2026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2"/>
      <c r="N1" s="2"/>
      <c r="O1" s="2"/>
      <c r="P1" s="1"/>
      <c r="Q1" s="306"/>
      <c r="R1" s="306"/>
      <c r="S1" s="2"/>
      <c r="T1" s="1"/>
      <c r="U1" s="2"/>
    </row>
    <row r="2" customFormat="false" ht="19.5" hidden="false" customHeight="true" outlineLevel="0" collapsed="false">
      <c r="A2" s="726" t="s">
        <v>1476</v>
      </c>
      <c r="B2" s="727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1"/>
      <c r="Q2" s="306"/>
      <c r="R2" s="306"/>
      <c r="S2" s="396"/>
      <c r="T2" s="1"/>
      <c r="U2" s="396"/>
    </row>
    <row r="3" customFormat="false" ht="12.75" hidden="false" customHeight="true" outlineLevel="0" collapsed="false">
      <c r="A3" s="2"/>
      <c r="B3" s="2"/>
      <c r="C3" s="294" t="s">
        <v>1477</v>
      </c>
      <c r="D3" s="2"/>
      <c r="E3" s="2"/>
      <c r="F3" s="2"/>
      <c r="G3" s="2"/>
      <c r="I3" s="2"/>
      <c r="J3" s="294" t="s">
        <v>1478</v>
      </c>
      <c r="K3" s="2"/>
      <c r="L3" s="2"/>
      <c r="M3" s="2"/>
      <c r="N3" s="2"/>
      <c r="O3" s="2"/>
      <c r="P3" s="315" t="s">
        <v>1479</v>
      </c>
      <c r="Q3" s="306"/>
      <c r="R3" s="306"/>
      <c r="S3" s="2"/>
      <c r="T3" s="1"/>
      <c r="U3" s="2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  <c r="I4" s="2"/>
      <c r="J4" s="2"/>
      <c r="K4" s="2"/>
      <c r="L4" s="2"/>
      <c r="M4" s="2"/>
      <c r="N4" s="2"/>
      <c r="O4" s="2"/>
      <c r="P4" s="1"/>
      <c r="Q4" s="306"/>
      <c r="R4" s="306"/>
      <c r="S4" s="2"/>
      <c r="T4" s="1"/>
      <c r="U4" s="2"/>
    </row>
    <row r="5" customFormat="false" ht="12.75" hidden="false" customHeight="true" outlineLevel="0" collapsed="false">
      <c r="A5" s="294" t="s">
        <v>1349</v>
      </c>
      <c r="B5" s="294" t="s">
        <v>1480</v>
      </c>
      <c r="C5" s="294"/>
      <c r="D5" s="294"/>
      <c r="E5" s="294"/>
      <c r="F5" s="294"/>
      <c r="G5" s="2"/>
      <c r="H5" s="294" t="s">
        <v>1349</v>
      </c>
      <c r="I5" s="294" t="s">
        <v>1480</v>
      </c>
      <c r="J5" s="294"/>
      <c r="K5" s="294"/>
      <c r="L5" s="294"/>
      <c r="M5" s="294"/>
      <c r="N5" s="2"/>
      <c r="O5" s="2"/>
      <c r="P5" s="294" t="s">
        <v>1349</v>
      </c>
      <c r="Q5" s="294" t="s">
        <v>1480</v>
      </c>
      <c r="R5" s="294"/>
      <c r="S5" s="294"/>
      <c r="T5" s="294"/>
      <c r="U5" s="294"/>
    </row>
    <row r="6" customFormat="false" ht="12.75" hidden="false" customHeight="true" outlineLevel="0" collapsed="false">
      <c r="A6" s="728" t="s">
        <v>5</v>
      </c>
      <c r="B6" s="729" t="s">
        <v>1338</v>
      </c>
      <c r="C6" s="729" t="s">
        <v>1340</v>
      </c>
      <c r="D6" s="729" t="s">
        <v>1342</v>
      </c>
      <c r="E6" s="729" t="s">
        <v>1344</v>
      </c>
      <c r="F6" s="730" t="s">
        <v>1481</v>
      </c>
      <c r="G6" s="2"/>
      <c r="H6" s="728" t="s">
        <v>5</v>
      </c>
      <c r="I6" s="729" t="s">
        <v>1338</v>
      </c>
      <c r="J6" s="729" t="s">
        <v>1340</v>
      </c>
      <c r="K6" s="729" t="s">
        <v>1342</v>
      </c>
      <c r="L6" s="729" t="s">
        <v>1344</v>
      </c>
      <c r="M6" s="331" t="s">
        <v>1481</v>
      </c>
      <c r="N6" s="2"/>
      <c r="O6" s="728" t="s">
        <v>5</v>
      </c>
      <c r="P6" s="729" t="s">
        <v>1338</v>
      </c>
      <c r="Q6" s="729" t="s">
        <v>1340</v>
      </c>
      <c r="R6" s="729" t="s">
        <v>1342</v>
      </c>
      <c r="S6" s="729" t="s">
        <v>1344</v>
      </c>
      <c r="T6" s="331" t="s">
        <v>1481</v>
      </c>
      <c r="U6" s="731"/>
      <c r="V6" s="731"/>
      <c r="W6" s="731"/>
      <c r="X6" s="731"/>
    </row>
    <row r="7" customFormat="false" ht="12.75" hidden="false" customHeight="true" outlineLevel="0" collapsed="false">
      <c r="A7" s="732" t="s">
        <v>34</v>
      </c>
      <c r="B7" s="733" t="n">
        <v>160</v>
      </c>
      <c r="C7" s="534"/>
      <c r="D7" s="534"/>
      <c r="E7" s="534"/>
      <c r="F7" s="734"/>
      <c r="G7" s="2"/>
      <c r="H7" s="732" t="s">
        <v>34</v>
      </c>
      <c r="I7" s="733" t="n">
        <v>49</v>
      </c>
      <c r="J7" s="534"/>
      <c r="K7" s="534"/>
      <c r="L7" s="534"/>
      <c r="M7" s="734"/>
      <c r="N7" s="2"/>
      <c r="O7" s="732" t="s">
        <v>34</v>
      </c>
      <c r="P7" s="733" t="n">
        <v>46</v>
      </c>
      <c r="Q7" s="534"/>
      <c r="R7" s="534"/>
      <c r="S7" s="534"/>
      <c r="T7" s="734"/>
      <c r="U7" s="1"/>
    </row>
    <row r="8" customFormat="false" ht="12.75" hidden="false" customHeight="true" outlineLevel="0" collapsed="false">
      <c r="A8" s="735" t="s">
        <v>119</v>
      </c>
      <c r="B8" s="539"/>
      <c r="C8" s="1"/>
      <c r="D8" s="1"/>
      <c r="E8" s="1"/>
      <c r="F8" s="736"/>
      <c r="G8" s="2"/>
      <c r="H8" s="735" t="s">
        <v>119</v>
      </c>
      <c r="I8" s="539"/>
      <c r="J8" s="1"/>
      <c r="K8" s="1"/>
      <c r="L8" s="1"/>
      <c r="M8" s="736"/>
      <c r="N8" s="2"/>
      <c r="O8" s="735" t="s">
        <v>119</v>
      </c>
      <c r="P8" s="539"/>
      <c r="Q8" s="1"/>
      <c r="R8" s="1"/>
      <c r="S8" s="1"/>
      <c r="T8" s="736"/>
      <c r="U8" s="1"/>
    </row>
    <row r="9" customFormat="false" ht="12.75" hidden="false" customHeight="true" outlineLevel="0" collapsed="false">
      <c r="A9" s="735" t="s">
        <v>143</v>
      </c>
      <c r="B9" s="539" t="n">
        <v>29</v>
      </c>
      <c r="C9" s="1"/>
      <c r="D9" s="1"/>
      <c r="E9" s="1"/>
      <c r="F9" s="736"/>
      <c r="G9" s="2"/>
      <c r="H9" s="735" t="s">
        <v>143</v>
      </c>
      <c r="I9" s="539" t="n">
        <v>14</v>
      </c>
      <c r="J9" s="1"/>
      <c r="K9" s="1"/>
      <c r="L9" s="1"/>
      <c r="M9" s="736"/>
      <c r="N9" s="2"/>
      <c r="O9" s="735" t="s">
        <v>143</v>
      </c>
      <c r="P9" s="539" t="n">
        <v>16</v>
      </c>
      <c r="Q9" s="1"/>
      <c r="R9" s="1"/>
      <c r="S9" s="1"/>
      <c r="T9" s="736"/>
      <c r="U9" s="1"/>
    </row>
    <row r="10" customFormat="false" ht="12.75" hidden="false" customHeight="true" outlineLevel="0" collapsed="false">
      <c r="A10" s="735" t="s">
        <v>17</v>
      </c>
      <c r="B10" s="539" t="n">
        <v>22</v>
      </c>
      <c r="C10" s="1"/>
      <c r="D10" s="1"/>
      <c r="E10" s="1"/>
      <c r="F10" s="736"/>
      <c r="G10" s="2"/>
      <c r="H10" s="735" t="s">
        <v>17</v>
      </c>
      <c r="I10" s="539" t="n">
        <v>27</v>
      </c>
      <c r="J10" s="1"/>
      <c r="K10" s="1"/>
      <c r="L10" s="1"/>
      <c r="M10" s="736"/>
      <c r="N10" s="2"/>
      <c r="O10" s="735" t="s">
        <v>17</v>
      </c>
      <c r="P10" s="539"/>
      <c r="Q10" s="1"/>
      <c r="R10" s="1"/>
      <c r="S10" s="1"/>
      <c r="T10" s="736"/>
      <c r="U10" s="1"/>
    </row>
    <row r="11" customFormat="false" ht="12.75" hidden="false" customHeight="true" outlineLevel="0" collapsed="false">
      <c r="A11" s="735" t="s">
        <v>12</v>
      </c>
      <c r="B11" s="539" t="n">
        <v>24</v>
      </c>
      <c r="C11" s="1"/>
      <c r="D11" s="1"/>
      <c r="E11" s="1"/>
      <c r="F11" s="736"/>
      <c r="G11" s="2"/>
      <c r="H11" s="735" t="s">
        <v>12</v>
      </c>
      <c r="I11" s="539" t="n">
        <v>43</v>
      </c>
      <c r="J11" s="1"/>
      <c r="K11" s="1"/>
      <c r="L11" s="1"/>
      <c r="M11" s="736"/>
      <c r="N11" s="2"/>
      <c r="O11" s="735" t="s">
        <v>12</v>
      </c>
      <c r="P11" s="539" t="n">
        <v>9</v>
      </c>
      <c r="Q11" s="1"/>
      <c r="R11" s="1"/>
      <c r="S11" s="1"/>
      <c r="T11" s="736"/>
      <c r="U11" s="1"/>
    </row>
    <row r="12" customFormat="false" ht="12.75" hidden="false" customHeight="true" outlineLevel="0" collapsed="false">
      <c r="A12" s="735" t="s">
        <v>52</v>
      </c>
      <c r="B12" s="539" t="n">
        <v>68</v>
      </c>
      <c r="C12" s="1"/>
      <c r="D12" s="1"/>
      <c r="E12" s="1"/>
      <c r="F12" s="736"/>
      <c r="G12" s="2"/>
      <c r="H12" s="735" t="s">
        <v>52</v>
      </c>
      <c r="I12" s="539" t="n">
        <v>72</v>
      </c>
      <c r="J12" s="1"/>
      <c r="K12" s="1"/>
      <c r="L12" s="1"/>
      <c r="M12" s="736"/>
      <c r="N12" s="2"/>
      <c r="O12" s="735" t="s">
        <v>52</v>
      </c>
      <c r="P12" s="539" t="n">
        <v>3</v>
      </c>
      <c r="Q12" s="1"/>
      <c r="R12" s="1"/>
      <c r="S12" s="1"/>
      <c r="T12" s="736"/>
      <c r="U12" s="1"/>
    </row>
    <row r="13" customFormat="false" ht="12.75" hidden="false" customHeight="true" outlineLevel="0" collapsed="false">
      <c r="A13" s="735" t="s">
        <v>197</v>
      </c>
      <c r="B13" s="539" t="n">
        <v>8</v>
      </c>
      <c r="C13" s="1"/>
      <c r="D13" s="1"/>
      <c r="E13" s="1"/>
      <c r="F13" s="736"/>
      <c r="G13" s="2"/>
      <c r="H13" s="735" t="s">
        <v>197</v>
      </c>
      <c r="I13" s="539" t="n">
        <v>1</v>
      </c>
      <c r="J13" s="1"/>
      <c r="K13" s="1"/>
      <c r="L13" s="1"/>
      <c r="M13" s="736"/>
      <c r="N13" s="2"/>
      <c r="O13" s="735" t="s">
        <v>197</v>
      </c>
      <c r="P13" s="539" t="n">
        <v>1</v>
      </c>
      <c r="Q13" s="1"/>
      <c r="R13" s="1"/>
      <c r="S13" s="1"/>
      <c r="T13" s="736"/>
      <c r="U13" s="1"/>
    </row>
    <row r="14" customFormat="false" ht="12.75" hidden="false" customHeight="true" outlineLevel="0" collapsed="false">
      <c r="A14" s="735" t="s">
        <v>20</v>
      </c>
      <c r="B14" s="539" t="n">
        <v>35</v>
      </c>
      <c r="C14" s="1"/>
      <c r="D14" s="1"/>
      <c r="E14" s="1"/>
      <c r="F14" s="736"/>
      <c r="G14" s="2"/>
      <c r="H14" s="735" t="s">
        <v>20</v>
      </c>
      <c r="I14" s="539" t="n">
        <v>1</v>
      </c>
      <c r="J14" s="1"/>
      <c r="K14" s="1"/>
      <c r="L14" s="1"/>
      <c r="M14" s="736"/>
      <c r="N14" s="2"/>
      <c r="O14" s="735" t="s">
        <v>20</v>
      </c>
      <c r="P14" s="539" t="n">
        <v>17</v>
      </c>
      <c r="Q14" s="1"/>
      <c r="R14" s="1"/>
      <c r="S14" s="1"/>
      <c r="T14" s="736"/>
      <c r="U14" s="1"/>
    </row>
    <row r="15" customFormat="false" ht="12.75" hidden="false" customHeight="true" outlineLevel="0" collapsed="false">
      <c r="A15" s="735" t="s">
        <v>29</v>
      </c>
      <c r="B15" s="539" t="n">
        <v>26</v>
      </c>
      <c r="C15" s="1"/>
      <c r="D15" s="1"/>
      <c r="E15" s="1"/>
      <c r="F15" s="736"/>
      <c r="G15" s="2"/>
      <c r="H15" s="735" t="s">
        <v>29</v>
      </c>
      <c r="I15" s="539" t="n">
        <v>31</v>
      </c>
      <c r="J15" s="1"/>
      <c r="K15" s="1"/>
      <c r="L15" s="1"/>
      <c r="M15" s="736"/>
      <c r="N15" s="2"/>
      <c r="O15" s="735" t="s">
        <v>29</v>
      </c>
      <c r="P15" s="539" t="n">
        <v>25</v>
      </c>
      <c r="Q15" s="1"/>
      <c r="R15" s="1"/>
      <c r="S15" s="1"/>
      <c r="T15" s="736"/>
      <c r="U15" s="1"/>
    </row>
    <row r="16" customFormat="false" ht="12.75" hidden="false" customHeight="true" outlineLevel="0" collapsed="false">
      <c r="A16" s="735" t="s">
        <v>129</v>
      </c>
      <c r="B16" s="539" t="n">
        <v>73</v>
      </c>
      <c r="C16" s="1"/>
      <c r="D16" s="1"/>
      <c r="E16" s="1"/>
      <c r="F16" s="736"/>
      <c r="G16" s="2"/>
      <c r="H16" s="735" t="s">
        <v>129</v>
      </c>
      <c r="I16" s="539" t="n">
        <v>28</v>
      </c>
      <c r="J16" s="1"/>
      <c r="K16" s="1"/>
      <c r="L16" s="1"/>
      <c r="M16" s="736"/>
      <c r="N16" s="2"/>
      <c r="O16" s="735" t="s">
        <v>129</v>
      </c>
      <c r="P16" s="539" t="n">
        <v>5</v>
      </c>
      <c r="Q16" s="1"/>
      <c r="R16" s="1"/>
      <c r="S16" s="1"/>
      <c r="T16" s="736"/>
      <c r="U16" s="1"/>
    </row>
    <row r="17" customFormat="false" ht="12.75" hidden="false" customHeight="true" outlineLevel="0" collapsed="false">
      <c r="A17" s="737" t="s">
        <v>9</v>
      </c>
      <c r="B17" s="738" t="n">
        <v>77</v>
      </c>
      <c r="C17" s="479"/>
      <c r="D17" s="479"/>
      <c r="E17" s="479"/>
      <c r="F17" s="739"/>
      <c r="G17" s="2"/>
      <c r="H17" s="737" t="s">
        <v>9</v>
      </c>
      <c r="I17" s="738" t="n">
        <v>35</v>
      </c>
      <c r="J17" s="479"/>
      <c r="K17" s="479"/>
      <c r="L17" s="479"/>
      <c r="M17" s="739"/>
      <c r="N17" s="2"/>
      <c r="O17" s="737" t="s">
        <v>9</v>
      </c>
      <c r="P17" s="738" t="n">
        <v>20</v>
      </c>
      <c r="Q17" s="479"/>
      <c r="R17" s="479"/>
      <c r="S17" s="479"/>
      <c r="T17" s="739"/>
      <c r="U17" s="1"/>
    </row>
    <row r="18" customFormat="false" ht="12.75" hidden="false" customHeight="true" outlineLevel="0" collapsed="false">
      <c r="A18" s="740" t="s">
        <v>1481</v>
      </c>
      <c r="B18" s="741"/>
      <c r="C18" s="742"/>
      <c r="D18" s="742"/>
      <c r="E18" s="742"/>
      <c r="F18" s="743"/>
      <c r="G18" s="2"/>
      <c r="H18" s="740" t="s">
        <v>1481</v>
      </c>
      <c r="I18" s="741"/>
      <c r="J18" s="742"/>
      <c r="K18" s="742"/>
      <c r="L18" s="742"/>
      <c r="M18" s="743"/>
      <c r="N18" s="2"/>
      <c r="O18" s="740" t="s">
        <v>1481</v>
      </c>
      <c r="P18" s="741"/>
      <c r="Q18" s="742"/>
      <c r="R18" s="742"/>
      <c r="S18" s="742"/>
      <c r="T18" s="743"/>
      <c r="U18" s="744"/>
    </row>
    <row r="19" customFormat="false" ht="12.75" hidden="false" customHeight="true" outlineLevel="0" collapsed="false">
      <c r="A19" s="2"/>
      <c r="B19" s="2"/>
      <c r="C19" s="2"/>
      <c r="D19" s="2"/>
      <c r="E19" s="2"/>
      <c r="F19" s="2"/>
      <c r="G19" s="2"/>
      <c r="I19" s="2"/>
      <c r="J19" s="2"/>
      <c r="K19" s="2"/>
      <c r="L19" s="2"/>
      <c r="M19" s="2"/>
      <c r="N19" s="2"/>
      <c r="O19" s="2"/>
      <c r="P19" s="1"/>
      <c r="Q19" s="306"/>
      <c r="R19" s="306"/>
      <c r="S19" s="2"/>
      <c r="T19" s="1"/>
      <c r="U19" s="2"/>
    </row>
    <row r="20" customFormat="false" ht="12.75" hidden="false" customHeight="true" outlineLevel="0" collapsed="false">
      <c r="A20" s="745"/>
      <c r="B20" s="744"/>
      <c r="C20" s="744"/>
      <c r="D20" s="744"/>
      <c r="E20" s="744"/>
      <c r="F20" s="744"/>
      <c r="G20" s="2"/>
      <c r="H20" s="745"/>
      <c r="I20" s="744"/>
      <c r="J20" s="744"/>
      <c r="K20" s="744"/>
      <c r="L20" s="744"/>
      <c r="M20" s="744"/>
      <c r="N20" s="2"/>
      <c r="O20" s="147"/>
      <c r="P20" s="1"/>
      <c r="Q20" s="306"/>
      <c r="R20" s="306"/>
      <c r="S20" s="2"/>
      <c r="T20" s="1"/>
      <c r="U20" s="2"/>
    </row>
    <row r="21" customFormat="false" ht="12.75" hidden="false" customHeight="true" outlineLevel="0" collapsed="false">
      <c r="A21" s="2"/>
      <c r="B21" s="2"/>
      <c r="C21" s="294" t="s">
        <v>1482</v>
      </c>
      <c r="D21" s="2"/>
      <c r="E21" s="2"/>
      <c r="F21" s="2"/>
      <c r="G21" s="2"/>
      <c r="I21" s="2"/>
      <c r="J21" s="294" t="s">
        <v>1483</v>
      </c>
      <c r="K21" s="2"/>
      <c r="L21" s="2"/>
      <c r="M21" s="2"/>
      <c r="N21" s="2"/>
      <c r="O21" s="2"/>
      <c r="P21" s="315"/>
      <c r="Q21" s="306"/>
      <c r="R21" s="306"/>
      <c r="S21" s="2"/>
      <c r="T21" s="1"/>
      <c r="U21" s="2"/>
    </row>
    <row r="22" customFormat="false" ht="12.75" hidden="false" customHeight="true" outlineLevel="0" collapsed="false">
      <c r="A22" s="2"/>
      <c r="B22" s="2"/>
      <c r="C22" s="2"/>
      <c r="D22" s="2"/>
      <c r="E22" s="2"/>
      <c r="F22" s="2"/>
      <c r="G22" s="2"/>
      <c r="I22" s="2"/>
      <c r="J22" s="2"/>
      <c r="K22" s="2"/>
      <c r="L22" s="2"/>
      <c r="M22" s="2"/>
      <c r="N22" s="2"/>
      <c r="O22" s="294"/>
      <c r="P22" s="315"/>
      <c r="Q22" s="403"/>
      <c r="R22" s="403"/>
      <c r="S22" s="294"/>
      <c r="T22" s="315"/>
      <c r="U22" s="2"/>
    </row>
    <row r="23" customFormat="false" ht="12.75" hidden="false" customHeight="true" outlineLevel="0" collapsed="false">
      <c r="A23" s="294" t="s">
        <v>1349</v>
      </c>
      <c r="B23" s="294" t="s">
        <v>1480</v>
      </c>
      <c r="C23" s="294"/>
      <c r="D23" s="294"/>
      <c r="E23" s="294"/>
      <c r="F23" s="294"/>
      <c r="G23" s="2"/>
      <c r="H23" s="294" t="s">
        <v>1349</v>
      </c>
      <c r="I23" s="294" t="s">
        <v>1480</v>
      </c>
      <c r="J23" s="294"/>
      <c r="K23" s="294"/>
      <c r="L23" s="294"/>
      <c r="M23" s="294"/>
      <c r="N23" s="2"/>
      <c r="O23" s="2"/>
      <c r="P23" s="1"/>
      <c r="Q23" s="746"/>
      <c r="R23" s="746"/>
      <c r="S23" s="747"/>
      <c r="T23" s="731"/>
      <c r="U23" s="2"/>
    </row>
    <row r="24" customFormat="false" ht="12.75" hidden="false" customHeight="true" outlineLevel="0" collapsed="false">
      <c r="A24" s="748" t="s">
        <v>5</v>
      </c>
      <c r="B24" s="729" t="s">
        <v>1338</v>
      </c>
      <c r="C24" s="729" t="s">
        <v>1340</v>
      </c>
      <c r="D24" s="729" t="s">
        <v>1342</v>
      </c>
      <c r="E24" s="729" t="s">
        <v>1344</v>
      </c>
      <c r="F24" s="730" t="s">
        <v>1481</v>
      </c>
      <c r="G24" s="2"/>
      <c r="H24" s="748" t="s">
        <v>5</v>
      </c>
      <c r="I24" s="749" t="s">
        <v>1338</v>
      </c>
      <c r="J24" s="749" t="s">
        <v>1340</v>
      </c>
      <c r="K24" s="749" t="s">
        <v>1342</v>
      </c>
      <c r="L24" s="749" t="s">
        <v>1344</v>
      </c>
      <c r="M24" s="730" t="s">
        <v>1481</v>
      </c>
      <c r="N24" s="2"/>
      <c r="O24" s="2"/>
      <c r="P24" s="1"/>
      <c r="Q24" s="746"/>
      <c r="R24" s="746"/>
      <c r="S24" s="747"/>
      <c r="T24" s="731"/>
      <c r="U24" s="2"/>
    </row>
    <row r="25" customFormat="false" ht="12.75" hidden="false" customHeight="true" outlineLevel="0" collapsed="false">
      <c r="A25" s="732" t="s">
        <v>34</v>
      </c>
      <c r="B25" s="733" t="n">
        <v>12</v>
      </c>
      <c r="C25" s="534"/>
      <c r="D25" s="534"/>
      <c r="E25" s="534"/>
      <c r="F25" s="734"/>
      <c r="G25" s="2"/>
      <c r="H25" s="732" t="s">
        <v>34</v>
      </c>
      <c r="I25" s="1" t="n">
        <v>28</v>
      </c>
      <c r="J25" s="1"/>
      <c r="K25" s="1"/>
      <c r="L25" s="1"/>
      <c r="M25" s="734"/>
      <c r="N25" s="2"/>
      <c r="O25" s="2"/>
      <c r="P25" s="1"/>
      <c r="Q25" s="746"/>
      <c r="R25" s="746"/>
      <c r="S25" s="747"/>
      <c r="T25" s="731"/>
      <c r="U25" s="2"/>
    </row>
    <row r="26" customFormat="false" ht="12.75" hidden="false" customHeight="true" outlineLevel="0" collapsed="false">
      <c r="A26" s="735" t="s">
        <v>119</v>
      </c>
      <c r="B26" s="539"/>
      <c r="C26" s="1"/>
      <c r="D26" s="1"/>
      <c r="E26" s="1"/>
      <c r="F26" s="736"/>
      <c r="G26" s="2"/>
      <c r="H26" s="735" t="s">
        <v>119</v>
      </c>
      <c r="I26" s="1" t="n">
        <v>18</v>
      </c>
      <c r="J26" s="1"/>
      <c r="K26" s="1"/>
      <c r="L26" s="1"/>
      <c r="M26" s="736"/>
      <c r="N26" s="2"/>
      <c r="O26" s="2"/>
      <c r="P26" s="1"/>
      <c r="Q26" s="746"/>
      <c r="R26" s="746"/>
      <c r="S26" s="747"/>
      <c r="T26" s="731"/>
      <c r="U26" s="2"/>
    </row>
    <row r="27" customFormat="false" ht="12.75" hidden="false" customHeight="true" outlineLevel="0" collapsed="false">
      <c r="A27" s="735" t="s">
        <v>143</v>
      </c>
      <c r="B27" s="539" t="n">
        <v>5</v>
      </c>
      <c r="C27" s="1"/>
      <c r="D27" s="1"/>
      <c r="E27" s="1"/>
      <c r="F27" s="736"/>
      <c r="G27" s="2"/>
      <c r="H27" s="735" t="s">
        <v>143</v>
      </c>
      <c r="I27" s="1" t="n">
        <v>4</v>
      </c>
      <c r="J27" s="1"/>
      <c r="K27" s="1"/>
      <c r="L27" s="1"/>
      <c r="M27" s="736"/>
      <c r="N27" s="2"/>
      <c r="O27" s="2"/>
      <c r="P27" s="1"/>
      <c r="Q27" s="746"/>
      <c r="R27" s="746"/>
      <c r="S27" s="747"/>
      <c r="T27" s="731"/>
      <c r="U27" s="2"/>
    </row>
    <row r="28" customFormat="false" ht="12.75" hidden="false" customHeight="true" outlineLevel="0" collapsed="false">
      <c r="A28" s="735" t="s">
        <v>17</v>
      </c>
      <c r="B28" s="539"/>
      <c r="C28" s="1"/>
      <c r="D28" s="1"/>
      <c r="E28" s="1"/>
      <c r="F28" s="736"/>
      <c r="G28" s="2"/>
      <c r="H28" s="735" t="s">
        <v>17</v>
      </c>
      <c r="I28" s="1" t="n">
        <v>22</v>
      </c>
      <c r="J28" s="1"/>
      <c r="K28" s="1"/>
      <c r="L28" s="1"/>
      <c r="M28" s="736"/>
      <c r="N28" s="2"/>
      <c r="O28" s="2"/>
      <c r="P28" s="1"/>
      <c r="Q28" s="746"/>
      <c r="R28" s="746"/>
      <c r="S28" s="747"/>
      <c r="T28" s="731"/>
      <c r="U28" s="2"/>
    </row>
    <row r="29" customFormat="false" ht="12.75" hidden="false" customHeight="true" outlineLevel="0" collapsed="false">
      <c r="A29" s="735" t="s">
        <v>12</v>
      </c>
      <c r="B29" s="539" t="n">
        <v>2</v>
      </c>
      <c r="C29" s="1"/>
      <c r="D29" s="1"/>
      <c r="E29" s="1"/>
      <c r="F29" s="736"/>
      <c r="G29" s="2"/>
      <c r="H29" s="735" t="s">
        <v>12</v>
      </c>
      <c r="I29" s="1" t="n">
        <v>23</v>
      </c>
      <c r="J29" s="1"/>
      <c r="K29" s="1"/>
      <c r="L29" s="1"/>
      <c r="M29" s="736"/>
      <c r="N29" s="2"/>
      <c r="O29" s="2"/>
      <c r="P29" s="1"/>
      <c r="Q29" s="746"/>
      <c r="R29" s="746"/>
      <c r="S29" s="747"/>
      <c r="T29" s="731"/>
      <c r="U29" s="2"/>
    </row>
    <row r="30" customFormat="false" ht="12.75" hidden="false" customHeight="true" outlineLevel="0" collapsed="false">
      <c r="A30" s="735" t="s">
        <v>52</v>
      </c>
      <c r="B30" s="539" t="n">
        <v>6</v>
      </c>
      <c r="C30" s="1"/>
      <c r="D30" s="1"/>
      <c r="E30" s="1"/>
      <c r="F30" s="736"/>
      <c r="G30" s="2"/>
      <c r="H30" s="735" t="s">
        <v>52</v>
      </c>
      <c r="I30" s="1" t="n">
        <v>41</v>
      </c>
      <c r="J30" s="1"/>
      <c r="K30" s="1"/>
      <c r="L30" s="1"/>
      <c r="M30" s="736"/>
      <c r="N30" s="2"/>
      <c r="O30" s="2"/>
      <c r="P30" s="1"/>
      <c r="Q30" s="746"/>
      <c r="R30" s="746"/>
      <c r="S30" s="747"/>
      <c r="T30" s="731"/>
      <c r="U30" s="2"/>
    </row>
    <row r="31" customFormat="false" ht="12.75" hidden="false" customHeight="true" outlineLevel="0" collapsed="false">
      <c r="A31" s="735" t="s">
        <v>197</v>
      </c>
      <c r="B31" s="539" t="n">
        <v>3</v>
      </c>
      <c r="C31" s="1"/>
      <c r="D31" s="1"/>
      <c r="E31" s="1"/>
      <c r="F31" s="736"/>
      <c r="G31" s="2"/>
      <c r="H31" s="735" t="s">
        <v>197</v>
      </c>
      <c r="I31" s="1"/>
      <c r="J31" s="1"/>
      <c r="K31" s="1"/>
      <c r="L31" s="1"/>
      <c r="M31" s="736"/>
      <c r="N31" s="2"/>
      <c r="O31" s="2"/>
      <c r="P31" s="1"/>
      <c r="Q31" s="746"/>
      <c r="R31" s="746"/>
      <c r="S31" s="747"/>
      <c r="T31" s="731"/>
      <c r="U31" s="2"/>
    </row>
    <row r="32" customFormat="false" ht="12.75" hidden="false" customHeight="true" outlineLevel="0" collapsed="false">
      <c r="A32" s="735" t="s">
        <v>20</v>
      </c>
      <c r="B32" s="539"/>
      <c r="C32" s="1"/>
      <c r="D32" s="1"/>
      <c r="E32" s="1"/>
      <c r="F32" s="736"/>
      <c r="G32" s="2"/>
      <c r="H32" s="735" t="s">
        <v>20</v>
      </c>
      <c r="I32" s="1"/>
      <c r="J32" s="1"/>
      <c r="K32" s="1"/>
      <c r="L32" s="1"/>
      <c r="M32" s="736"/>
      <c r="N32" s="2"/>
      <c r="O32" s="2"/>
      <c r="P32" s="1"/>
      <c r="Q32" s="746"/>
      <c r="R32" s="746"/>
      <c r="S32" s="747"/>
      <c r="T32" s="731"/>
      <c r="U32" s="2"/>
    </row>
    <row r="33" customFormat="false" ht="12.75" hidden="false" customHeight="true" outlineLevel="0" collapsed="false">
      <c r="A33" s="735" t="s">
        <v>29</v>
      </c>
      <c r="B33" s="539"/>
      <c r="C33" s="1"/>
      <c r="D33" s="1"/>
      <c r="E33" s="1"/>
      <c r="F33" s="736"/>
      <c r="G33" s="2"/>
      <c r="H33" s="735" t="s">
        <v>29</v>
      </c>
      <c r="I33" s="1" t="n">
        <v>11</v>
      </c>
      <c r="J33" s="1"/>
      <c r="K33" s="1"/>
      <c r="L33" s="1"/>
      <c r="M33" s="736"/>
      <c r="N33" s="2"/>
      <c r="O33" s="2"/>
      <c r="P33" s="1"/>
      <c r="Q33" s="746"/>
      <c r="R33" s="746"/>
      <c r="S33" s="747"/>
      <c r="T33" s="731"/>
      <c r="U33" s="2"/>
    </row>
    <row r="34" customFormat="false" ht="12.75" hidden="false" customHeight="true" outlineLevel="0" collapsed="false">
      <c r="A34" s="735" t="s">
        <v>129</v>
      </c>
      <c r="B34" s="539"/>
      <c r="C34" s="1"/>
      <c r="D34" s="1"/>
      <c r="E34" s="1"/>
      <c r="F34" s="736"/>
      <c r="G34" s="2"/>
      <c r="H34" s="735" t="s">
        <v>129</v>
      </c>
      <c r="I34" s="1" t="n">
        <v>31</v>
      </c>
      <c r="J34" s="1"/>
      <c r="K34" s="1"/>
      <c r="L34" s="1"/>
      <c r="M34" s="736"/>
      <c r="N34" s="2"/>
      <c r="O34" s="2"/>
      <c r="P34" s="1"/>
      <c r="Q34" s="746"/>
      <c r="R34" s="746"/>
      <c r="S34" s="747"/>
      <c r="T34" s="731"/>
      <c r="U34" s="2"/>
    </row>
    <row r="35" customFormat="false" ht="12.75" hidden="false" customHeight="true" outlineLevel="0" collapsed="false">
      <c r="A35" s="737" t="s">
        <v>9</v>
      </c>
      <c r="B35" s="738" t="n">
        <v>20</v>
      </c>
      <c r="C35" s="479"/>
      <c r="D35" s="479"/>
      <c r="E35" s="479"/>
      <c r="F35" s="739"/>
      <c r="G35" s="2"/>
      <c r="H35" s="735" t="s">
        <v>9</v>
      </c>
      <c r="I35" s="1" t="n">
        <v>37</v>
      </c>
      <c r="J35" s="1"/>
      <c r="K35" s="1"/>
      <c r="L35" s="1"/>
      <c r="M35" s="736"/>
      <c r="N35" s="2"/>
      <c r="O35" s="2"/>
      <c r="P35" s="1"/>
      <c r="Q35" s="746"/>
      <c r="R35" s="746"/>
      <c r="S35" s="747"/>
      <c r="T35" s="731"/>
      <c r="U35" s="2"/>
    </row>
    <row r="36" customFormat="false" ht="12.75" hidden="false" customHeight="true" outlineLevel="0" collapsed="false">
      <c r="A36" s="750" t="s">
        <v>1481</v>
      </c>
      <c r="B36" s="741"/>
      <c r="C36" s="742"/>
      <c r="D36" s="742"/>
      <c r="E36" s="742"/>
      <c r="F36" s="743"/>
      <c r="G36" s="2"/>
      <c r="H36" s="750" t="s">
        <v>1481</v>
      </c>
      <c r="I36" s="751"/>
      <c r="J36" s="742"/>
      <c r="K36" s="742"/>
      <c r="L36" s="742"/>
      <c r="M36" s="743"/>
      <c r="N36" s="2"/>
      <c r="O36" s="2"/>
      <c r="P36" s="1"/>
      <c r="Q36" s="746"/>
      <c r="R36" s="746"/>
      <c r="S36" s="747"/>
      <c r="T36" s="731"/>
      <c r="U36" s="2"/>
    </row>
    <row r="37" customFormat="false" ht="12.75" hidden="false" customHeight="true" outlineLevel="0" collapsed="false">
      <c r="A37" s="2"/>
      <c r="B37" s="2"/>
      <c r="C37" s="2"/>
      <c r="D37" s="2"/>
      <c r="E37" s="2"/>
      <c r="F37" s="2"/>
      <c r="G37" s="2"/>
      <c r="I37" s="2"/>
      <c r="J37" s="2"/>
      <c r="K37" s="2"/>
      <c r="L37" s="2"/>
      <c r="M37" s="2"/>
      <c r="N37" s="2"/>
      <c r="O37" s="2"/>
      <c r="P37" s="1"/>
      <c r="Q37" s="746"/>
      <c r="R37" s="746"/>
      <c r="S37" s="747"/>
      <c r="T37" s="731"/>
      <c r="U37" s="2"/>
    </row>
    <row r="38" customFormat="false" ht="12.75" hidden="false" customHeight="true" outlineLevel="0" collapsed="false">
      <c r="A38" s="2"/>
      <c r="B38" s="2"/>
      <c r="C38" s="2"/>
      <c r="D38" s="2"/>
      <c r="E38" s="2"/>
      <c r="F38" s="2"/>
      <c r="G38" s="2"/>
      <c r="I38" s="2"/>
      <c r="J38" s="2"/>
      <c r="K38" s="2"/>
      <c r="L38" s="2"/>
      <c r="M38" s="2"/>
      <c r="N38" s="2"/>
      <c r="O38" s="2"/>
      <c r="P38" s="1"/>
      <c r="Q38" s="306"/>
      <c r="R38" s="306"/>
      <c r="S38" s="2"/>
      <c r="T38" s="1"/>
      <c r="U38" s="2"/>
    </row>
    <row r="39" customFormat="false" ht="12.75" hidden="false" customHeight="true" outlineLevel="0" collapsed="false">
      <c r="A39" s="2"/>
      <c r="B39" s="2"/>
      <c r="C39" s="2"/>
      <c r="D39" s="2"/>
      <c r="E39" s="2"/>
      <c r="F39" s="2"/>
      <c r="G39" s="2"/>
      <c r="I39" s="2"/>
      <c r="J39" s="2"/>
      <c r="K39" s="2"/>
      <c r="L39" s="2"/>
      <c r="M39" s="2"/>
      <c r="N39" s="2"/>
      <c r="O39" s="2"/>
      <c r="P39" s="1"/>
      <c r="Q39" s="746"/>
      <c r="R39" s="746"/>
      <c r="S39" s="747"/>
      <c r="T39" s="731"/>
      <c r="U39" s="2"/>
    </row>
    <row r="40" customFormat="false" ht="19.5" hidden="false" customHeight="true" outlineLevel="0" collapsed="false">
      <c r="A40" s="726" t="s">
        <v>1484</v>
      </c>
      <c r="B40" s="2"/>
      <c r="C40" s="2"/>
      <c r="D40" s="2"/>
      <c r="E40" s="2"/>
      <c r="F40" s="2"/>
      <c r="G40" s="2"/>
      <c r="I40" s="2"/>
      <c r="J40" s="2"/>
      <c r="K40" s="2"/>
      <c r="L40" s="2"/>
      <c r="M40" s="2"/>
      <c r="N40" s="2"/>
      <c r="O40" s="2"/>
      <c r="P40" s="1"/>
      <c r="Q40" s="306"/>
      <c r="R40" s="306"/>
      <c r="S40" s="2"/>
      <c r="T40" s="1"/>
      <c r="U40" s="2"/>
    </row>
    <row r="41" customFormat="false" ht="12.75" hidden="false" customHeight="true" outlineLevel="0" collapsed="false">
      <c r="A41" s="2"/>
      <c r="B41" s="2"/>
      <c r="C41" s="294" t="s">
        <v>1477</v>
      </c>
      <c r="D41" s="2"/>
      <c r="E41" s="2"/>
      <c r="F41" s="2"/>
      <c r="G41" s="2"/>
      <c r="I41" s="2"/>
      <c r="J41" s="294" t="s">
        <v>1478</v>
      </c>
      <c r="K41" s="2"/>
      <c r="L41" s="2"/>
      <c r="M41" s="2"/>
      <c r="N41" s="2"/>
      <c r="O41" s="2"/>
      <c r="P41" s="315" t="s">
        <v>1479</v>
      </c>
      <c r="Q41" s="306"/>
      <c r="R41" s="306"/>
      <c r="S41" s="2"/>
      <c r="T41" s="1"/>
      <c r="U41" s="2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2"/>
      <c r="I42" s="2"/>
      <c r="J42" s="2"/>
      <c r="K42" s="2"/>
      <c r="L42" s="2"/>
      <c r="M42" s="2"/>
      <c r="N42" s="2"/>
      <c r="O42" s="2"/>
      <c r="P42" s="1"/>
      <c r="Q42" s="306"/>
      <c r="R42" s="306"/>
      <c r="S42" s="2"/>
      <c r="T42" s="1"/>
      <c r="U42" s="2"/>
    </row>
    <row r="43" customFormat="false" ht="12.75" hidden="false" customHeight="true" outlineLevel="0" collapsed="false">
      <c r="A43" s="294" t="s">
        <v>1349</v>
      </c>
      <c r="B43" s="294" t="s">
        <v>1480</v>
      </c>
      <c r="C43" s="294"/>
      <c r="D43" s="294"/>
      <c r="E43" s="294"/>
      <c r="F43" s="294"/>
      <c r="G43" s="2"/>
      <c r="H43" s="294" t="s">
        <v>1349</v>
      </c>
      <c r="I43" s="294" t="s">
        <v>1480</v>
      </c>
      <c r="J43" s="294"/>
      <c r="K43" s="294"/>
      <c r="L43" s="294"/>
      <c r="M43" s="294"/>
      <c r="N43" s="2"/>
      <c r="O43" s="2"/>
      <c r="P43" s="294" t="s">
        <v>1349</v>
      </c>
      <c r="Q43" s="294" t="s">
        <v>1480</v>
      </c>
      <c r="R43" s="294"/>
      <c r="S43" s="294"/>
      <c r="T43" s="294"/>
      <c r="U43" s="294"/>
    </row>
    <row r="44" customFormat="false" ht="12.75" hidden="false" customHeight="true" outlineLevel="0" collapsed="false">
      <c r="A44" s="728" t="s">
        <v>5</v>
      </c>
      <c r="B44" s="729" t="s">
        <v>1331</v>
      </c>
      <c r="C44" s="729" t="s">
        <v>1332</v>
      </c>
      <c r="D44" s="729" t="s">
        <v>1333</v>
      </c>
      <c r="E44" s="729" t="s">
        <v>1334</v>
      </c>
      <c r="F44" s="331" t="s">
        <v>1481</v>
      </c>
      <c r="G44" s="2"/>
      <c r="H44" s="728" t="s">
        <v>5</v>
      </c>
      <c r="I44" s="729" t="s">
        <v>1331</v>
      </c>
      <c r="J44" s="729" t="s">
        <v>1332</v>
      </c>
      <c r="K44" s="729" t="s">
        <v>1333</v>
      </c>
      <c r="L44" s="729" t="s">
        <v>1334</v>
      </c>
      <c r="M44" s="331" t="s">
        <v>1481</v>
      </c>
      <c r="N44" s="2"/>
      <c r="O44" s="728" t="s">
        <v>5</v>
      </c>
      <c r="P44" s="729" t="s">
        <v>1331</v>
      </c>
      <c r="Q44" s="729" t="s">
        <v>1332</v>
      </c>
      <c r="R44" s="729" t="s">
        <v>1333</v>
      </c>
      <c r="S44" s="729" t="s">
        <v>1334</v>
      </c>
      <c r="T44" s="331" t="s">
        <v>1481</v>
      </c>
      <c r="U44" s="315"/>
    </row>
    <row r="45" customFormat="false" ht="12.75" hidden="false" customHeight="true" outlineLevel="0" collapsed="false">
      <c r="A45" s="732" t="s">
        <v>34</v>
      </c>
      <c r="B45" s="733" t="n">
        <v>23</v>
      </c>
      <c r="C45" s="534"/>
      <c r="D45" s="534"/>
      <c r="E45" s="752"/>
      <c r="F45" s="734"/>
      <c r="G45" s="2"/>
      <c r="H45" s="732" t="s">
        <v>34</v>
      </c>
      <c r="I45" s="733" t="n">
        <v>8</v>
      </c>
      <c r="J45" s="534"/>
      <c r="K45" s="534"/>
      <c r="L45" s="534"/>
      <c r="M45" s="734"/>
      <c r="N45" s="2"/>
      <c r="O45" s="732" t="s">
        <v>34</v>
      </c>
      <c r="P45" s="733" t="n">
        <v>9</v>
      </c>
      <c r="Q45" s="534"/>
      <c r="R45" s="534"/>
      <c r="S45" s="534"/>
      <c r="T45" s="734"/>
      <c r="U45" s="1"/>
    </row>
    <row r="46" customFormat="false" ht="12.75" hidden="false" customHeight="true" outlineLevel="0" collapsed="false">
      <c r="A46" s="735" t="s">
        <v>119</v>
      </c>
      <c r="B46" s="539"/>
      <c r="C46" s="1"/>
      <c r="D46" s="1"/>
      <c r="E46" s="540"/>
      <c r="F46" s="736"/>
      <c r="G46" s="2"/>
      <c r="H46" s="735" t="s">
        <v>119</v>
      </c>
      <c r="I46" s="539"/>
      <c r="J46" s="1"/>
      <c r="K46" s="1"/>
      <c r="L46" s="1"/>
      <c r="M46" s="736"/>
      <c r="N46" s="2"/>
      <c r="O46" s="735" t="s">
        <v>119</v>
      </c>
      <c r="P46" s="539"/>
      <c r="Q46" s="1"/>
      <c r="R46" s="1"/>
      <c r="S46" s="1"/>
      <c r="T46" s="736"/>
      <c r="U46" s="1"/>
    </row>
    <row r="47" customFormat="false" ht="12.75" hidden="false" customHeight="true" outlineLevel="0" collapsed="false">
      <c r="A47" s="735" t="s">
        <v>143</v>
      </c>
      <c r="B47" s="539" t="n">
        <v>5</v>
      </c>
      <c r="C47" s="1"/>
      <c r="D47" s="1"/>
      <c r="E47" s="540"/>
      <c r="F47" s="736"/>
      <c r="G47" s="2"/>
      <c r="H47" s="735" t="s">
        <v>143</v>
      </c>
      <c r="I47" s="539" t="n">
        <v>2</v>
      </c>
      <c r="J47" s="1"/>
      <c r="K47" s="1"/>
      <c r="L47" s="1"/>
      <c r="M47" s="736"/>
      <c r="N47" s="2"/>
      <c r="O47" s="735" t="s">
        <v>143</v>
      </c>
      <c r="P47" s="539" t="n">
        <v>4</v>
      </c>
      <c r="Q47" s="1"/>
      <c r="R47" s="1"/>
      <c r="S47" s="1"/>
      <c r="T47" s="736"/>
      <c r="U47" s="1"/>
    </row>
    <row r="48" customFormat="false" ht="12.75" hidden="false" customHeight="true" outlineLevel="0" collapsed="false">
      <c r="A48" s="735" t="s">
        <v>17</v>
      </c>
      <c r="B48" s="539" t="n">
        <v>4</v>
      </c>
      <c r="C48" s="1"/>
      <c r="D48" s="1"/>
      <c r="E48" s="540"/>
      <c r="F48" s="736"/>
      <c r="G48" s="2"/>
      <c r="H48" s="735" t="s">
        <v>17</v>
      </c>
      <c r="I48" s="539" t="n">
        <v>6</v>
      </c>
      <c r="J48" s="1"/>
      <c r="K48" s="1"/>
      <c r="L48" s="1"/>
      <c r="M48" s="736"/>
      <c r="N48" s="2"/>
      <c r="O48" s="735" t="s">
        <v>17</v>
      </c>
      <c r="P48" s="539"/>
      <c r="Q48" s="1"/>
      <c r="R48" s="1"/>
      <c r="S48" s="1"/>
      <c r="T48" s="736"/>
      <c r="U48" s="1"/>
    </row>
    <row r="49" customFormat="false" ht="12.75" hidden="false" customHeight="true" outlineLevel="0" collapsed="false">
      <c r="A49" s="735" t="s">
        <v>12</v>
      </c>
      <c r="B49" s="539" t="n">
        <v>5</v>
      </c>
      <c r="C49" s="1"/>
      <c r="D49" s="1"/>
      <c r="E49" s="540"/>
      <c r="F49" s="736"/>
      <c r="G49" s="2"/>
      <c r="H49" s="735" t="s">
        <v>12</v>
      </c>
      <c r="I49" s="539" t="n">
        <v>8</v>
      </c>
      <c r="J49" s="1"/>
      <c r="K49" s="1"/>
      <c r="L49" s="1"/>
      <c r="M49" s="736"/>
      <c r="N49" s="2"/>
      <c r="O49" s="735" t="s">
        <v>12</v>
      </c>
      <c r="P49" s="539" t="n">
        <v>1</v>
      </c>
      <c r="Q49" s="1"/>
      <c r="R49" s="1"/>
      <c r="S49" s="1"/>
      <c r="T49" s="736"/>
      <c r="U49" s="1"/>
    </row>
    <row r="50" customFormat="false" ht="12.75" hidden="false" customHeight="true" outlineLevel="0" collapsed="false">
      <c r="A50" s="735" t="s">
        <v>52</v>
      </c>
      <c r="B50" s="539" t="n">
        <v>15</v>
      </c>
      <c r="C50" s="1"/>
      <c r="D50" s="1"/>
      <c r="E50" s="540"/>
      <c r="F50" s="736"/>
      <c r="G50" s="2"/>
      <c r="H50" s="735" t="s">
        <v>52</v>
      </c>
      <c r="I50" s="539" t="n">
        <v>14</v>
      </c>
      <c r="J50" s="1"/>
      <c r="K50" s="1"/>
      <c r="L50" s="1"/>
      <c r="M50" s="736"/>
      <c r="N50" s="2"/>
      <c r="O50" s="735" t="s">
        <v>52</v>
      </c>
      <c r="P50" s="539" t="n">
        <v>2</v>
      </c>
      <c r="Q50" s="1"/>
      <c r="R50" s="1"/>
      <c r="S50" s="1"/>
      <c r="T50" s="736"/>
      <c r="U50" s="1"/>
    </row>
    <row r="51" customFormat="false" ht="12.75" hidden="false" customHeight="true" outlineLevel="0" collapsed="false">
      <c r="A51" s="735" t="s">
        <v>197</v>
      </c>
      <c r="B51" s="539" t="n">
        <v>1</v>
      </c>
      <c r="C51" s="1"/>
      <c r="D51" s="1"/>
      <c r="E51" s="540"/>
      <c r="F51" s="736"/>
      <c r="G51" s="2"/>
      <c r="H51" s="735" t="s">
        <v>197</v>
      </c>
      <c r="I51" s="539" t="n">
        <v>1</v>
      </c>
      <c r="J51" s="1"/>
      <c r="K51" s="1"/>
      <c r="L51" s="1"/>
      <c r="M51" s="736"/>
      <c r="N51" s="2"/>
      <c r="O51" s="735" t="s">
        <v>197</v>
      </c>
      <c r="P51" s="539" t="n">
        <v>1</v>
      </c>
      <c r="Q51" s="1"/>
      <c r="R51" s="1"/>
      <c r="S51" s="1"/>
      <c r="T51" s="736"/>
      <c r="U51" s="1"/>
    </row>
    <row r="52" customFormat="false" ht="12.75" hidden="false" customHeight="true" outlineLevel="0" collapsed="false">
      <c r="A52" s="735" t="s">
        <v>20</v>
      </c>
      <c r="B52" s="539" t="n">
        <v>10</v>
      </c>
      <c r="C52" s="1"/>
      <c r="D52" s="1"/>
      <c r="E52" s="540"/>
      <c r="F52" s="736"/>
      <c r="G52" s="2"/>
      <c r="H52" s="735" t="s">
        <v>20</v>
      </c>
      <c r="I52" s="539" t="n">
        <v>1</v>
      </c>
      <c r="J52" s="1"/>
      <c r="K52" s="1"/>
      <c r="L52" s="1"/>
      <c r="M52" s="736"/>
      <c r="N52" s="2"/>
      <c r="O52" s="735" t="s">
        <v>20</v>
      </c>
      <c r="P52" s="539" t="n">
        <v>5</v>
      </c>
      <c r="Q52" s="1"/>
      <c r="R52" s="1"/>
      <c r="S52" s="1"/>
      <c r="T52" s="736"/>
      <c r="U52" s="1"/>
    </row>
    <row r="53" customFormat="false" ht="12.75" hidden="false" customHeight="true" outlineLevel="0" collapsed="false">
      <c r="A53" s="735" t="s">
        <v>29</v>
      </c>
      <c r="B53" s="539" t="n">
        <v>5</v>
      </c>
      <c r="C53" s="1"/>
      <c r="D53" s="1"/>
      <c r="E53" s="540"/>
      <c r="F53" s="736"/>
      <c r="G53" s="2"/>
      <c r="H53" s="735" t="s">
        <v>29</v>
      </c>
      <c r="I53" s="539" t="n">
        <v>8</v>
      </c>
      <c r="J53" s="1"/>
      <c r="K53" s="1"/>
      <c r="L53" s="1"/>
      <c r="M53" s="736"/>
      <c r="N53" s="2"/>
      <c r="O53" s="735" t="s">
        <v>29</v>
      </c>
      <c r="P53" s="539" t="n">
        <v>3</v>
      </c>
      <c r="Q53" s="1"/>
      <c r="R53" s="1"/>
      <c r="S53" s="1"/>
      <c r="T53" s="736"/>
      <c r="U53" s="1"/>
    </row>
    <row r="54" customFormat="false" ht="12.75" hidden="false" customHeight="true" outlineLevel="0" collapsed="false">
      <c r="A54" s="735" t="s">
        <v>129</v>
      </c>
      <c r="B54" s="539" t="n">
        <v>9</v>
      </c>
      <c r="C54" s="1"/>
      <c r="D54" s="1"/>
      <c r="E54" s="540"/>
      <c r="F54" s="736"/>
      <c r="G54" s="2"/>
      <c r="H54" s="735" t="s">
        <v>129</v>
      </c>
      <c r="I54" s="539" t="n">
        <v>6</v>
      </c>
      <c r="J54" s="1"/>
      <c r="K54" s="1"/>
      <c r="L54" s="1"/>
      <c r="M54" s="736"/>
      <c r="N54" s="2"/>
      <c r="O54" s="735" t="s">
        <v>129</v>
      </c>
      <c r="P54" s="539" t="n">
        <v>2</v>
      </c>
      <c r="Q54" s="1"/>
      <c r="R54" s="1"/>
      <c r="S54" s="1"/>
      <c r="T54" s="736"/>
      <c r="U54" s="1"/>
    </row>
    <row r="55" customFormat="false" ht="12.75" hidden="false" customHeight="true" outlineLevel="0" collapsed="false">
      <c r="A55" s="737" t="s">
        <v>9</v>
      </c>
      <c r="B55" s="738" t="n">
        <v>9</v>
      </c>
      <c r="C55" s="479"/>
      <c r="D55" s="479"/>
      <c r="E55" s="753"/>
      <c r="F55" s="739"/>
      <c r="G55" s="2"/>
      <c r="H55" s="737" t="s">
        <v>9</v>
      </c>
      <c r="I55" s="738" t="n">
        <v>4</v>
      </c>
      <c r="J55" s="479"/>
      <c r="K55" s="479"/>
      <c r="L55" s="479"/>
      <c r="M55" s="739"/>
      <c r="N55" s="2"/>
      <c r="O55" s="737" t="s">
        <v>9</v>
      </c>
      <c r="P55" s="738" t="n">
        <v>3</v>
      </c>
      <c r="Q55" s="479"/>
      <c r="R55" s="479"/>
      <c r="S55" s="479"/>
      <c r="T55" s="739"/>
      <c r="U55" s="1"/>
    </row>
    <row r="56" customFormat="false" ht="12.75" hidden="false" customHeight="true" outlineLevel="0" collapsed="false">
      <c r="A56" s="740" t="s">
        <v>1481</v>
      </c>
      <c r="B56" s="741" t="n">
        <f aca="false">SUM(B45:B55)</f>
        <v>86</v>
      </c>
      <c r="C56" s="741" t="n">
        <f aca="false">SUM(C45:C55)</f>
        <v>0</v>
      </c>
      <c r="D56" s="741" t="n">
        <f aca="false">SUM(D45:D55)</f>
        <v>0</v>
      </c>
      <c r="E56" s="741" t="n">
        <f aca="false">SUM(E45:E55)</f>
        <v>0</v>
      </c>
      <c r="F56" s="743"/>
      <c r="G56" s="2"/>
      <c r="H56" s="740" t="s">
        <v>1481</v>
      </c>
      <c r="I56" s="741" t="n">
        <f aca="false">SUM(I45:I55)</f>
        <v>58</v>
      </c>
      <c r="J56" s="741" t="n">
        <f aca="false">SUM(J45:J55)</f>
        <v>0</v>
      </c>
      <c r="K56" s="741" t="n">
        <f aca="false">SUM(K45:K55)</f>
        <v>0</v>
      </c>
      <c r="L56" s="741" t="n">
        <f aca="false">SUM(L45:L55)</f>
        <v>0</v>
      </c>
      <c r="M56" s="743"/>
      <c r="N56" s="2"/>
      <c r="O56" s="740" t="s">
        <v>1481</v>
      </c>
      <c r="P56" s="741" t="n">
        <f aca="false">SUM(P45:P55)</f>
        <v>30</v>
      </c>
      <c r="Q56" s="741" t="n">
        <f aca="false">SUM(Q45:Q55)</f>
        <v>0</v>
      </c>
      <c r="R56" s="741" t="n">
        <f aca="false">SUM(R45:R55)</f>
        <v>0</v>
      </c>
      <c r="S56" s="741" t="n">
        <f aca="false">SUM(S45:S55)</f>
        <v>0</v>
      </c>
      <c r="T56" s="743"/>
      <c r="U56" s="744"/>
    </row>
    <row r="57" customFormat="false" ht="12.75" hidden="false" customHeight="true" outlineLevel="0" collapsed="false">
      <c r="A57" s="2"/>
      <c r="B57" s="2"/>
      <c r="C57" s="2"/>
      <c r="D57" s="2"/>
      <c r="E57" s="2"/>
      <c r="F57" s="2"/>
      <c r="G57" s="2"/>
      <c r="I57" s="2"/>
      <c r="J57" s="2"/>
      <c r="K57" s="2"/>
      <c r="L57" s="2"/>
      <c r="M57" s="2"/>
      <c r="N57" s="2"/>
      <c r="O57" s="2"/>
      <c r="P57" s="1"/>
      <c r="Q57" s="306"/>
      <c r="R57" s="306"/>
      <c r="S57" s="2"/>
      <c r="T57" s="1"/>
      <c r="U57" s="2"/>
    </row>
    <row r="58" customFormat="false" ht="12.75" hidden="false" customHeight="true" outlineLevel="0" collapsed="false">
      <c r="A58" s="2"/>
      <c r="B58" s="2"/>
      <c r="C58" s="294"/>
      <c r="D58" s="2"/>
      <c r="E58" s="2"/>
      <c r="F58" s="2"/>
      <c r="G58" s="2"/>
      <c r="I58" s="2"/>
      <c r="J58" s="294"/>
      <c r="K58" s="2"/>
      <c r="L58" s="2"/>
      <c r="M58" s="2"/>
      <c r="N58" s="2"/>
      <c r="O58" s="2"/>
      <c r="P58" s="1"/>
      <c r="Q58" s="306"/>
      <c r="R58" s="306"/>
      <c r="S58" s="2"/>
      <c r="T58" s="1"/>
      <c r="U58" s="2"/>
    </row>
    <row r="59" customFormat="false" ht="12.75" hidden="false" customHeight="true" outlineLevel="0" collapsed="false">
      <c r="A59" s="2"/>
      <c r="B59" s="2"/>
      <c r="C59" s="294"/>
      <c r="D59" s="2"/>
      <c r="E59" s="2"/>
      <c r="F59" s="2"/>
      <c r="G59" s="2"/>
      <c r="I59" s="2"/>
      <c r="J59" s="294"/>
      <c r="K59" s="2"/>
      <c r="L59" s="2"/>
      <c r="M59" s="2"/>
      <c r="N59" s="2"/>
      <c r="O59" s="2"/>
      <c r="P59" s="1"/>
      <c r="Q59" s="306"/>
      <c r="R59" s="306"/>
      <c r="S59" s="2"/>
      <c r="T59" s="1"/>
      <c r="U59" s="2"/>
    </row>
    <row r="60" customFormat="false" ht="12.75" hidden="false" customHeight="true" outlineLevel="0" collapsed="false">
      <c r="A60" s="2"/>
      <c r="B60" s="2"/>
      <c r="C60" s="294" t="s">
        <v>1482</v>
      </c>
      <c r="D60" s="2"/>
      <c r="E60" s="2"/>
      <c r="F60" s="2"/>
      <c r="G60" s="2"/>
      <c r="I60" s="2"/>
      <c r="J60" s="294" t="s">
        <v>1483</v>
      </c>
      <c r="K60" s="2"/>
      <c r="L60" s="2"/>
      <c r="M60" s="2"/>
      <c r="N60" s="2"/>
      <c r="O60" s="2"/>
      <c r="P60" s="1"/>
      <c r="Q60" s="306"/>
      <c r="R60" s="306"/>
      <c r="S60" s="2"/>
      <c r="T60" s="1"/>
      <c r="U60" s="2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2"/>
      <c r="I61" s="2"/>
      <c r="J61" s="2"/>
      <c r="K61" s="2"/>
      <c r="L61" s="2"/>
      <c r="M61" s="2"/>
      <c r="N61" s="2"/>
      <c r="O61" s="2"/>
      <c r="P61" s="1"/>
      <c r="Q61" s="306"/>
      <c r="R61" s="306"/>
      <c r="S61" s="2"/>
      <c r="T61" s="1"/>
      <c r="U61" s="2"/>
    </row>
    <row r="62" customFormat="false" ht="12.75" hidden="false" customHeight="true" outlineLevel="0" collapsed="false">
      <c r="A62" s="294" t="s">
        <v>1349</v>
      </c>
      <c r="B62" s="294" t="s">
        <v>1480</v>
      </c>
      <c r="C62" s="294"/>
      <c r="D62" s="294"/>
      <c r="E62" s="294"/>
      <c r="F62" s="294"/>
      <c r="G62" s="2"/>
      <c r="H62" s="294" t="s">
        <v>1349</v>
      </c>
      <c r="I62" s="294" t="s">
        <v>1480</v>
      </c>
      <c r="J62" s="294"/>
      <c r="K62" s="294"/>
      <c r="L62" s="294"/>
      <c r="M62" s="294"/>
      <c r="N62" s="2"/>
      <c r="O62" s="2"/>
      <c r="P62" s="1"/>
      <c r="Q62" s="306"/>
      <c r="R62" s="306"/>
      <c r="S62" s="2"/>
      <c r="T62" s="1"/>
      <c r="U62" s="2"/>
    </row>
    <row r="63" customFormat="false" ht="12.75" hidden="false" customHeight="true" outlineLevel="0" collapsed="false">
      <c r="A63" s="728" t="s">
        <v>5</v>
      </c>
      <c r="B63" s="729" t="s">
        <v>1331</v>
      </c>
      <c r="C63" s="729" t="s">
        <v>1332</v>
      </c>
      <c r="D63" s="729" t="s">
        <v>1333</v>
      </c>
      <c r="E63" s="729" t="s">
        <v>1334</v>
      </c>
      <c r="F63" s="331" t="s">
        <v>1481</v>
      </c>
      <c r="G63" s="2"/>
      <c r="H63" s="728" t="s">
        <v>5</v>
      </c>
      <c r="I63" s="729" t="s">
        <v>1331</v>
      </c>
      <c r="J63" s="729" t="s">
        <v>1332</v>
      </c>
      <c r="K63" s="729" t="s">
        <v>1333</v>
      </c>
      <c r="L63" s="729" t="s">
        <v>1334</v>
      </c>
      <c r="M63" s="331" t="s">
        <v>1481</v>
      </c>
      <c r="N63" s="2"/>
      <c r="O63" s="2"/>
      <c r="P63" s="1"/>
      <c r="Q63" s="306"/>
      <c r="R63" s="306"/>
      <c r="S63" s="2"/>
      <c r="T63" s="1"/>
      <c r="U63" s="2"/>
    </row>
    <row r="64" customFormat="false" ht="12.75" hidden="false" customHeight="true" outlineLevel="0" collapsed="false">
      <c r="A64" s="732" t="s">
        <v>34</v>
      </c>
      <c r="B64" s="733" t="n">
        <v>2</v>
      </c>
      <c r="C64" s="534"/>
      <c r="D64" s="534"/>
      <c r="E64" s="752"/>
      <c r="F64" s="734"/>
      <c r="G64" s="2"/>
      <c r="H64" s="732" t="s">
        <v>34</v>
      </c>
      <c r="I64" s="733" t="n">
        <v>3</v>
      </c>
      <c r="J64" s="534"/>
      <c r="K64" s="534"/>
      <c r="L64" s="752"/>
      <c r="M64" s="734"/>
      <c r="N64" s="2"/>
      <c r="O64" s="2"/>
      <c r="P64" s="1"/>
      <c r="Q64" s="306"/>
      <c r="R64" s="306"/>
      <c r="S64" s="2"/>
      <c r="T64" s="1"/>
      <c r="U64" s="2"/>
    </row>
    <row r="65" customFormat="false" ht="12.75" hidden="false" customHeight="true" outlineLevel="0" collapsed="false">
      <c r="A65" s="735" t="s">
        <v>119</v>
      </c>
      <c r="B65" s="539"/>
      <c r="C65" s="1"/>
      <c r="D65" s="1"/>
      <c r="E65" s="540"/>
      <c r="F65" s="736"/>
      <c r="G65" s="2"/>
      <c r="H65" s="735" t="s">
        <v>119</v>
      </c>
      <c r="I65" s="539" t="n">
        <v>5</v>
      </c>
      <c r="J65" s="1"/>
      <c r="K65" s="1"/>
      <c r="L65" s="540"/>
      <c r="M65" s="736"/>
      <c r="N65" s="2"/>
      <c r="O65" s="2"/>
      <c r="P65" s="1"/>
      <c r="Q65" s="306"/>
      <c r="R65" s="306"/>
      <c r="S65" s="2"/>
      <c r="T65" s="1"/>
      <c r="U65" s="2"/>
    </row>
    <row r="66" customFormat="false" ht="12.75" hidden="false" customHeight="true" outlineLevel="0" collapsed="false">
      <c r="A66" s="735" t="s">
        <v>143</v>
      </c>
      <c r="B66" s="539" t="n">
        <v>1</v>
      </c>
      <c r="C66" s="1"/>
      <c r="D66" s="1"/>
      <c r="E66" s="540"/>
      <c r="F66" s="736"/>
      <c r="G66" s="2"/>
      <c r="H66" s="735" t="s">
        <v>143</v>
      </c>
      <c r="I66" s="539" t="n">
        <v>2</v>
      </c>
      <c r="J66" s="1"/>
      <c r="K66" s="1"/>
      <c r="L66" s="540"/>
      <c r="M66" s="736"/>
      <c r="N66" s="2"/>
      <c r="O66" s="2"/>
      <c r="P66" s="1"/>
      <c r="Q66" s="306"/>
      <c r="R66" s="306"/>
      <c r="S66" s="2"/>
      <c r="T66" s="1"/>
      <c r="U66" s="2"/>
    </row>
    <row r="67" customFormat="false" ht="12.75" hidden="false" customHeight="true" outlineLevel="0" collapsed="false">
      <c r="A67" s="735" t="s">
        <v>17</v>
      </c>
      <c r="B67" s="539"/>
      <c r="C67" s="1"/>
      <c r="D67" s="1"/>
      <c r="E67" s="540"/>
      <c r="F67" s="736"/>
      <c r="G67" s="2"/>
      <c r="H67" s="735" t="s">
        <v>17</v>
      </c>
      <c r="I67" s="539" t="n">
        <v>4</v>
      </c>
      <c r="J67" s="1"/>
      <c r="K67" s="1"/>
      <c r="L67" s="540"/>
      <c r="M67" s="736"/>
      <c r="N67" s="2"/>
      <c r="O67" s="2"/>
      <c r="P67" s="1"/>
      <c r="Q67" s="306"/>
      <c r="R67" s="306"/>
      <c r="S67" s="2"/>
      <c r="T67" s="1"/>
      <c r="U67" s="2"/>
    </row>
    <row r="68" customFormat="false" ht="12.75" hidden="false" customHeight="true" outlineLevel="0" collapsed="false">
      <c r="A68" s="735" t="s">
        <v>12</v>
      </c>
      <c r="B68" s="539" t="n">
        <v>1</v>
      </c>
      <c r="C68" s="1"/>
      <c r="D68" s="1"/>
      <c r="E68" s="540"/>
      <c r="F68" s="736"/>
      <c r="G68" s="2"/>
      <c r="H68" s="735" t="s">
        <v>12</v>
      </c>
      <c r="I68" s="539" t="n">
        <v>3</v>
      </c>
      <c r="J68" s="1"/>
      <c r="K68" s="1"/>
      <c r="L68" s="540"/>
      <c r="M68" s="736"/>
      <c r="N68" s="2"/>
      <c r="O68" s="2"/>
      <c r="P68" s="1"/>
      <c r="Q68" s="306"/>
      <c r="R68" s="306"/>
      <c r="S68" s="2"/>
      <c r="T68" s="1"/>
      <c r="U68" s="2"/>
    </row>
    <row r="69" customFormat="false" ht="12.75" hidden="false" customHeight="true" outlineLevel="0" collapsed="false">
      <c r="A69" s="735" t="s">
        <v>52</v>
      </c>
      <c r="B69" s="539" t="n">
        <v>1</v>
      </c>
      <c r="C69" s="1"/>
      <c r="D69" s="1"/>
      <c r="E69" s="540"/>
      <c r="F69" s="736"/>
      <c r="G69" s="2"/>
      <c r="H69" s="735" t="s">
        <v>52</v>
      </c>
      <c r="I69" s="539" t="n">
        <v>7</v>
      </c>
      <c r="J69" s="1"/>
      <c r="K69" s="1"/>
      <c r="L69" s="540"/>
      <c r="M69" s="736"/>
      <c r="N69" s="2"/>
      <c r="O69" s="2"/>
      <c r="P69" s="1"/>
      <c r="Q69" s="306"/>
      <c r="R69" s="306"/>
      <c r="S69" s="2"/>
      <c r="T69" s="1"/>
      <c r="U69" s="2"/>
    </row>
    <row r="70" customFormat="false" ht="12.75" hidden="false" customHeight="true" outlineLevel="0" collapsed="false">
      <c r="A70" s="735" t="s">
        <v>197</v>
      </c>
      <c r="B70" s="539" t="n">
        <v>1</v>
      </c>
      <c r="C70" s="1"/>
      <c r="D70" s="1"/>
      <c r="E70" s="540"/>
      <c r="F70" s="736"/>
      <c r="G70" s="2"/>
      <c r="H70" s="735" t="s">
        <v>197</v>
      </c>
      <c r="I70" s="539"/>
      <c r="J70" s="1"/>
      <c r="K70" s="1"/>
      <c r="L70" s="540"/>
      <c r="M70" s="736"/>
      <c r="N70" s="2"/>
      <c r="O70" s="2"/>
      <c r="P70" s="1"/>
      <c r="Q70" s="306"/>
      <c r="R70" s="306"/>
      <c r="S70" s="2"/>
      <c r="T70" s="1"/>
      <c r="U70" s="2"/>
    </row>
    <row r="71" customFormat="false" ht="12.75" hidden="false" customHeight="true" outlineLevel="0" collapsed="false">
      <c r="A71" s="735" t="s">
        <v>20</v>
      </c>
      <c r="B71" s="539"/>
      <c r="C71" s="1"/>
      <c r="D71" s="1"/>
      <c r="E71" s="540"/>
      <c r="F71" s="736"/>
      <c r="G71" s="2"/>
      <c r="H71" s="735" t="s">
        <v>20</v>
      </c>
      <c r="I71" s="539"/>
      <c r="J71" s="1"/>
      <c r="K71" s="1"/>
      <c r="L71" s="540"/>
      <c r="M71" s="736"/>
      <c r="N71" s="2"/>
      <c r="O71" s="2"/>
      <c r="P71" s="1"/>
      <c r="Q71" s="306"/>
      <c r="R71" s="306"/>
      <c r="S71" s="2"/>
      <c r="T71" s="1"/>
      <c r="U71" s="2"/>
    </row>
    <row r="72" customFormat="false" ht="12.75" hidden="false" customHeight="true" outlineLevel="0" collapsed="false">
      <c r="A72" s="735" t="s">
        <v>29</v>
      </c>
      <c r="B72" s="539"/>
      <c r="C72" s="1"/>
      <c r="D72" s="1"/>
      <c r="E72" s="540"/>
      <c r="F72" s="736"/>
      <c r="G72" s="2"/>
      <c r="H72" s="735" t="s">
        <v>29</v>
      </c>
      <c r="I72" s="539" t="n">
        <v>2</v>
      </c>
      <c r="J72" s="1"/>
      <c r="K72" s="1"/>
      <c r="L72" s="540"/>
      <c r="M72" s="736"/>
      <c r="N72" s="2"/>
      <c r="O72" s="2"/>
      <c r="P72" s="1"/>
      <c r="Q72" s="306"/>
      <c r="R72" s="306"/>
      <c r="S72" s="2"/>
      <c r="T72" s="1"/>
      <c r="U72" s="2"/>
    </row>
    <row r="73" customFormat="false" ht="12.75" hidden="false" customHeight="true" outlineLevel="0" collapsed="false">
      <c r="A73" s="735" t="s">
        <v>129</v>
      </c>
      <c r="B73" s="539"/>
      <c r="C73" s="1"/>
      <c r="D73" s="1"/>
      <c r="E73" s="540"/>
      <c r="F73" s="736"/>
      <c r="G73" s="2"/>
      <c r="H73" s="735" t="s">
        <v>129</v>
      </c>
      <c r="I73" s="539" t="n">
        <v>5</v>
      </c>
      <c r="J73" s="1"/>
      <c r="K73" s="1"/>
      <c r="L73" s="540"/>
      <c r="M73" s="736"/>
      <c r="N73" s="2"/>
      <c r="O73" s="2"/>
      <c r="P73" s="1"/>
      <c r="Q73" s="306"/>
      <c r="R73" s="306"/>
      <c r="S73" s="2"/>
      <c r="T73" s="1"/>
      <c r="U73" s="2"/>
    </row>
    <row r="74" customFormat="false" ht="12.75" hidden="false" customHeight="true" outlineLevel="0" collapsed="false">
      <c r="A74" s="737" t="s">
        <v>9</v>
      </c>
      <c r="B74" s="738" t="n">
        <v>3</v>
      </c>
      <c r="C74" s="479"/>
      <c r="D74" s="479"/>
      <c r="E74" s="753"/>
      <c r="F74" s="739"/>
      <c r="G74" s="2"/>
      <c r="H74" s="737" t="s">
        <v>9</v>
      </c>
      <c r="I74" s="738" t="n">
        <v>6</v>
      </c>
      <c r="J74" s="479"/>
      <c r="K74" s="479"/>
      <c r="L74" s="753"/>
      <c r="M74" s="739"/>
      <c r="N74" s="2"/>
      <c r="O74" s="2"/>
      <c r="P74" s="1"/>
      <c r="Q74" s="306"/>
      <c r="R74" s="306"/>
      <c r="S74" s="2"/>
      <c r="T74" s="1"/>
      <c r="U74" s="2"/>
    </row>
    <row r="75" customFormat="false" ht="12.75" hidden="false" customHeight="true" outlineLevel="0" collapsed="false">
      <c r="A75" s="740" t="s">
        <v>1481</v>
      </c>
      <c r="B75" s="741" t="n">
        <f aca="false">SUM(B64:B74)</f>
        <v>9</v>
      </c>
      <c r="C75" s="741" t="n">
        <f aca="false">SUM(C64:C74)</f>
        <v>0</v>
      </c>
      <c r="D75" s="741" t="n">
        <f aca="false">SUM(D64:D74)</f>
        <v>0</v>
      </c>
      <c r="E75" s="741" t="n">
        <f aca="false">SUM(E64:E74)</f>
        <v>0</v>
      </c>
      <c r="F75" s="743"/>
      <c r="G75" s="2"/>
      <c r="H75" s="740" t="s">
        <v>1481</v>
      </c>
      <c r="I75" s="741" t="n">
        <f aca="false">SUM(I64:I74)</f>
        <v>37</v>
      </c>
      <c r="J75" s="741" t="n">
        <f aca="false">SUM(J64:J74)</f>
        <v>0</v>
      </c>
      <c r="K75" s="741" t="n">
        <f aca="false">SUM(K64:K74)</f>
        <v>0</v>
      </c>
      <c r="L75" s="741" t="n">
        <f aca="false">SUM(L64:L74)</f>
        <v>0</v>
      </c>
      <c r="M75" s="743"/>
      <c r="N75" s="2"/>
      <c r="O75" s="2"/>
      <c r="P75" s="1"/>
      <c r="Q75" s="306"/>
      <c r="R75" s="306"/>
      <c r="S75" s="2"/>
      <c r="T75" s="1"/>
      <c r="U75" s="2"/>
    </row>
    <row r="78" customFormat="false" ht="12.75" hidden="false" customHeight="true" outlineLevel="0" collapsed="false">
      <c r="A78" s="312" t="s">
        <v>1485</v>
      </c>
      <c r="B78" s="313"/>
      <c r="C78" s="754"/>
      <c r="D78" s="478"/>
      <c r="E78" s="2"/>
      <c r="F78" s="2"/>
      <c r="G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.75" hidden="false" customHeight="true" outlineLevel="0" collapsed="false">
      <c r="A79" s="755"/>
      <c r="B79" s="2"/>
      <c r="C79" s="478"/>
      <c r="D79" s="478"/>
      <c r="E79" s="2"/>
      <c r="F79" s="2"/>
      <c r="G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.75" hidden="false" customHeight="true" outlineLevel="0" collapsed="false">
      <c r="A80" s="542"/>
      <c r="B80" s="317" t="s">
        <v>1486</v>
      </c>
      <c r="C80" s="317"/>
      <c r="D80" s="317"/>
      <c r="E80" s="317"/>
      <c r="F80" s="317"/>
      <c r="G80" s="317"/>
      <c r="H80" s="317" t="s">
        <v>1487</v>
      </c>
      <c r="I80" s="317"/>
      <c r="J80" s="317"/>
      <c r="K80" s="317"/>
      <c r="L80" s="317"/>
      <c r="M80" s="317"/>
      <c r="N80" s="317" t="s">
        <v>1488</v>
      </c>
      <c r="O80" s="317"/>
      <c r="P80" s="317"/>
      <c r="Q80" s="317"/>
      <c r="R80" s="317"/>
      <c r="S80" s="317"/>
      <c r="T80" s="317" t="s">
        <v>1489</v>
      </c>
      <c r="U80" s="317"/>
      <c r="V80" s="317"/>
      <c r="W80" s="317"/>
      <c r="X80" s="317"/>
      <c r="Y80" s="317"/>
      <c r="Z80" s="2"/>
    </row>
    <row r="81" customFormat="false" ht="12.75" hidden="false" customHeight="true" outlineLevel="0" collapsed="false">
      <c r="A81" s="542"/>
      <c r="B81" s="756" t="n">
        <f aca="false">Benjamins!G80</f>
        <v>500</v>
      </c>
      <c r="C81" s="756"/>
      <c r="D81" s="756"/>
      <c r="E81" s="756"/>
      <c r="F81" s="756"/>
      <c r="G81" s="756"/>
      <c r="H81" s="756" t="n">
        <f aca="false">Benjamins!I80</f>
        <v>0</v>
      </c>
      <c r="I81" s="756"/>
      <c r="J81" s="756"/>
      <c r="K81" s="756"/>
      <c r="L81" s="756"/>
      <c r="M81" s="756"/>
      <c r="N81" s="756" t="n">
        <f aca="false">Benjamins!K80</f>
        <v>0</v>
      </c>
      <c r="O81" s="756"/>
      <c r="P81" s="756"/>
      <c r="Q81" s="756"/>
      <c r="R81" s="756"/>
      <c r="S81" s="756"/>
      <c r="T81" s="756" t="n">
        <f aca="false">Benjamins!M80</f>
        <v>0</v>
      </c>
      <c r="U81" s="756"/>
      <c r="V81" s="756"/>
      <c r="W81" s="756"/>
      <c r="X81" s="756"/>
      <c r="Y81" s="756"/>
      <c r="Z81" s="2"/>
    </row>
    <row r="82" customFormat="false" ht="12.75" hidden="false" customHeight="true" outlineLevel="0" collapsed="false">
      <c r="A82" s="542"/>
      <c r="B82" s="757" t="s">
        <v>1490</v>
      </c>
      <c r="C82" s="758" t="s">
        <v>1491</v>
      </c>
      <c r="D82" s="759" t="s">
        <v>1492</v>
      </c>
      <c r="E82" s="760" t="s">
        <v>1493</v>
      </c>
      <c r="F82" s="396" t="s">
        <v>1494</v>
      </c>
      <c r="G82" s="761" t="s">
        <v>1345</v>
      </c>
      <c r="H82" s="757" t="s">
        <v>1490</v>
      </c>
      <c r="I82" s="762" t="s">
        <v>1491</v>
      </c>
      <c r="J82" s="759" t="s">
        <v>1492</v>
      </c>
      <c r="K82" s="760" t="s">
        <v>1493</v>
      </c>
      <c r="L82" s="396" t="s">
        <v>1494</v>
      </c>
      <c r="M82" s="761" t="s">
        <v>1345</v>
      </c>
      <c r="N82" s="757" t="s">
        <v>1490</v>
      </c>
      <c r="O82" s="762" t="s">
        <v>1491</v>
      </c>
      <c r="P82" s="759" t="s">
        <v>1492</v>
      </c>
      <c r="Q82" s="760" t="s">
        <v>1493</v>
      </c>
      <c r="R82" s="396" t="s">
        <v>1494</v>
      </c>
      <c r="S82" s="761" t="s">
        <v>1345</v>
      </c>
      <c r="T82" s="757" t="s">
        <v>1490</v>
      </c>
      <c r="U82" s="762" t="s">
        <v>1491</v>
      </c>
      <c r="V82" s="759" t="s">
        <v>1492</v>
      </c>
      <c r="W82" s="760" t="s">
        <v>1493</v>
      </c>
      <c r="X82" s="396" t="s">
        <v>1494</v>
      </c>
      <c r="Y82" s="763" t="s">
        <v>1345</v>
      </c>
      <c r="Z82" s="764" t="s">
        <v>1495</v>
      </c>
    </row>
    <row r="83" customFormat="false" ht="12.75" hidden="false" customHeight="true" outlineLevel="0" collapsed="false">
      <c r="A83" s="765" t="s">
        <v>34</v>
      </c>
      <c r="B83" s="766" t="n">
        <f aca="false">P7</f>
        <v>46</v>
      </c>
      <c r="C83" s="766" t="n">
        <f aca="false">B7</f>
        <v>160</v>
      </c>
      <c r="D83" s="766" t="n">
        <f aca="false">I7</f>
        <v>49</v>
      </c>
      <c r="E83" s="766" t="n">
        <f aca="false">I25</f>
        <v>28</v>
      </c>
      <c r="F83" s="766" t="n">
        <f aca="false">B25</f>
        <v>12</v>
      </c>
      <c r="G83" s="767" t="n">
        <f aca="false">SUM(B83:F83)</f>
        <v>295</v>
      </c>
      <c r="H83" s="766" t="e">
        <f aca="false">#REF!</f>
        <v>#REF!</v>
      </c>
      <c r="I83" s="766" t="e">
        <f aca="false">#REF!</f>
        <v>#REF!</v>
      </c>
      <c r="J83" s="766" t="e">
        <f aca="false">#REF!</f>
        <v>#REF!</v>
      </c>
      <c r="K83" s="766" t="e">
        <f aca="false">#REF!</f>
        <v>#REF!</v>
      </c>
      <c r="L83" s="766" t="e">
        <f aca="false">#REF!</f>
        <v>#REF!</v>
      </c>
      <c r="M83" s="767" t="e">
        <f aca="false">SUM(H83:L83)</f>
        <v>#REF!</v>
      </c>
      <c r="N83" s="766" t="e">
        <f aca="false">#REF!</f>
        <v>#REF!</v>
      </c>
      <c r="O83" s="766" t="e">
        <f aca="false">#REF!</f>
        <v>#REF!</v>
      </c>
      <c r="P83" s="766" t="e">
        <f aca="false">#REF!</f>
        <v>#REF!</v>
      </c>
      <c r="Q83" s="766" t="e">
        <f aca="false">#REF!</f>
        <v>#REF!</v>
      </c>
      <c r="R83" s="766" t="e">
        <f aca="false">#REF!</f>
        <v>#REF!</v>
      </c>
      <c r="S83" s="767" t="e">
        <f aca="false">SUM(N83:R83)</f>
        <v>#REF!</v>
      </c>
      <c r="T83" s="766" t="e">
        <f aca="false">#REF!</f>
        <v>#REF!</v>
      </c>
      <c r="U83" s="766" t="e">
        <f aca="false">#REF!</f>
        <v>#REF!</v>
      </c>
      <c r="V83" s="766" t="e">
        <f aca="false">#REF!</f>
        <v>#REF!</v>
      </c>
      <c r="W83" s="766" t="e">
        <f aca="false">#REF!</f>
        <v>#REF!</v>
      </c>
      <c r="X83" s="766" t="e">
        <f aca="false">#REF!</f>
        <v>#REF!</v>
      </c>
      <c r="Y83" s="767" t="e">
        <f aca="false">SUM(T83:X83)</f>
        <v>#REF!</v>
      </c>
      <c r="Z83" s="768" t="e">
        <f aca="false">SUM(G83,M83,S83,Y83)</f>
        <v>#REF!</v>
      </c>
    </row>
    <row r="84" customFormat="false" ht="12.75" hidden="false" customHeight="true" outlineLevel="0" collapsed="false">
      <c r="A84" s="765" t="s">
        <v>119</v>
      </c>
      <c r="B84" s="766" t="n">
        <f aca="false">P8</f>
        <v>0</v>
      </c>
      <c r="C84" s="766" t="n">
        <f aca="false">B8</f>
        <v>0</v>
      </c>
      <c r="D84" s="766" t="n">
        <f aca="false">I8</f>
        <v>0</v>
      </c>
      <c r="E84" s="766" t="n">
        <f aca="false">I26</f>
        <v>18</v>
      </c>
      <c r="F84" s="766" t="n">
        <f aca="false">B26</f>
        <v>0</v>
      </c>
      <c r="G84" s="767" t="n">
        <f aca="false">SUM(B84:F84)</f>
        <v>18</v>
      </c>
      <c r="H84" s="766" t="e">
        <f aca="false">#REF!</f>
        <v>#REF!</v>
      </c>
      <c r="I84" s="766" t="e">
        <f aca="false">#REF!</f>
        <v>#REF!</v>
      </c>
      <c r="J84" s="766" t="e">
        <f aca="false">#REF!</f>
        <v>#REF!</v>
      </c>
      <c r="K84" s="766" t="e">
        <f aca="false">#REF!</f>
        <v>#REF!</v>
      </c>
      <c r="L84" s="766" t="e">
        <f aca="false">#REF!</f>
        <v>#REF!</v>
      </c>
      <c r="M84" s="767" t="e">
        <f aca="false">SUM(H84:L84)</f>
        <v>#REF!</v>
      </c>
      <c r="N84" s="766" t="e">
        <f aca="false">#REF!</f>
        <v>#REF!</v>
      </c>
      <c r="O84" s="766" t="e">
        <f aca="false">#REF!</f>
        <v>#REF!</v>
      </c>
      <c r="P84" s="766" t="e">
        <f aca="false">#REF!</f>
        <v>#REF!</v>
      </c>
      <c r="Q84" s="766" t="e">
        <f aca="false">#REF!</f>
        <v>#REF!</v>
      </c>
      <c r="R84" s="766" t="e">
        <f aca="false">#REF!</f>
        <v>#REF!</v>
      </c>
      <c r="S84" s="767" t="e">
        <f aca="false">SUM(N84:R84)</f>
        <v>#REF!</v>
      </c>
      <c r="T84" s="766" t="e">
        <f aca="false">#REF!</f>
        <v>#REF!</v>
      </c>
      <c r="U84" s="766" t="e">
        <f aca="false">#REF!</f>
        <v>#REF!</v>
      </c>
      <c r="V84" s="766" t="e">
        <f aca="false">#REF!</f>
        <v>#REF!</v>
      </c>
      <c r="W84" s="766" t="e">
        <f aca="false">#REF!</f>
        <v>#REF!</v>
      </c>
      <c r="X84" s="766" t="e">
        <f aca="false">#REF!</f>
        <v>#REF!</v>
      </c>
      <c r="Y84" s="767" t="e">
        <f aca="false">SUM(T84:X84)</f>
        <v>#REF!</v>
      </c>
      <c r="Z84" s="768" t="e">
        <f aca="false">SUM(G84,M84,S84,Y84)</f>
        <v>#REF!</v>
      </c>
    </row>
    <row r="85" customFormat="false" ht="12.75" hidden="false" customHeight="true" outlineLevel="0" collapsed="false">
      <c r="A85" s="765" t="s">
        <v>143</v>
      </c>
      <c r="B85" s="766" t="n">
        <f aca="false">P9</f>
        <v>16</v>
      </c>
      <c r="C85" s="766" t="n">
        <f aca="false">B9</f>
        <v>29</v>
      </c>
      <c r="D85" s="766" t="n">
        <f aca="false">I9</f>
        <v>14</v>
      </c>
      <c r="E85" s="766" t="n">
        <f aca="false">I27</f>
        <v>4</v>
      </c>
      <c r="F85" s="766" t="n">
        <f aca="false">B27</f>
        <v>5</v>
      </c>
      <c r="G85" s="767" t="n">
        <f aca="false">SUM(B85:F85)</f>
        <v>68</v>
      </c>
      <c r="H85" s="766" t="e">
        <f aca="false">#REF!</f>
        <v>#REF!</v>
      </c>
      <c r="I85" s="766" t="e">
        <f aca="false">#REF!</f>
        <v>#REF!</v>
      </c>
      <c r="J85" s="766" t="e">
        <f aca="false">#REF!</f>
        <v>#REF!</v>
      </c>
      <c r="K85" s="766" t="e">
        <f aca="false">#REF!</f>
        <v>#REF!</v>
      </c>
      <c r="L85" s="766" t="e">
        <f aca="false">#REF!</f>
        <v>#REF!</v>
      </c>
      <c r="M85" s="767" t="e">
        <f aca="false">SUM(H85:L85)</f>
        <v>#REF!</v>
      </c>
      <c r="N85" s="766" t="e">
        <f aca="false">#REF!</f>
        <v>#REF!</v>
      </c>
      <c r="O85" s="766" t="e">
        <f aca="false">#REF!</f>
        <v>#REF!</v>
      </c>
      <c r="P85" s="766" t="e">
        <f aca="false">#REF!</f>
        <v>#REF!</v>
      </c>
      <c r="Q85" s="766" t="e">
        <f aca="false">#REF!</f>
        <v>#REF!</v>
      </c>
      <c r="R85" s="766" t="e">
        <f aca="false">#REF!</f>
        <v>#REF!</v>
      </c>
      <c r="S85" s="767" t="e">
        <f aca="false">SUM(N85:R85)</f>
        <v>#REF!</v>
      </c>
      <c r="T85" s="766" t="e">
        <f aca="false">#REF!</f>
        <v>#REF!</v>
      </c>
      <c r="U85" s="766" t="e">
        <f aca="false">#REF!</f>
        <v>#REF!</v>
      </c>
      <c r="V85" s="766" t="e">
        <f aca="false">#REF!</f>
        <v>#REF!</v>
      </c>
      <c r="W85" s="766" t="e">
        <f aca="false">#REF!</f>
        <v>#REF!</v>
      </c>
      <c r="X85" s="766" t="e">
        <f aca="false">#REF!</f>
        <v>#REF!</v>
      </c>
      <c r="Y85" s="767" t="e">
        <f aca="false">SUM(T85:X85)</f>
        <v>#REF!</v>
      </c>
      <c r="Z85" s="769" t="e">
        <f aca="false">SUM(G85,M85,S85,Y85)</f>
        <v>#REF!</v>
      </c>
    </row>
    <row r="86" customFormat="false" ht="12.75" hidden="false" customHeight="true" outlineLevel="0" collapsed="false">
      <c r="A86" s="765" t="s">
        <v>17</v>
      </c>
      <c r="B86" s="766" t="n">
        <f aca="false">P10</f>
        <v>0</v>
      </c>
      <c r="C86" s="766" t="n">
        <f aca="false">B10</f>
        <v>22</v>
      </c>
      <c r="D86" s="766" t="n">
        <f aca="false">I10</f>
        <v>27</v>
      </c>
      <c r="E86" s="766" t="n">
        <f aca="false">I28</f>
        <v>22</v>
      </c>
      <c r="F86" s="766" t="n">
        <f aca="false">B28</f>
        <v>0</v>
      </c>
      <c r="G86" s="767" t="n">
        <f aca="false">SUM(B86:F86)</f>
        <v>71</v>
      </c>
      <c r="H86" s="766" t="e">
        <f aca="false">#REF!</f>
        <v>#REF!</v>
      </c>
      <c r="I86" s="766" t="e">
        <f aca="false">#REF!</f>
        <v>#REF!</v>
      </c>
      <c r="J86" s="766" t="e">
        <f aca="false">#REF!</f>
        <v>#REF!</v>
      </c>
      <c r="K86" s="766" t="e">
        <f aca="false">#REF!</f>
        <v>#REF!</v>
      </c>
      <c r="L86" s="766" t="e">
        <f aca="false">#REF!</f>
        <v>#REF!</v>
      </c>
      <c r="M86" s="767" t="e">
        <f aca="false">SUM(H86:L86)</f>
        <v>#REF!</v>
      </c>
      <c r="N86" s="766" t="e">
        <f aca="false">#REF!</f>
        <v>#REF!</v>
      </c>
      <c r="O86" s="766" t="e">
        <f aca="false">#REF!</f>
        <v>#REF!</v>
      </c>
      <c r="P86" s="766" t="e">
        <f aca="false">#REF!</f>
        <v>#REF!</v>
      </c>
      <c r="Q86" s="766" t="e">
        <f aca="false">#REF!</f>
        <v>#REF!</v>
      </c>
      <c r="R86" s="766" t="e">
        <f aca="false">#REF!</f>
        <v>#REF!</v>
      </c>
      <c r="S86" s="767" t="e">
        <f aca="false">SUM(N86:R86)</f>
        <v>#REF!</v>
      </c>
      <c r="T86" s="766" t="e">
        <f aca="false">#REF!</f>
        <v>#REF!</v>
      </c>
      <c r="U86" s="766" t="e">
        <f aca="false">#REF!</f>
        <v>#REF!</v>
      </c>
      <c r="V86" s="766" t="e">
        <f aca="false">#REF!</f>
        <v>#REF!</v>
      </c>
      <c r="W86" s="766" t="e">
        <f aca="false">#REF!</f>
        <v>#REF!</v>
      </c>
      <c r="X86" s="766" t="e">
        <f aca="false">#REF!</f>
        <v>#REF!</v>
      </c>
      <c r="Y86" s="767" t="e">
        <f aca="false">SUM(T86:X86)</f>
        <v>#REF!</v>
      </c>
      <c r="Z86" s="769" t="e">
        <f aca="false">SUM(G86,M86,S86,Y86)</f>
        <v>#REF!</v>
      </c>
    </row>
    <row r="87" customFormat="false" ht="12.75" hidden="false" customHeight="true" outlineLevel="0" collapsed="false">
      <c r="A87" s="765" t="s">
        <v>12</v>
      </c>
      <c r="B87" s="766" t="n">
        <f aca="false">P11</f>
        <v>9</v>
      </c>
      <c r="C87" s="766" t="n">
        <f aca="false">B11</f>
        <v>24</v>
      </c>
      <c r="D87" s="766" t="n">
        <f aca="false">I11</f>
        <v>43</v>
      </c>
      <c r="E87" s="766" t="n">
        <f aca="false">I29</f>
        <v>23</v>
      </c>
      <c r="F87" s="766" t="n">
        <f aca="false">B29</f>
        <v>2</v>
      </c>
      <c r="G87" s="767" t="n">
        <f aca="false">SUM(B87:F87)</f>
        <v>101</v>
      </c>
      <c r="H87" s="766" t="e">
        <f aca="false">#REF!</f>
        <v>#REF!</v>
      </c>
      <c r="I87" s="766" t="e">
        <f aca="false">#REF!</f>
        <v>#REF!</v>
      </c>
      <c r="J87" s="766" t="e">
        <f aca="false">#REF!</f>
        <v>#REF!</v>
      </c>
      <c r="K87" s="766" t="e">
        <f aca="false">#REF!</f>
        <v>#REF!</v>
      </c>
      <c r="L87" s="766" t="e">
        <f aca="false">#REF!</f>
        <v>#REF!</v>
      </c>
      <c r="M87" s="767" t="e">
        <f aca="false">SUM(H87:L87)</f>
        <v>#REF!</v>
      </c>
      <c r="N87" s="766" t="e">
        <f aca="false">#REF!</f>
        <v>#REF!</v>
      </c>
      <c r="O87" s="766" t="e">
        <f aca="false">#REF!</f>
        <v>#REF!</v>
      </c>
      <c r="P87" s="766" t="e">
        <f aca="false">#REF!</f>
        <v>#REF!</v>
      </c>
      <c r="Q87" s="766" t="e">
        <f aca="false">#REF!</f>
        <v>#REF!</v>
      </c>
      <c r="R87" s="766" t="e">
        <f aca="false">#REF!</f>
        <v>#REF!</v>
      </c>
      <c r="S87" s="767" t="e">
        <f aca="false">SUM(N87:R87)</f>
        <v>#REF!</v>
      </c>
      <c r="T87" s="766" t="e">
        <f aca="false">#REF!</f>
        <v>#REF!</v>
      </c>
      <c r="U87" s="766" t="e">
        <f aca="false">#REF!</f>
        <v>#REF!</v>
      </c>
      <c r="V87" s="766" t="e">
        <f aca="false">#REF!</f>
        <v>#REF!</v>
      </c>
      <c r="W87" s="766" t="e">
        <f aca="false">#REF!</f>
        <v>#REF!</v>
      </c>
      <c r="X87" s="766" t="e">
        <f aca="false">#REF!</f>
        <v>#REF!</v>
      </c>
      <c r="Y87" s="767" t="e">
        <f aca="false">SUM(T87:X87)</f>
        <v>#REF!</v>
      </c>
      <c r="Z87" s="769" t="e">
        <f aca="false">SUM(G87,M87,S87,Y87)</f>
        <v>#REF!</v>
      </c>
    </row>
    <row r="88" customFormat="false" ht="12.75" hidden="false" customHeight="true" outlineLevel="0" collapsed="false">
      <c r="A88" s="765" t="s">
        <v>52</v>
      </c>
      <c r="B88" s="766" t="n">
        <f aca="false">P12</f>
        <v>3</v>
      </c>
      <c r="C88" s="766" t="n">
        <f aca="false">B12</f>
        <v>68</v>
      </c>
      <c r="D88" s="766" t="n">
        <f aca="false">I12</f>
        <v>72</v>
      </c>
      <c r="E88" s="766" t="n">
        <f aca="false">I30</f>
        <v>41</v>
      </c>
      <c r="F88" s="766" t="n">
        <f aca="false">B30</f>
        <v>6</v>
      </c>
      <c r="G88" s="767" t="n">
        <f aca="false">SUM(B88:F88)</f>
        <v>190</v>
      </c>
      <c r="H88" s="766" t="e">
        <f aca="false">#REF!</f>
        <v>#REF!</v>
      </c>
      <c r="I88" s="766" t="e">
        <f aca="false">#REF!</f>
        <v>#REF!</v>
      </c>
      <c r="J88" s="766" t="e">
        <f aca="false">#REF!</f>
        <v>#REF!</v>
      </c>
      <c r="K88" s="766" t="e">
        <f aca="false">#REF!</f>
        <v>#REF!</v>
      </c>
      <c r="L88" s="766" t="e">
        <f aca="false">#REF!</f>
        <v>#REF!</v>
      </c>
      <c r="M88" s="767" t="e">
        <f aca="false">SUM(H88:L88)</f>
        <v>#REF!</v>
      </c>
      <c r="N88" s="766" t="e">
        <f aca="false">#REF!</f>
        <v>#REF!</v>
      </c>
      <c r="O88" s="766" t="e">
        <f aca="false">#REF!</f>
        <v>#REF!</v>
      </c>
      <c r="P88" s="766" t="e">
        <f aca="false">#REF!</f>
        <v>#REF!</v>
      </c>
      <c r="Q88" s="766" t="e">
        <f aca="false">#REF!</f>
        <v>#REF!</v>
      </c>
      <c r="R88" s="766" t="e">
        <f aca="false">#REF!</f>
        <v>#REF!</v>
      </c>
      <c r="S88" s="767" t="e">
        <f aca="false">SUM(N88:R88)</f>
        <v>#REF!</v>
      </c>
      <c r="T88" s="766" t="e">
        <f aca="false">#REF!</f>
        <v>#REF!</v>
      </c>
      <c r="U88" s="766" t="e">
        <f aca="false">#REF!</f>
        <v>#REF!</v>
      </c>
      <c r="V88" s="766" t="e">
        <f aca="false">#REF!</f>
        <v>#REF!</v>
      </c>
      <c r="W88" s="766" t="e">
        <f aca="false">#REF!</f>
        <v>#REF!</v>
      </c>
      <c r="X88" s="766" t="e">
        <f aca="false">#REF!</f>
        <v>#REF!</v>
      </c>
      <c r="Y88" s="767" t="e">
        <f aca="false">SUM(T88:X88)</f>
        <v>#REF!</v>
      </c>
      <c r="Z88" s="769" t="e">
        <f aca="false">SUM(G88,M88,S88,Y88)</f>
        <v>#REF!</v>
      </c>
    </row>
    <row r="89" customFormat="false" ht="12.75" hidden="false" customHeight="true" outlineLevel="0" collapsed="false">
      <c r="A89" s="770" t="s">
        <v>197</v>
      </c>
      <c r="B89" s="766" t="n">
        <f aca="false">P13</f>
        <v>1</v>
      </c>
      <c r="C89" s="766" t="n">
        <f aca="false">B13</f>
        <v>8</v>
      </c>
      <c r="D89" s="766" t="n">
        <f aca="false">I13</f>
        <v>1</v>
      </c>
      <c r="E89" s="766" t="n">
        <f aca="false">I31</f>
        <v>0</v>
      </c>
      <c r="F89" s="766" t="n">
        <f aca="false">B31</f>
        <v>3</v>
      </c>
      <c r="G89" s="767" t="n">
        <f aca="false">SUM(B89:F89)</f>
        <v>13</v>
      </c>
      <c r="H89" s="766" t="e">
        <f aca="false">#REF!</f>
        <v>#REF!</v>
      </c>
      <c r="I89" s="766" t="e">
        <f aca="false">#REF!</f>
        <v>#REF!</v>
      </c>
      <c r="J89" s="766" t="e">
        <f aca="false">#REF!</f>
        <v>#REF!</v>
      </c>
      <c r="K89" s="766" t="e">
        <f aca="false">#REF!</f>
        <v>#REF!</v>
      </c>
      <c r="L89" s="766" t="e">
        <f aca="false">#REF!</f>
        <v>#REF!</v>
      </c>
      <c r="M89" s="767" t="e">
        <f aca="false">SUM(H89:L89)</f>
        <v>#REF!</v>
      </c>
      <c r="N89" s="766" t="e">
        <f aca="false">#REF!</f>
        <v>#REF!</v>
      </c>
      <c r="O89" s="766" t="e">
        <f aca="false">#REF!</f>
        <v>#REF!</v>
      </c>
      <c r="P89" s="766" t="e">
        <f aca="false">#REF!</f>
        <v>#REF!</v>
      </c>
      <c r="Q89" s="766" t="e">
        <f aca="false">#REF!</f>
        <v>#REF!</v>
      </c>
      <c r="R89" s="766" t="e">
        <f aca="false">#REF!</f>
        <v>#REF!</v>
      </c>
      <c r="S89" s="767" t="e">
        <f aca="false">SUM(N89:R89)</f>
        <v>#REF!</v>
      </c>
      <c r="T89" s="766" t="e">
        <f aca="false">#REF!</f>
        <v>#REF!</v>
      </c>
      <c r="U89" s="766" t="e">
        <f aca="false">#REF!</f>
        <v>#REF!</v>
      </c>
      <c r="V89" s="766" t="e">
        <f aca="false">#REF!</f>
        <v>#REF!</v>
      </c>
      <c r="W89" s="766" t="e">
        <f aca="false">#REF!</f>
        <v>#REF!</v>
      </c>
      <c r="X89" s="766" t="e">
        <f aca="false">#REF!</f>
        <v>#REF!</v>
      </c>
      <c r="Y89" s="767" t="e">
        <f aca="false">SUM(T89:X89)</f>
        <v>#REF!</v>
      </c>
      <c r="Z89" s="769" t="e">
        <f aca="false">SUM(G89,M89,S89,Y89)</f>
        <v>#REF!</v>
      </c>
    </row>
    <row r="90" customFormat="false" ht="12.75" hidden="false" customHeight="true" outlineLevel="0" collapsed="false">
      <c r="A90" s="770" t="s">
        <v>20</v>
      </c>
      <c r="B90" s="766" t="n">
        <f aca="false">P14</f>
        <v>17</v>
      </c>
      <c r="C90" s="766" t="n">
        <f aca="false">B14</f>
        <v>35</v>
      </c>
      <c r="D90" s="766" t="n">
        <f aca="false">I14</f>
        <v>1</v>
      </c>
      <c r="E90" s="766" t="n">
        <f aca="false">I32</f>
        <v>0</v>
      </c>
      <c r="F90" s="766" t="n">
        <f aca="false">B32</f>
        <v>0</v>
      </c>
      <c r="G90" s="767" t="n">
        <f aca="false">SUM(B90:F90)</f>
        <v>53</v>
      </c>
      <c r="H90" s="766" t="e">
        <f aca="false">#REF!</f>
        <v>#REF!</v>
      </c>
      <c r="I90" s="766" t="e">
        <f aca="false">#REF!</f>
        <v>#REF!</v>
      </c>
      <c r="J90" s="766" t="e">
        <f aca="false">#REF!</f>
        <v>#REF!</v>
      </c>
      <c r="K90" s="766" t="e">
        <f aca="false">#REF!</f>
        <v>#REF!</v>
      </c>
      <c r="L90" s="766" t="e">
        <f aca="false">#REF!</f>
        <v>#REF!</v>
      </c>
      <c r="M90" s="767" t="e">
        <f aca="false">SUM(H90:L90)</f>
        <v>#REF!</v>
      </c>
      <c r="N90" s="766" t="e">
        <f aca="false">#REF!</f>
        <v>#REF!</v>
      </c>
      <c r="O90" s="766" t="e">
        <f aca="false">#REF!</f>
        <v>#REF!</v>
      </c>
      <c r="P90" s="766" t="e">
        <f aca="false">#REF!</f>
        <v>#REF!</v>
      </c>
      <c r="Q90" s="766" t="e">
        <f aca="false">#REF!</f>
        <v>#REF!</v>
      </c>
      <c r="R90" s="766" t="e">
        <f aca="false">#REF!</f>
        <v>#REF!</v>
      </c>
      <c r="S90" s="767" t="e">
        <f aca="false">SUM(N90:R90)</f>
        <v>#REF!</v>
      </c>
      <c r="T90" s="766" t="e">
        <f aca="false">#REF!</f>
        <v>#REF!</v>
      </c>
      <c r="U90" s="766" t="e">
        <f aca="false">#REF!</f>
        <v>#REF!</v>
      </c>
      <c r="V90" s="766" t="e">
        <f aca="false">#REF!</f>
        <v>#REF!</v>
      </c>
      <c r="W90" s="766" t="e">
        <f aca="false">#REF!</f>
        <v>#REF!</v>
      </c>
      <c r="X90" s="766" t="e">
        <f aca="false">#REF!</f>
        <v>#REF!</v>
      </c>
      <c r="Y90" s="767" t="e">
        <f aca="false">SUM(T90:X90)</f>
        <v>#REF!</v>
      </c>
      <c r="Z90" s="769" t="e">
        <f aca="false">SUM(G90,M90,S90,Y90)</f>
        <v>#REF!</v>
      </c>
    </row>
    <row r="91" customFormat="false" ht="12.75" hidden="false" customHeight="true" outlineLevel="0" collapsed="false">
      <c r="A91" s="765" t="s">
        <v>29</v>
      </c>
      <c r="B91" s="766" t="n">
        <f aca="false">P15</f>
        <v>25</v>
      </c>
      <c r="C91" s="766" t="n">
        <f aca="false">B15</f>
        <v>26</v>
      </c>
      <c r="D91" s="766" t="n">
        <f aca="false">I15</f>
        <v>31</v>
      </c>
      <c r="E91" s="766" t="n">
        <f aca="false">I33</f>
        <v>11</v>
      </c>
      <c r="F91" s="766" t="n">
        <f aca="false">B33</f>
        <v>0</v>
      </c>
      <c r="G91" s="767" t="n">
        <f aca="false">SUM(B91:F91)</f>
        <v>93</v>
      </c>
      <c r="H91" s="766" t="e">
        <f aca="false">#REF!</f>
        <v>#REF!</v>
      </c>
      <c r="I91" s="766" t="e">
        <f aca="false">#REF!</f>
        <v>#REF!</v>
      </c>
      <c r="J91" s="766" t="e">
        <f aca="false">#REF!</f>
        <v>#REF!</v>
      </c>
      <c r="K91" s="766" t="e">
        <f aca="false">#REF!</f>
        <v>#REF!</v>
      </c>
      <c r="L91" s="766" t="e">
        <f aca="false">#REF!</f>
        <v>#REF!</v>
      </c>
      <c r="M91" s="767" t="e">
        <f aca="false">SUM(H91:L91)</f>
        <v>#REF!</v>
      </c>
      <c r="N91" s="766" t="e">
        <f aca="false">#REF!</f>
        <v>#REF!</v>
      </c>
      <c r="O91" s="766" t="e">
        <f aca="false">#REF!</f>
        <v>#REF!</v>
      </c>
      <c r="P91" s="766" t="e">
        <f aca="false">#REF!</f>
        <v>#REF!</v>
      </c>
      <c r="Q91" s="766" t="e">
        <f aca="false">#REF!</f>
        <v>#REF!</v>
      </c>
      <c r="R91" s="766" t="e">
        <f aca="false">#REF!</f>
        <v>#REF!</v>
      </c>
      <c r="S91" s="767" t="e">
        <f aca="false">SUM(N91:R91)</f>
        <v>#REF!</v>
      </c>
      <c r="T91" s="766" t="e">
        <f aca="false">#REF!</f>
        <v>#REF!</v>
      </c>
      <c r="U91" s="766" t="e">
        <f aca="false">#REF!</f>
        <v>#REF!</v>
      </c>
      <c r="V91" s="766" t="e">
        <f aca="false">#REF!</f>
        <v>#REF!</v>
      </c>
      <c r="W91" s="766" t="e">
        <f aca="false">#REF!</f>
        <v>#REF!</v>
      </c>
      <c r="X91" s="766" t="e">
        <f aca="false">#REF!</f>
        <v>#REF!</v>
      </c>
      <c r="Y91" s="767" t="e">
        <f aca="false">SUM(T91:X91)</f>
        <v>#REF!</v>
      </c>
      <c r="Z91" s="769" t="e">
        <f aca="false">SUM(G91,M91,S91,Y91)</f>
        <v>#REF!</v>
      </c>
    </row>
    <row r="92" customFormat="false" ht="12.75" hidden="false" customHeight="true" outlineLevel="0" collapsed="false">
      <c r="A92" s="770" t="s">
        <v>129</v>
      </c>
      <c r="B92" s="766" t="n">
        <f aca="false">P16</f>
        <v>5</v>
      </c>
      <c r="C92" s="766" t="n">
        <f aca="false">B16</f>
        <v>73</v>
      </c>
      <c r="D92" s="766" t="n">
        <f aca="false">I16</f>
        <v>28</v>
      </c>
      <c r="E92" s="766" t="n">
        <f aca="false">I34</f>
        <v>31</v>
      </c>
      <c r="F92" s="766" t="n">
        <f aca="false">B34</f>
        <v>0</v>
      </c>
      <c r="G92" s="767" t="n">
        <f aca="false">SUM(B92:F92)</f>
        <v>137</v>
      </c>
      <c r="H92" s="766" t="e">
        <f aca="false">#REF!</f>
        <v>#REF!</v>
      </c>
      <c r="I92" s="766" t="e">
        <f aca="false">#REF!</f>
        <v>#REF!</v>
      </c>
      <c r="J92" s="766" t="e">
        <f aca="false">#REF!</f>
        <v>#REF!</v>
      </c>
      <c r="K92" s="766" t="e">
        <f aca="false">#REF!</f>
        <v>#REF!</v>
      </c>
      <c r="L92" s="766" t="e">
        <f aca="false">#REF!</f>
        <v>#REF!</v>
      </c>
      <c r="M92" s="767" t="e">
        <f aca="false">SUM(H92:L92)</f>
        <v>#REF!</v>
      </c>
      <c r="N92" s="766" t="e">
        <f aca="false">#REF!</f>
        <v>#REF!</v>
      </c>
      <c r="O92" s="766" t="e">
        <f aca="false">#REF!</f>
        <v>#REF!</v>
      </c>
      <c r="P92" s="766" t="e">
        <f aca="false">#REF!</f>
        <v>#REF!</v>
      </c>
      <c r="Q92" s="766" t="e">
        <f aca="false">#REF!</f>
        <v>#REF!</v>
      </c>
      <c r="R92" s="766" t="e">
        <f aca="false">#REF!</f>
        <v>#REF!</v>
      </c>
      <c r="S92" s="767" t="e">
        <f aca="false">SUM(N92:R92)</f>
        <v>#REF!</v>
      </c>
      <c r="T92" s="766" t="e">
        <f aca="false">#REF!</f>
        <v>#REF!</v>
      </c>
      <c r="U92" s="766" t="e">
        <f aca="false">#REF!</f>
        <v>#REF!</v>
      </c>
      <c r="V92" s="766" t="e">
        <f aca="false">#REF!</f>
        <v>#REF!</v>
      </c>
      <c r="W92" s="766" t="e">
        <f aca="false">#REF!</f>
        <v>#REF!</v>
      </c>
      <c r="X92" s="766" t="e">
        <f aca="false">#REF!</f>
        <v>#REF!</v>
      </c>
      <c r="Y92" s="767" t="e">
        <f aca="false">SUM(T92:X92)</f>
        <v>#REF!</v>
      </c>
      <c r="Z92" s="769" t="e">
        <f aca="false">SUM(G92,M92,S92,Y92)</f>
        <v>#REF!</v>
      </c>
    </row>
    <row r="93" customFormat="false" ht="12.75" hidden="false" customHeight="true" outlineLevel="0" collapsed="false">
      <c r="A93" s="770" t="s">
        <v>9</v>
      </c>
      <c r="B93" s="766" t="n">
        <f aca="false">P17</f>
        <v>20</v>
      </c>
      <c r="C93" s="766" t="n">
        <f aca="false">B17</f>
        <v>77</v>
      </c>
      <c r="D93" s="766" t="n">
        <f aca="false">I17</f>
        <v>35</v>
      </c>
      <c r="E93" s="766" t="n">
        <f aca="false">I35</f>
        <v>37</v>
      </c>
      <c r="F93" s="766" t="n">
        <f aca="false">B35</f>
        <v>20</v>
      </c>
      <c r="G93" s="767" t="n">
        <f aca="false">SUM(B93:F93)</f>
        <v>189</v>
      </c>
      <c r="H93" s="766" t="e">
        <f aca="false">#REF!</f>
        <v>#REF!</v>
      </c>
      <c r="I93" s="766" t="e">
        <f aca="false">#REF!</f>
        <v>#REF!</v>
      </c>
      <c r="J93" s="766" t="e">
        <f aca="false">#REF!</f>
        <v>#REF!</v>
      </c>
      <c r="K93" s="766" t="e">
        <f aca="false">#REF!</f>
        <v>#REF!</v>
      </c>
      <c r="L93" s="766" t="e">
        <f aca="false">#REF!</f>
        <v>#REF!</v>
      </c>
      <c r="M93" s="767" t="e">
        <f aca="false">SUM(H93:L93)</f>
        <v>#REF!</v>
      </c>
      <c r="N93" s="766" t="e">
        <f aca="false">#REF!</f>
        <v>#REF!</v>
      </c>
      <c r="O93" s="766" t="e">
        <f aca="false">#REF!</f>
        <v>#REF!</v>
      </c>
      <c r="P93" s="766" t="e">
        <f aca="false">#REF!</f>
        <v>#REF!</v>
      </c>
      <c r="Q93" s="766" t="e">
        <f aca="false">#REF!</f>
        <v>#REF!</v>
      </c>
      <c r="R93" s="766" t="e">
        <f aca="false">#REF!</f>
        <v>#REF!</v>
      </c>
      <c r="S93" s="767" t="e">
        <f aca="false">SUM(N93:R93)</f>
        <v>#REF!</v>
      </c>
      <c r="T93" s="766" t="e">
        <f aca="false">#REF!</f>
        <v>#REF!</v>
      </c>
      <c r="U93" s="766" t="e">
        <f aca="false">#REF!</f>
        <v>#REF!</v>
      </c>
      <c r="V93" s="766" t="e">
        <f aca="false">#REF!</f>
        <v>#REF!</v>
      </c>
      <c r="W93" s="766" t="e">
        <f aca="false">#REF!</f>
        <v>#REF!</v>
      </c>
      <c r="X93" s="766" t="e">
        <f aca="false">#REF!</f>
        <v>#REF!</v>
      </c>
      <c r="Y93" s="767" t="e">
        <f aca="false">SUM(T93:X93)</f>
        <v>#REF!</v>
      </c>
      <c r="Z93" s="769" t="e">
        <f aca="false">SUM(G93,M93,S93,Y93)</f>
        <v>#REF!</v>
      </c>
    </row>
    <row r="96" customFormat="false" ht="12.75" hidden="false" customHeight="true" outlineLevel="0" collapsed="false">
      <c r="A96" s="2" t="s">
        <v>1496</v>
      </c>
      <c r="E96" s="2" t="s">
        <v>124</v>
      </c>
      <c r="F96" s="2" t="s">
        <v>125</v>
      </c>
      <c r="G96" s="771" t="s">
        <v>52</v>
      </c>
      <c r="H96" s="771" t="n">
        <v>43818</v>
      </c>
    </row>
    <row r="97" customFormat="false" ht="12.75" hidden="false" customHeight="true" outlineLevel="0" collapsed="false">
      <c r="A97" s="2" t="s">
        <v>1497</v>
      </c>
      <c r="E97" s="2" t="s">
        <v>407</v>
      </c>
      <c r="F97" s="2" t="s">
        <v>408</v>
      </c>
      <c r="G97" s="2" t="s">
        <v>143</v>
      </c>
      <c r="H97" s="771" t="n">
        <v>43293</v>
      </c>
    </row>
  </sheetData>
  <mergeCells count="9">
    <mergeCell ref="A1:L1"/>
    <mergeCell ref="B80:G80"/>
    <mergeCell ref="H80:M80"/>
    <mergeCell ref="N80:S80"/>
    <mergeCell ref="T80:Y80"/>
    <mergeCell ref="B81:G81"/>
    <mergeCell ref="H81:M81"/>
    <mergeCell ref="N81:S81"/>
    <mergeCell ref="T81:Y8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2004-11-20T10:30:08Z</dcterms:created>
  <dc:creator>dthomas</dc:creator>
  <dc:description/>
  <dc:language>fr-FR</dc:language>
  <cp:lastModifiedBy/>
  <cp:lastPrinted>2025-03-09T10:14:41Z</cp:lastPrinted>
  <dcterms:modified xsi:type="dcterms:W3CDTF">2025-12-28T10:57:26Z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